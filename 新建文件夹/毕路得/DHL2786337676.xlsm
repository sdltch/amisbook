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uliu16\Desktop\DHL申报要素&amp;报关单\"/>
    </mc:Choice>
  </mc:AlternateContent>
  <bookViews>
    <workbookView xWindow="480" yWindow="2910" windowWidth="8505" windowHeight="1740" tabRatio="907" firstSheet="10" activeTab="25"/>
  </bookViews>
  <sheets>
    <sheet name="Commercial Invoice1 (2)" sheetId="144" state="hidden" r:id="rId1"/>
    <sheet name="PACKING  LIST1 (2)" sheetId="145" state="hidden" r:id="rId2"/>
    <sheet name="发货清单" sheetId="101" state="hidden" r:id="rId3"/>
    <sheet name="Sheet2" sheetId="102" state="hidden" r:id="rId4"/>
    <sheet name="辅助" sheetId="115" state="hidden" r:id="rId5"/>
    <sheet name="地址数据库" sheetId="95" state="hidden" r:id="rId6"/>
    <sheet name="数据库" sheetId="85" state="hidden" r:id="rId7"/>
    <sheet name="发货清单 (2)" sheetId="147" state="hidden" r:id="rId8"/>
    <sheet name="冰袋保函1" sheetId="128" state="hidden" r:id="rId9"/>
    <sheet name="冰袋保函2" sheetId="132" state="hidden" r:id="rId10"/>
    <sheet name="申报要素1" sheetId="21" r:id="rId11"/>
    <sheet name="Commercial Invoice1" sheetId="135" state="hidden" r:id="rId12"/>
    <sheet name="Commercial Invoice2" sheetId="136" state="hidden" r:id="rId13"/>
    <sheet name="Commercial Invoice3" sheetId="12" state="hidden" r:id="rId14"/>
    <sheet name="PACKING  LIST1" sheetId="137" state="hidden" r:id="rId15"/>
    <sheet name="PACKING  LIST2" sheetId="141" state="hidden" r:id="rId16"/>
    <sheet name="PACKING  LIST3" sheetId="142" state="hidden" r:id="rId17"/>
    <sheet name="委托书1" sheetId="133" state="hidden" r:id="rId18"/>
    <sheet name="委托书2" sheetId="134" state="hidden" r:id="rId19"/>
    <sheet name="委托书3" sheetId="124" state="hidden" r:id="rId20"/>
    <sheet name="委托书 (6)" sheetId="126" state="hidden" r:id="rId21"/>
    <sheet name="发票 (3)" sheetId="119" state="hidden" r:id="rId22"/>
    <sheet name="发票 (2)" sheetId="118" state="hidden" r:id="rId23"/>
    <sheet name="箱单 (2)" sheetId="129" state="hidden" r:id="rId24"/>
    <sheet name="箱单 (3)" sheetId="130" state="hidden" r:id="rId25"/>
    <sheet name="报关单新1" sheetId="93" r:id="rId26"/>
    <sheet name="运输保函1" sheetId="139" state="hidden" r:id="rId27"/>
    <sheet name="运输保函2" sheetId="14" state="hidden" r:id="rId28"/>
    <sheet name="保函 (2)" sheetId="122" state="hidden" r:id="rId29"/>
    <sheet name="情况说明1" sheetId="140" state="hidden" r:id="rId30"/>
    <sheet name="情况说明2" sheetId="78" state="hidden" r:id="rId31"/>
    <sheet name="情况说明 (2)" sheetId="123" state="hidden" r:id="rId32"/>
    <sheet name="TSCA" sheetId="112" state="hidden" r:id="rId33"/>
    <sheet name="Declaration" sheetId="3" state="hidden" r:id="rId34"/>
    <sheet name="End Use Letter" sheetId="6" state="hidden" r:id="rId35"/>
    <sheet name="USDA" sheetId="94" state="hidden" r:id="rId36"/>
    <sheet name="CBP" sheetId="114" state="hidden" r:id="rId37"/>
  </sheets>
  <externalReferences>
    <externalReference r:id="rId38"/>
    <externalReference r:id="rId39"/>
  </externalReferences>
  <definedNames>
    <definedName name="_xlnm._FilterDatabase" localSheetId="6" hidden="1">数据库!$A$1:$A$98</definedName>
    <definedName name="NPC">INDEX(TSCA!$P:$P,MATCH(TSCA!$Q$8,TSCA!$N:$N,0))</definedName>
    <definedName name="PNC">INDEX(TSCA!$O:$O,MATCH(TSCA!$Q$8,TSCA!$N:$N,0))</definedName>
    <definedName name="_xlnm.Print_Area" localSheetId="36">CBP!$A$1:$H$47</definedName>
    <definedName name="_xlnm.Print_Area" localSheetId="11">OFFSET('Commercial Invoice1'!$A$1,,,IF(COUNTIF(辅助!$K:$K,"&gt;0")&lt;=12,36,IF(COUNTIF(辅助!$K:$K,"&gt;0")&lt;=24,71,IF(COUNTIF(辅助!$K:$K,"&gt;0")&lt;=36,106))),9)</definedName>
    <definedName name="_xlnm.Print_Area" localSheetId="0">OFFSET('Commercial Invoice1 (2)'!$A$1,,,IF(COUNTIF(辅助!$K:$K,"&gt;0")&lt;=12,36,IF(COUNTIF(辅助!$K:$K,"&gt;0")&lt;=24,71,IF(COUNTIF(辅助!$K:$K,"&gt;0")&lt;=36,106))),9)</definedName>
    <definedName name="_xlnm.Print_Area" localSheetId="12">OFFSET('Commercial Invoice2'!$A$1,,,IF(COUNTIF(辅助!$K:$K,"&gt;0")&lt;=12,36,IF(COUNTIF(辅助!$K:$K,"&gt;0")&lt;=24,71,IF(COUNTIF(辅助!$K:$K,"&gt;0")&lt;=36,106))),9)</definedName>
    <definedName name="_xlnm.Print_Area" localSheetId="13">OFFSET('Commercial Invoice3'!$A$1,,,IF(COUNTIF(辅助!$K:$K,"&gt;0")&lt;=12,36,IF(COUNTIF(辅助!$K:$K,"&gt;0")&lt;=24,71,IF(COUNTIF(辅助!$K:$K,"&gt;0")&lt;=36,106))),9)</definedName>
    <definedName name="_xlnm.Print_Area" localSheetId="34">'End Use Letter'!$A$1:$F$43</definedName>
    <definedName name="_xlnm.Print_Area" localSheetId="14">OFFSET('PACKING  LIST1'!$A$1,,,IF(COUNTIF(辅助!$K:$K,"&gt;0")&lt;=12,37,IF(COUNTIF(辅助!$K:$K,"&gt;0")&lt;=24,73,IF(COUNTIF(辅助!$K:$K,"&gt;0")&lt;=36,109))),9)</definedName>
    <definedName name="_xlnm.Print_Area" localSheetId="1">OFFSET('PACKING  LIST1 (2)'!$A$1,,,IF(COUNTIF(辅助!$K:$K,"&gt;0")&lt;=12,37,IF(COUNTIF(辅助!$K:$K,"&gt;0")&lt;=24,73,IF(COUNTIF(辅助!$K:$K,"&gt;0")&lt;=36,109))),9)</definedName>
    <definedName name="_xlnm.Print_Area" localSheetId="15">OFFSET('PACKING  LIST2'!$A$1,,,IF(COUNTIF(辅助!$K:$K,"&gt;0")&lt;=12,37,IF(COUNTIF(辅助!$K:$K,"&gt;0")&lt;=24,73,IF(COUNTIF(辅助!$K:$K,"&gt;0")&lt;=36,109))),9)</definedName>
    <definedName name="_xlnm.Print_Area" localSheetId="16">OFFSET('PACKING  LIST3'!$A$1,,,IF(COUNTIF(辅助!$K:$K,"&gt;0")&lt;=12,37,IF(COUNTIF(辅助!$K:$K,"&gt;0")&lt;=24,73,IF(COUNTIF(辅助!$K:$K,"&gt;0")&lt;=36,109))),9)</definedName>
    <definedName name="_xlnm.Print_Area" localSheetId="32">OFFSET(TSCA!$A$1,,,IF(COUNTIF(辅助!$K:$K,"&gt;0")&lt;=10,40,IF(COUNTIF(辅助!$K:$K,"&gt;0")&lt;=20,80,IF(COUNTIF(辅助!$K:$K,"&gt;0")&lt;=30,120,158))),8)</definedName>
    <definedName name="_xlnm.Print_Area" localSheetId="28">OFFSET('保函 (2)'!$A$1,,,IF(COUNTIF(辅助!$K:$K,"&gt;0")&lt;=8,42,IF(COUNTIF(辅助!$K:$K,"&gt;0")&lt;=16,84,IF(COUNTIF(辅助!$K:$K,"&gt;0")&lt;=24,126,168))),5)</definedName>
    <definedName name="_xlnm.Print_Area" localSheetId="25">OFFSET(报关单新1!$A$1,,,IF(COUNTIF(辅助!$K:$K,"&gt;0")&lt;=10,36,IF(COUNTIF(辅助!$K:$K,"&gt;0")&lt;=20,72,IF(COUNTIF(辅助!$K:$K,"&gt;0")&lt;=30,108,146))),37)</definedName>
    <definedName name="_xlnm.Print_Area" localSheetId="2">发货清单!$A$2</definedName>
    <definedName name="_xlnm.Print_Area" localSheetId="7">'发货清单 (2)'!#REF!</definedName>
    <definedName name="_xlnm.Print_Area" localSheetId="22">OFFSET('发票 (2)'!$A$1,,,IF(COUNTIF(辅助!$K:$K,"&gt;0")&lt;=12,36,IF(COUNTIF(辅助!$K:$K,"&gt;0")&lt;=24,71,IF(COUNTIF(辅助!$K:$K,"&gt;0")&lt;=36,106))),9)</definedName>
    <definedName name="_xlnm.Print_Area" localSheetId="21">OFFSET('发票 (3)'!$A$1,,,IF(COUNTIF(辅助!$K:$K,"&gt;0")&lt;=12,36,IF(COUNTIF(辅助!$K:$K,"&gt;0")&lt;=24,71,IF(COUNTIF(辅助!$K:$K,"&gt;0")&lt;=36,106))),9)</definedName>
    <definedName name="_xlnm.Print_Area" localSheetId="31">OFFSET('情况说明 (2)'!$A$1,,,IF(COUNTIF(辅助!$K:$K,"&gt;0")&lt;=8,51,IF(COUNTIF(辅助!$K:$K,"&gt;0")&lt;=16,102,IF(COUNTIF(辅助!$K:$K,"&gt;0")&lt;=24,153,203))),19)</definedName>
    <definedName name="_xlnm.Print_Area" localSheetId="29">OFFSET(情况说明1!$A$1,,,IF(COUNTIF(辅助!$K:$K,"&gt;0")&lt;=8,52,IF(COUNTIF(辅助!$K:$K,"&gt;0")&lt;=16,102,IF(COUNTIF(辅助!$K:$K,"&gt;0")&lt;=24,153,204))),19)</definedName>
    <definedName name="_xlnm.Print_Area" localSheetId="30">OFFSET(情况说明2!$A$1,,,IF(COUNTIF(辅助!$K:$K,"&gt;0")&lt;=8,52,IF(COUNTIF(辅助!$K:$K,"&gt;0")&lt;=16,102,IF(COUNTIF(辅助!$K:$K,"&gt;0")&lt;=24,153,204))),19)</definedName>
    <definedName name="_xlnm.Print_Area" localSheetId="10">OFFSET(申报要素1!$A$1,,,IF(COUNTIF(辅助!$K:$K,"&gt;0")&lt;=8,57,IF(COUNTIF(辅助!$K:$K,"&gt;0")&lt;=16,114,IF(COUNTIF(辅助!$K:$K,"&gt;0")&lt;=24,173,231))),7)</definedName>
    <definedName name="_xlnm.Print_Area" localSheetId="20">'委托书 (6)'!$A$1:$F$36</definedName>
    <definedName name="_xlnm.Print_Area" localSheetId="17">委托书1!$A$1:$F$36</definedName>
    <definedName name="_xlnm.Print_Area" localSheetId="18">委托书2!$A$1:$F$36</definedName>
    <definedName name="_xlnm.Print_Area" localSheetId="19">委托书3!$A$1:$F$36</definedName>
    <definedName name="_xlnm.Print_Area" localSheetId="23">OFFSET('箱单 (2)'!$A$1,,,IF(COUNTIF(辅助!$K:$K,"&gt;0")&lt;=12,37,IF(COUNTIF(辅助!$K:$K,"&gt;0")&lt;=24,73,IF(COUNTIF(辅助!$K:$K,"&gt;0")&lt;=36,109))),9)</definedName>
    <definedName name="_xlnm.Print_Area" localSheetId="24">OFFSET('箱单 (3)'!$A$1,,,IF(COUNTIF(辅助!$K:$K,"&gt;0")&lt;=12,37,IF(COUNTIF(辅助!$K:$K,"&gt;0")&lt;=24,73,IF(COUNTIF(辅助!$K:$K,"&gt;0")&lt;=36,109))),9)</definedName>
    <definedName name="_xlnm.Print_Area" localSheetId="26">OFFSET(运输保函1!$A$1,,,IF(COUNTIF(辅助!$K:$K,"&gt;0")&lt;=8,42,IF(COUNTIF(辅助!$K:$K,"&gt;0")&lt;=16,84,IF(COUNTIF(辅助!$K:$K,"&gt;0")&lt;=24,126,172))),5)</definedName>
    <definedName name="_xlnm.Print_Area" localSheetId="27">OFFSET(运输保函2!$A$1,,,IF(COUNTIF(辅助!$K:$K,"&gt;0")&lt;=8,42,IF(COUNTIF(辅助!$K:$K,"&gt;0")&lt;=16,84,IF(COUNTIF(辅助!$K:$K,"&gt;0")&lt;=24,126,172))),5)</definedName>
    <definedName name="sigz">INDEX(TSCA!$M:$M,MATCH(TSCA!$O$13,TSCA!$L:$L,0))</definedName>
  </definedNames>
  <calcPr calcId="152511"/>
</workbook>
</file>

<file path=xl/calcChain.xml><?xml version="1.0" encoding="utf-8"?>
<calcChain xmlns="http://schemas.openxmlformats.org/spreadsheetml/2006/main">
  <c r="L21" i="135" l="1"/>
  <c r="A34" i="139" l="1"/>
  <c r="A19" i="128"/>
  <c r="A104" i="145" l="1"/>
  <c r="A68" i="145"/>
  <c r="A32" i="145"/>
  <c r="C12" i="145"/>
  <c r="C48" i="145" s="1"/>
  <c r="C84" i="145" s="1"/>
  <c r="H85" i="144"/>
  <c r="G85" i="144"/>
  <c r="H50" i="144"/>
  <c r="G50" i="144"/>
  <c r="G33" i="144"/>
  <c r="G103" i="144" s="1"/>
  <c r="A31" i="144"/>
  <c r="A66" i="144" s="1"/>
  <c r="A101" i="144" s="1"/>
  <c r="L18" i="144"/>
  <c r="H15" i="144"/>
  <c r="G15" i="144"/>
  <c r="E15" i="144"/>
  <c r="E50" i="144" s="1"/>
  <c r="E85" i="144" s="1"/>
  <c r="C13" i="144"/>
  <c r="C48" i="144" s="1"/>
  <c r="C83" i="144" s="1"/>
  <c r="F10" i="144"/>
  <c r="F45" i="144" s="1"/>
  <c r="F80" i="144" s="1"/>
  <c r="F9" i="144"/>
  <c r="F44" i="144" s="1"/>
  <c r="F79" i="144" s="1"/>
  <c r="F8" i="144"/>
  <c r="F43" i="144" s="1"/>
  <c r="F78" i="144" s="1"/>
  <c r="F7" i="144"/>
  <c r="F42" i="144" s="1"/>
  <c r="F77" i="144" s="1"/>
  <c r="F6" i="144"/>
  <c r="F41" i="144" s="1"/>
  <c r="F76" i="144" s="1"/>
  <c r="F16" i="144" l="1"/>
  <c r="G68" i="144"/>
  <c r="A104" i="142"/>
  <c r="A68" i="142"/>
  <c r="A32" i="142"/>
  <c r="C12" i="142"/>
  <c r="C48" i="142" s="1"/>
  <c r="C84" i="142" s="1"/>
  <c r="A104" i="141"/>
  <c r="A68" i="141"/>
  <c r="A32" i="141"/>
  <c r="C12" i="141"/>
  <c r="C48" i="141" s="1"/>
  <c r="C84" i="141" s="1"/>
  <c r="A203" i="140"/>
  <c r="A153" i="140"/>
  <c r="A102" i="140"/>
  <c r="A51" i="140"/>
  <c r="B48" i="139"/>
  <c r="B91" i="139" s="1"/>
  <c r="B134" i="139" s="1"/>
  <c r="A77" i="139"/>
  <c r="A120" i="139" s="1"/>
  <c r="A163" i="139" s="1"/>
  <c r="B5" i="139"/>
  <c r="A104" i="137"/>
  <c r="A68" i="137"/>
  <c r="A32" i="137"/>
  <c r="C12" i="137"/>
  <c r="C48" i="137" s="1"/>
  <c r="C84" i="137" s="1"/>
  <c r="H85" i="136"/>
  <c r="G85" i="136"/>
  <c r="H50" i="136"/>
  <c r="G50" i="136"/>
  <c r="G33" i="136"/>
  <c r="G103" i="136" s="1"/>
  <c r="A31" i="136"/>
  <c r="A66" i="136" s="1"/>
  <c r="A101" i="136" s="1"/>
  <c r="L18" i="136"/>
  <c r="H15" i="136"/>
  <c r="G15" i="136"/>
  <c r="E15" i="136"/>
  <c r="E50" i="136" s="1"/>
  <c r="E85" i="136" s="1"/>
  <c r="C13" i="136"/>
  <c r="C48" i="136" s="1"/>
  <c r="C83" i="136" s="1"/>
  <c r="F10" i="136"/>
  <c r="F45" i="136" s="1"/>
  <c r="F80" i="136" s="1"/>
  <c r="F9" i="136"/>
  <c r="F44" i="136" s="1"/>
  <c r="F79" i="136" s="1"/>
  <c r="F8" i="136"/>
  <c r="F43" i="136" s="1"/>
  <c r="F78" i="136" s="1"/>
  <c r="F7" i="136"/>
  <c r="F42" i="136" s="1"/>
  <c r="F77" i="136" s="1"/>
  <c r="F6" i="136"/>
  <c r="F41" i="136" s="1"/>
  <c r="F76" i="136" s="1"/>
  <c r="H85" i="135"/>
  <c r="G85" i="135"/>
  <c r="H50" i="135"/>
  <c r="G50" i="135"/>
  <c r="G33" i="135"/>
  <c r="G103" i="135" s="1"/>
  <c r="A31" i="135"/>
  <c r="A66" i="135" s="1"/>
  <c r="A101" i="135" s="1"/>
  <c r="L18" i="135"/>
  <c r="H15" i="135"/>
  <c r="G15" i="135"/>
  <c r="E15" i="135"/>
  <c r="E50" i="135" s="1"/>
  <c r="E85" i="135" s="1"/>
  <c r="C13" i="135"/>
  <c r="C48" i="135" s="1"/>
  <c r="C83" i="135" s="1"/>
  <c r="F10" i="135"/>
  <c r="F45" i="135" s="1"/>
  <c r="F80" i="135" s="1"/>
  <c r="F9" i="135"/>
  <c r="F44" i="135" s="1"/>
  <c r="F79" i="135" s="1"/>
  <c r="F8" i="135"/>
  <c r="F43" i="135" s="1"/>
  <c r="F78" i="135" s="1"/>
  <c r="F7" i="135"/>
  <c r="F42" i="135" s="1"/>
  <c r="F77" i="135" s="1"/>
  <c r="F6" i="135"/>
  <c r="F41" i="135" s="1"/>
  <c r="F76" i="135" s="1"/>
  <c r="B20" i="134"/>
  <c r="A10" i="134"/>
  <c r="B20" i="133"/>
  <c r="A10" i="133"/>
  <c r="A19" i="132"/>
  <c r="B5" i="132"/>
  <c r="F86" i="144" l="1"/>
  <c r="F51" i="144"/>
  <c r="F16" i="136"/>
  <c r="G68" i="136"/>
  <c r="F16" i="135"/>
  <c r="G68" i="135"/>
  <c r="F86" i="136" l="1"/>
  <c r="F51" i="136"/>
  <c r="F86" i="135"/>
  <c r="F51" i="135"/>
  <c r="A34" i="14"/>
  <c r="L18" i="12" l="1"/>
  <c r="F7" i="12" l="1"/>
  <c r="F7" i="145" s="1"/>
  <c r="F43" i="145" s="1"/>
  <c r="F79" i="145" s="1"/>
  <c r="F8" i="12"/>
  <c r="F8" i="145" s="1"/>
  <c r="F44" i="145" s="1"/>
  <c r="F80" i="145" s="1"/>
  <c r="F9" i="12"/>
  <c r="F9" i="145" s="1"/>
  <c r="F45" i="145" s="1"/>
  <c r="F81" i="145" s="1"/>
  <c r="F10" i="12"/>
  <c r="F10" i="145" s="1"/>
  <c r="F46" i="145" s="1"/>
  <c r="F82" i="145" s="1"/>
  <c r="F6" i="12"/>
  <c r="F6" i="145" s="1"/>
  <c r="F42" i="145" s="1"/>
  <c r="F78" i="145" s="1"/>
  <c r="F10" i="141" l="1"/>
  <c r="F46" i="141" s="1"/>
  <c r="F82" i="141" s="1"/>
  <c r="F10" i="142"/>
  <c r="F46" i="142" s="1"/>
  <c r="F82" i="142" s="1"/>
  <c r="F6" i="141"/>
  <c r="F42" i="141" s="1"/>
  <c r="F78" i="141" s="1"/>
  <c r="F6" i="142"/>
  <c r="F42" i="142" s="1"/>
  <c r="F78" i="142" s="1"/>
  <c r="F9" i="142"/>
  <c r="F45" i="142" s="1"/>
  <c r="F81" i="142" s="1"/>
  <c r="F9" i="141"/>
  <c r="F45" i="141" s="1"/>
  <c r="F81" i="141" s="1"/>
  <c r="F8" i="142"/>
  <c r="F44" i="142" s="1"/>
  <c r="F80" i="142" s="1"/>
  <c r="F8" i="141"/>
  <c r="F44" i="141" s="1"/>
  <c r="F80" i="141" s="1"/>
  <c r="F7" i="141"/>
  <c r="F43" i="141" s="1"/>
  <c r="F79" i="141" s="1"/>
  <c r="F7" i="142"/>
  <c r="F43" i="142" s="1"/>
  <c r="F79" i="142" s="1"/>
  <c r="F6" i="137"/>
  <c r="F42" i="137" s="1"/>
  <c r="F78" i="137" s="1"/>
  <c r="F10" i="137"/>
  <c r="F46" i="137" s="1"/>
  <c r="F82" i="137" s="1"/>
  <c r="F9" i="137"/>
  <c r="F45" i="137" s="1"/>
  <c r="F81" i="137" s="1"/>
  <c r="F8" i="137"/>
  <c r="F44" i="137" s="1"/>
  <c r="F80" i="137" s="1"/>
  <c r="F7" i="137"/>
  <c r="F43" i="137" s="1"/>
  <c r="F79" i="137" s="1"/>
  <c r="E15" i="12"/>
  <c r="E15" i="145" s="1"/>
  <c r="E11" i="3"/>
  <c r="E51" i="145" l="1"/>
  <c r="E87" i="145"/>
  <c r="E15" i="142"/>
  <c r="E15" i="141"/>
  <c r="B76" i="139"/>
  <c r="B33" i="139"/>
  <c r="B119" i="139"/>
  <c r="B162" i="139" s="1"/>
  <c r="E15" i="137"/>
  <c r="B18" i="132"/>
  <c r="A32" i="112"/>
  <c r="A72" i="112" s="1"/>
  <c r="A112" i="112" s="1"/>
  <c r="A152" i="112" s="1"/>
  <c r="A31" i="112"/>
  <c r="A71" i="112" s="1"/>
  <c r="A111" i="112" s="1"/>
  <c r="A151" i="112" s="1"/>
  <c r="A29" i="112"/>
  <c r="A69" i="112" s="1"/>
  <c r="A109" i="112" s="1"/>
  <c r="A149" i="112" s="1"/>
  <c r="C28" i="112"/>
  <c r="C68" i="112" s="1"/>
  <c r="C108" i="112" s="1"/>
  <c r="C148" i="112" s="1"/>
  <c r="C27" i="112"/>
  <c r="C67" i="112" s="1"/>
  <c r="C107" i="112" s="1"/>
  <c r="C147" i="112" s="1"/>
  <c r="C26" i="112"/>
  <c r="C66" i="112" s="1"/>
  <c r="C106" i="112" s="1"/>
  <c r="C146" i="112" s="1"/>
  <c r="C25" i="112"/>
  <c r="C65" i="112" s="1"/>
  <c r="C105" i="112" s="1"/>
  <c r="C145" i="112" s="1"/>
  <c r="O13" i="112"/>
  <c r="A70" i="112"/>
  <c r="E51" i="142" l="1"/>
  <c r="E87" i="142"/>
  <c r="E87" i="141"/>
  <c r="E51" i="141"/>
  <c r="E51" i="137"/>
  <c r="E87" i="137"/>
  <c r="Q8" i="112"/>
  <c r="A32" i="129" l="1"/>
  <c r="A68" i="129" s="1"/>
  <c r="A31" i="12"/>
  <c r="A66" i="12" s="1"/>
  <c r="A101" i="12" s="1"/>
  <c r="A31" i="119" l="1"/>
  <c r="A66" i="119" l="1"/>
  <c r="A101" i="119" s="1"/>
  <c r="A31" i="118"/>
  <c r="A66" i="118" s="1"/>
  <c r="A101" i="118" s="1"/>
  <c r="F16" i="12" l="1"/>
  <c r="F7" i="130"/>
  <c r="F43" i="130" s="1"/>
  <c r="F79" i="130" s="1"/>
  <c r="F8" i="129"/>
  <c r="F44" i="129" s="1"/>
  <c r="F80" i="129" s="1"/>
  <c r="F9" i="130"/>
  <c r="F45" i="130" s="1"/>
  <c r="F81" i="130" s="1"/>
  <c r="F10" i="130"/>
  <c r="F46" i="130" s="1"/>
  <c r="F82" i="130" s="1"/>
  <c r="F6" i="129"/>
  <c r="F42" i="129" s="1"/>
  <c r="F78" i="129" s="1"/>
  <c r="C12" i="130"/>
  <c r="C48" i="130" s="1"/>
  <c r="C84" i="130" s="1"/>
  <c r="C12" i="129"/>
  <c r="C48" i="129" s="1"/>
  <c r="C84" i="129" s="1"/>
  <c r="F16" i="119" l="1"/>
  <c r="F86" i="12"/>
  <c r="F51" i="12"/>
  <c r="F7" i="129"/>
  <c r="F43" i="129" s="1"/>
  <c r="F79" i="129" s="1"/>
  <c r="F9" i="129"/>
  <c r="F45" i="129" s="1"/>
  <c r="F81" i="129" s="1"/>
  <c r="E15" i="130"/>
  <c r="E87" i="130" s="1"/>
  <c r="B18" i="128"/>
  <c r="F8" i="130"/>
  <c r="F44" i="130" s="1"/>
  <c r="F80" i="130" s="1"/>
  <c r="F10" i="129"/>
  <c r="F46" i="129" s="1"/>
  <c r="F82" i="129" s="1"/>
  <c r="E15" i="119"/>
  <c r="E15" i="129"/>
  <c r="E87" i="129" s="1"/>
  <c r="F6" i="130"/>
  <c r="F42" i="130" s="1"/>
  <c r="F78" i="130" s="1"/>
  <c r="F51" i="119" l="1"/>
  <c r="F16" i="118"/>
  <c r="E51" i="130"/>
  <c r="E51" i="129"/>
  <c r="F86" i="119" l="1"/>
  <c r="F86" i="118" s="1"/>
  <c r="F51" i="118"/>
  <c r="B5" i="128"/>
  <c r="B20" i="126" l="1"/>
  <c r="A10" i="126"/>
  <c r="A34" i="122" l="1"/>
  <c r="E15" i="118"/>
  <c r="E50" i="118" s="1"/>
  <c r="E85" i="118" s="1"/>
  <c r="E85" i="119"/>
  <c r="E50" i="119"/>
  <c r="F8" i="119"/>
  <c r="F43" i="119" s="1"/>
  <c r="F9" i="119"/>
  <c r="F44" i="119" s="1"/>
  <c r="F10" i="119"/>
  <c r="F10" i="118" s="1"/>
  <c r="F45" i="118" s="1"/>
  <c r="F80" i="118" s="1"/>
  <c r="F7" i="119"/>
  <c r="F77" i="119" s="1"/>
  <c r="F6" i="119"/>
  <c r="F6" i="118" s="1"/>
  <c r="C12" i="119"/>
  <c r="C12" i="118" s="1"/>
  <c r="C47" i="118" s="1"/>
  <c r="C82" i="118" s="1"/>
  <c r="E50" i="12"/>
  <c r="E85" i="12" s="1"/>
  <c r="C13" i="12"/>
  <c r="C13" i="145" s="1"/>
  <c r="C49" i="145" s="1"/>
  <c r="C85" i="145" s="1"/>
  <c r="C13" i="142" l="1"/>
  <c r="C49" i="142" s="1"/>
  <c r="C85" i="142" s="1"/>
  <c r="C13" i="141"/>
  <c r="C49" i="141" s="1"/>
  <c r="C85" i="141" s="1"/>
  <c r="C13" i="137"/>
  <c r="C49" i="137" s="1"/>
  <c r="C85" i="137" s="1"/>
  <c r="C13" i="129"/>
  <c r="C49" i="129" s="1"/>
  <c r="C85" i="129" s="1"/>
  <c r="C13" i="130"/>
  <c r="C49" i="130" s="1"/>
  <c r="C85" i="130" s="1"/>
  <c r="C47" i="119"/>
  <c r="C82" i="119" s="1"/>
  <c r="F79" i="119"/>
  <c r="F9" i="118"/>
  <c r="F44" i="118" s="1"/>
  <c r="F79" i="118" s="1"/>
  <c r="F78" i="119"/>
  <c r="F45" i="119"/>
  <c r="F8" i="118"/>
  <c r="F43" i="118" s="1"/>
  <c r="F78" i="118" s="1"/>
  <c r="F7" i="118"/>
  <c r="F42" i="118" s="1"/>
  <c r="F77" i="118" s="1"/>
  <c r="F42" i="119"/>
  <c r="F80" i="119"/>
  <c r="F76" i="119"/>
  <c r="C48" i="12"/>
  <c r="C83" i="12" s="1"/>
  <c r="C13" i="119"/>
  <c r="F76" i="118"/>
  <c r="F41" i="118"/>
  <c r="F41" i="119"/>
  <c r="F42" i="12"/>
  <c r="F77" i="12" s="1"/>
  <c r="F43" i="12"/>
  <c r="F78" i="12" s="1"/>
  <c r="F44" i="12"/>
  <c r="F79" i="12" s="1"/>
  <c r="F45" i="12"/>
  <c r="F80" i="12" s="1"/>
  <c r="F41" i="12"/>
  <c r="F76" i="12" s="1"/>
  <c r="C13" i="118" l="1"/>
  <c r="C48" i="118" s="1"/>
  <c r="C83" i="118" s="1"/>
  <c r="C48" i="119"/>
  <c r="C83" i="119" s="1"/>
  <c r="A10" i="124"/>
  <c r="B20" i="124"/>
  <c r="A203" i="123" l="1"/>
  <c r="A153" i="123"/>
  <c r="A102" i="123"/>
  <c r="A51" i="123"/>
  <c r="B117" i="122"/>
  <c r="B159" i="122" s="1"/>
  <c r="A76" i="122"/>
  <c r="A118" i="122" s="1"/>
  <c r="A160" i="122" s="1"/>
  <c r="B75" i="122"/>
  <c r="B47" i="122"/>
  <c r="B89" i="122" s="1"/>
  <c r="B131" i="122" s="1"/>
  <c r="B33" i="122"/>
  <c r="B5" i="122"/>
  <c r="H85" i="119"/>
  <c r="G85" i="119"/>
  <c r="H50" i="119"/>
  <c r="G50" i="119"/>
  <c r="G33" i="119"/>
  <c r="G103" i="119" s="1"/>
  <c r="H15" i="119"/>
  <c r="G15" i="119"/>
  <c r="H85" i="118"/>
  <c r="G85" i="118"/>
  <c r="H50" i="118"/>
  <c r="G50" i="118"/>
  <c r="G33" i="118"/>
  <c r="G103" i="118" s="1"/>
  <c r="H15" i="118"/>
  <c r="G15" i="118"/>
  <c r="G68" i="119" l="1"/>
  <c r="G68" i="118"/>
  <c r="B123" i="112"/>
  <c r="A203" i="78"/>
  <c r="A77" i="14"/>
  <c r="A120" i="14" s="1"/>
  <c r="A163" i="14" s="1"/>
  <c r="H85" i="12" l="1"/>
  <c r="G85" i="12"/>
  <c r="H50" i="12"/>
  <c r="G50" i="12"/>
  <c r="H15" i="12"/>
  <c r="H15" i="145" s="1"/>
  <c r="H51" i="145" s="1"/>
  <c r="H87" i="145" s="1"/>
  <c r="D13" i="94"/>
  <c r="B9" i="6"/>
  <c r="F3" i="112"/>
  <c r="F43" i="112" s="1"/>
  <c r="F123" i="112" s="1"/>
  <c r="B5" i="14"/>
  <c r="B48" i="14"/>
  <c r="B91" i="14" s="1"/>
  <c r="B134" i="14" s="1"/>
  <c r="H15" i="141" l="1"/>
  <c r="H51" i="141" s="1"/>
  <c r="H87" i="141" s="1"/>
  <c r="H15" i="142"/>
  <c r="H51" i="142" s="1"/>
  <c r="H87" i="142" s="1"/>
  <c r="H15" i="137"/>
  <c r="H51" i="137" s="1"/>
  <c r="H87" i="137" s="1"/>
  <c r="H15" i="130"/>
  <c r="H51" i="130" s="1"/>
  <c r="H87" i="130" s="1"/>
  <c r="H15" i="129"/>
  <c r="H51" i="129" s="1"/>
  <c r="H87" i="129" s="1"/>
  <c r="G15" i="12" l="1"/>
  <c r="G15" i="145" s="1"/>
  <c r="G51" i="145" s="1"/>
  <c r="G87" i="145" s="1"/>
  <c r="G33" i="12"/>
  <c r="G34" i="145" s="1"/>
  <c r="G70" i="145" s="1"/>
  <c r="G106" i="145" s="1"/>
  <c r="H3" i="115"/>
  <c r="H4" i="115"/>
  <c r="H5" i="115"/>
  <c r="H6" i="115"/>
  <c r="H7" i="115"/>
  <c r="H8" i="115"/>
  <c r="H9" i="115"/>
  <c r="H10" i="115"/>
  <c r="H11" i="115"/>
  <c r="H12" i="115"/>
  <c r="H13" i="115"/>
  <c r="H14" i="115"/>
  <c r="H15" i="115"/>
  <c r="H16" i="115"/>
  <c r="H17" i="115"/>
  <c r="H18" i="115"/>
  <c r="H19" i="115"/>
  <c r="H20" i="115"/>
  <c r="H21" i="115"/>
  <c r="H22" i="115"/>
  <c r="H23" i="115"/>
  <c r="H24" i="115"/>
  <c r="H25" i="115"/>
  <c r="H26" i="115"/>
  <c r="H27" i="115"/>
  <c r="H28" i="115"/>
  <c r="H29" i="115"/>
  <c r="H30" i="115"/>
  <c r="H31" i="115"/>
  <c r="H32" i="115"/>
  <c r="H33" i="115"/>
  <c r="H34" i="115"/>
  <c r="H35" i="115"/>
  <c r="H36" i="115"/>
  <c r="H37" i="115"/>
  <c r="H38" i="115"/>
  <c r="H39" i="115"/>
  <c r="H40" i="115"/>
  <c r="H41" i="115"/>
  <c r="H42" i="115"/>
  <c r="H43" i="115"/>
  <c r="H44" i="115"/>
  <c r="H45" i="115"/>
  <c r="H46" i="115"/>
  <c r="H47" i="115"/>
  <c r="H48" i="115"/>
  <c r="H49" i="115"/>
  <c r="H50" i="115"/>
  <c r="H51" i="115"/>
  <c r="H52" i="115"/>
  <c r="H53" i="115"/>
  <c r="H54" i="115"/>
  <c r="H55" i="115"/>
  <c r="H56" i="115"/>
  <c r="H57" i="115"/>
  <c r="H58" i="115"/>
  <c r="H59" i="115"/>
  <c r="H60" i="115"/>
  <c r="H61" i="115"/>
  <c r="H62" i="115"/>
  <c r="H63" i="115"/>
  <c r="H64" i="115"/>
  <c r="H65" i="115"/>
  <c r="H66" i="115"/>
  <c r="H67" i="115"/>
  <c r="H68" i="115"/>
  <c r="H69" i="115"/>
  <c r="H70" i="115"/>
  <c r="H71" i="115"/>
  <c r="H72" i="115"/>
  <c r="H73" i="115"/>
  <c r="H74" i="115"/>
  <c r="H75" i="115"/>
  <c r="H76" i="115"/>
  <c r="H77" i="115"/>
  <c r="H78" i="115"/>
  <c r="H79" i="115"/>
  <c r="H80" i="115"/>
  <c r="H81" i="115"/>
  <c r="H82" i="115"/>
  <c r="H83" i="115"/>
  <c r="H84" i="115"/>
  <c r="H85" i="115"/>
  <c r="H86" i="115"/>
  <c r="H87" i="115"/>
  <c r="H88" i="115"/>
  <c r="H89" i="115"/>
  <c r="H90" i="115"/>
  <c r="H91" i="115"/>
  <c r="H92" i="115"/>
  <c r="H93" i="115"/>
  <c r="H94" i="115"/>
  <c r="H95" i="115"/>
  <c r="H96" i="115"/>
  <c r="H97" i="115"/>
  <c r="H98" i="115"/>
  <c r="H99" i="115"/>
  <c r="H100" i="115"/>
  <c r="H101" i="115"/>
  <c r="H102" i="115"/>
  <c r="H103" i="115"/>
  <c r="H104" i="115"/>
  <c r="H105" i="115"/>
  <c r="H106" i="115"/>
  <c r="H107" i="115"/>
  <c r="H108" i="115"/>
  <c r="H109" i="115"/>
  <c r="H110" i="115"/>
  <c r="H111" i="115"/>
  <c r="H112" i="115"/>
  <c r="H113" i="115"/>
  <c r="H114" i="115"/>
  <c r="H115" i="115"/>
  <c r="H116" i="115"/>
  <c r="H117" i="115"/>
  <c r="H118" i="115"/>
  <c r="H119" i="115"/>
  <c r="H120" i="115"/>
  <c r="H121" i="115"/>
  <c r="H122" i="115"/>
  <c r="H123" i="115"/>
  <c r="H124" i="115"/>
  <c r="H125" i="115"/>
  <c r="H126" i="115"/>
  <c r="H127" i="115"/>
  <c r="H128" i="115"/>
  <c r="H129" i="115"/>
  <c r="H130" i="115"/>
  <c r="H131" i="115"/>
  <c r="H132" i="115"/>
  <c r="H133" i="115"/>
  <c r="H134" i="115"/>
  <c r="H135" i="115"/>
  <c r="H136" i="115"/>
  <c r="H137" i="115"/>
  <c r="H138" i="115"/>
  <c r="H139" i="115"/>
  <c r="H140" i="115"/>
  <c r="H141" i="115"/>
  <c r="H142" i="115"/>
  <c r="H143" i="115"/>
  <c r="H144" i="115"/>
  <c r="H145" i="115"/>
  <c r="H146" i="115"/>
  <c r="H147" i="115"/>
  <c r="H148" i="115"/>
  <c r="H149" i="115"/>
  <c r="H150" i="115"/>
  <c r="H151" i="115"/>
  <c r="H152" i="115"/>
  <c r="H153" i="115"/>
  <c r="H154" i="115"/>
  <c r="H155" i="115"/>
  <c r="H156" i="115"/>
  <c r="H157" i="115"/>
  <c r="H158" i="115"/>
  <c r="H159" i="115"/>
  <c r="H160" i="115"/>
  <c r="H161" i="115"/>
  <c r="H162" i="115"/>
  <c r="H163" i="115"/>
  <c r="H164" i="115"/>
  <c r="H165" i="115"/>
  <c r="H166" i="115"/>
  <c r="H167" i="115"/>
  <c r="H168" i="115"/>
  <c r="H169" i="115"/>
  <c r="H170" i="115"/>
  <c r="H171" i="115"/>
  <c r="H172" i="115"/>
  <c r="H173" i="115"/>
  <c r="H174" i="115"/>
  <c r="H175" i="115"/>
  <c r="H176" i="115"/>
  <c r="H177" i="115"/>
  <c r="H178" i="115"/>
  <c r="H179" i="115"/>
  <c r="H180" i="115"/>
  <c r="H181" i="115"/>
  <c r="H182" i="115"/>
  <c r="H183" i="115"/>
  <c r="H184" i="115"/>
  <c r="H185" i="115"/>
  <c r="H186" i="115"/>
  <c r="H187" i="115"/>
  <c r="H188" i="115"/>
  <c r="H189" i="115"/>
  <c r="H190" i="115"/>
  <c r="H191" i="115"/>
  <c r="H192" i="115"/>
  <c r="H193" i="115"/>
  <c r="H194" i="115"/>
  <c r="H195" i="115"/>
  <c r="H196" i="115"/>
  <c r="H197" i="115"/>
  <c r="H198" i="115"/>
  <c r="H199" i="115"/>
  <c r="H200" i="115"/>
  <c r="H201" i="115"/>
  <c r="H202" i="115"/>
  <c r="H203" i="115"/>
  <c r="H204" i="115"/>
  <c r="H205" i="115"/>
  <c r="H206" i="115"/>
  <c r="H207" i="115"/>
  <c r="H208" i="115"/>
  <c r="H209" i="115"/>
  <c r="H210" i="115"/>
  <c r="H211" i="115"/>
  <c r="H212" i="115"/>
  <c r="H213" i="115"/>
  <c r="H214" i="115"/>
  <c r="H215" i="115"/>
  <c r="H216" i="115"/>
  <c r="H217" i="115"/>
  <c r="H218" i="115"/>
  <c r="H219" i="115"/>
  <c r="H220" i="115"/>
  <c r="H221" i="115"/>
  <c r="H222" i="115"/>
  <c r="H223" i="115"/>
  <c r="H224" i="115"/>
  <c r="H225" i="115"/>
  <c r="H226" i="115"/>
  <c r="H227" i="115"/>
  <c r="H228" i="115"/>
  <c r="H229" i="115"/>
  <c r="H230" i="115"/>
  <c r="H231" i="115"/>
  <c r="H232" i="115"/>
  <c r="H233" i="115"/>
  <c r="H234" i="115"/>
  <c r="H235" i="115"/>
  <c r="H236" i="115"/>
  <c r="H237" i="115"/>
  <c r="H238" i="115"/>
  <c r="H239" i="115"/>
  <c r="H240" i="115"/>
  <c r="H241" i="115"/>
  <c r="H242" i="115"/>
  <c r="H243" i="115"/>
  <c r="H244" i="115"/>
  <c r="H245" i="115"/>
  <c r="H246" i="115"/>
  <c r="H247" i="115"/>
  <c r="H248" i="115"/>
  <c r="H249" i="115"/>
  <c r="H250" i="115"/>
  <c r="H251" i="115"/>
  <c r="H252" i="115"/>
  <c r="H253" i="115"/>
  <c r="H254" i="115"/>
  <c r="H255" i="115"/>
  <c r="H256" i="115"/>
  <c r="H257" i="115"/>
  <c r="H258" i="115"/>
  <c r="H259" i="115"/>
  <c r="H260" i="115"/>
  <c r="H261" i="115"/>
  <c r="H262" i="115"/>
  <c r="H263" i="115"/>
  <c r="H264" i="115"/>
  <c r="H265" i="115"/>
  <c r="H266" i="115"/>
  <c r="H267" i="115"/>
  <c r="H268" i="115"/>
  <c r="H269" i="115"/>
  <c r="H270" i="115"/>
  <c r="H271" i="115"/>
  <c r="H272" i="115"/>
  <c r="H273" i="115"/>
  <c r="H274" i="115"/>
  <c r="H275" i="115"/>
  <c r="H276" i="115"/>
  <c r="H277" i="115"/>
  <c r="H278" i="115"/>
  <c r="H279" i="115"/>
  <c r="H280" i="115"/>
  <c r="H281" i="115"/>
  <c r="H282" i="115"/>
  <c r="H283" i="115"/>
  <c r="H284" i="115"/>
  <c r="H285" i="115"/>
  <c r="H286" i="115"/>
  <c r="H287" i="115"/>
  <c r="H288" i="115"/>
  <c r="H289" i="115"/>
  <c r="H290" i="115"/>
  <c r="H291" i="115"/>
  <c r="H292" i="115"/>
  <c r="H293" i="115"/>
  <c r="H294" i="115"/>
  <c r="H295" i="115"/>
  <c r="H296" i="115"/>
  <c r="H297" i="115"/>
  <c r="H298" i="115"/>
  <c r="H299" i="115"/>
  <c r="H300" i="115"/>
  <c r="H301" i="115"/>
  <c r="H302" i="115"/>
  <c r="H303" i="115"/>
  <c r="H304" i="115"/>
  <c r="H305" i="115"/>
  <c r="H306" i="115"/>
  <c r="H307" i="115"/>
  <c r="H308" i="115"/>
  <c r="H309" i="115"/>
  <c r="H310" i="115"/>
  <c r="H311" i="115"/>
  <c r="H312" i="115"/>
  <c r="H313" i="115"/>
  <c r="H314" i="115"/>
  <c r="H315" i="115"/>
  <c r="H316" i="115"/>
  <c r="H317" i="115"/>
  <c r="H318" i="115"/>
  <c r="H319" i="115"/>
  <c r="H320" i="115"/>
  <c r="H321" i="115"/>
  <c r="H322" i="115"/>
  <c r="H323" i="115"/>
  <c r="H324" i="115"/>
  <c r="H325" i="115"/>
  <c r="H326" i="115"/>
  <c r="H327" i="115"/>
  <c r="H328" i="115"/>
  <c r="H329" i="115"/>
  <c r="H330" i="115"/>
  <c r="H331" i="115"/>
  <c r="H332" i="115"/>
  <c r="H333" i="115"/>
  <c r="H334" i="115"/>
  <c r="H335" i="115"/>
  <c r="H336" i="115"/>
  <c r="H337" i="115"/>
  <c r="H338" i="115"/>
  <c r="H339" i="115"/>
  <c r="H340" i="115"/>
  <c r="H341" i="115"/>
  <c r="H342" i="115"/>
  <c r="H343" i="115"/>
  <c r="H344" i="115"/>
  <c r="H345" i="115"/>
  <c r="H346" i="115"/>
  <c r="H347" i="115"/>
  <c r="H348" i="115"/>
  <c r="H349" i="115"/>
  <c r="H350" i="115"/>
  <c r="H351" i="115"/>
  <c r="H352" i="115"/>
  <c r="H353" i="115"/>
  <c r="H354" i="115"/>
  <c r="H355" i="115"/>
  <c r="H356" i="115"/>
  <c r="H357" i="115"/>
  <c r="H358" i="115"/>
  <c r="H359" i="115"/>
  <c r="H360" i="115"/>
  <c r="H361" i="115"/>
  <c r="H362" i="115"/>
  <c r="H363" i="115"/>
  <c r="H364" i="115"/>
  <c r="H365" i="115"/>
  <c r="H366" i="115"/>
  <c r="H367" i="115"/>
  <c r="H368" i="115"/>
  <c r="H369" i="115"/>
  <c r="H370" i="115"/>
  <c r="H371" i="115"/>
  <c r="H372" i="115"/>
  <c r="H373" i="115"/>
  <c r="H374" i="115"/>
  <c r="H375" i="115"/>
  <c r="H376" i="115"/>
  <c r="H377" i="115"/>
  <c r="H378" i="115"/>
  <c r="H379" i="115"/>
  <c r="H380" i="115"/>
  <c r="H381" i="115"/>
  <c r="H382" i="115"/>
  <c r="H383" i="115"/>
  <c r="H384" i="115"/>
  <c r="H385" i="115"/>
  <c r="H386" i="115"/>
  <c r="H387" i="115"/>
  <c r="H388" i="115"/>
  <c r="H389" i="115"/>
  <c r="H390" i="115"/>
  <c r="H391" i="115"/>
  <c r="H392" i="115"/>
  <c r="H393" i="115"/>
  <c r="H394" i="115"/>
  <c r="H395" i="115"/>
  <c r="H396" i="115"/>
  <c r="H397" i="115"/>
  <c r="H398" i="115"/>
  <c r="H399" i="115"/>
  <c r="H400" i="115"/>
  <c r="H401" i="115"/>
  <c r="H402" i="115"/>
  <c r="H403" i="115"/>
  <c r="H404" i="115"/>
  <c r="H405" i="115"/>
  <c r="H406" i="115"/>
  <c r="H407" i="115"/>
  <c r="H408" i="115"/>
  <c r="H409" i="115"/>
  <c r="H410" i="115"/>
  <c r="H411" i="115"/>
  <c r="H412" i="115"/>
  <c r="H413" i="115"/>
  <c r="H414" i="115"/>
  <c r="H415" i="115"/>
  <c r="H416" i="115"/>
  <c r="H417" i="115"/>
  <c r="H418" i="115"/>
  <c r="H419" i="115"/>
  <c r="H420" i="115"/>
  <c r="H421" i="115"/>
  <c r="H422" i="115"/>
  <c r="H423" i="115"/>
  <c r="H424" i="115"/>
  <c r="H425" i="115"/>
  <c r="H426" i="115"/>
  <c r="H427" i="115"/>
  <c r="H428" i="115"/>
  <c r="H429" i="115"/>
  <c r="H430" i="115"/>
  <c r="H431" i="115"/>
  <c r="H432" i="115"/>
  <c r="H433" i="115"/>
  <c r="H434" i="115"/>
  <c r="H435" i="115"/>
  <c r="H436" i="115"/>
  <c r="H437" i="115"/>
  <c r="H438" i="115"/>
  <c r="H439" i="115"/>
  <c r="H440" i="115"/>
  <c r="H441" i="115"/>
  <c r="H442" i="115"/>
  <c r="H443" i="115"/>
  <c r="H444" i="115"/>
  <c r="H445" i="115"/>
  <c r="H446" i="115"/>
  <c r="H447" i="115"/>
  <c r="H448" i="115"/>
  <c r="H449" i="115"/>
  <c r="H450" i="115"/>
  <c r="H451" i="115"/>
  <c r="H452" i="115"/>
  <c r="H453" i="115"/>
  <c r="H454" i="115"/>
  <c r="H455" i="115"/>
  <c r="H456" i="115"/>
  <c r="H457" i="115"/>
  <c r="H458" i="115"/>
  <c r="H459" i="115"/>
  <c r="H460" i="115"/>
  <c r="H461" i="115"/>
  <c r="H462" i="115"/>
  <c r="H463" i="115"/>
  <c r="H464" i="115"/>
  <c r="H465" i="115"/>
  <c r="H466" i="115"/>
  <c r="H467" i="115"/>
  <c r="H468" i="115"/>
  <c r="H469" i="115"/>
  <c r="H470" i="115"/>
  <c r="H471" i="115"/>
  <c r="H472" i="115"/>
  <c r="H473" i="115"/>
  <c r="H474" i="115"/>
  <c r="H475" i="115"/>
  <c r="H476" i="115"/>
  <c r="H477" i="115"/>
  <c r="H478" i="115"/>
  <c r="H479" i="115"/>
  <c r="H480" i="115"/>
  <c r="H481" i="115"/>
  <c r="H482" i="115"/>
  <c r="H483" i="115"/>
  <c r="H484" i="115"/>
  <c r="H485" i="115"/>
  <c r="H486" i="115"/>
  <c r="H487" i="115"/>
  <c r="H488" i="115"/>
  <c r="H489" i="115"/>
  <c r="H490" i="115"/>
  <c r="H491" i="115"/>
  <c r="H492" i="115"/>
  <c r="H493" i="115"/>
  <c r="H494" i="115"/>
  <c r="H495" i="115"/>
  <c r="H496" i="115"/>
  <c r="H497" i="115"/>
  <c r="H498" i="115"/>
  <c r="H499" i="115"/>
  <c r="H500" i="115"/>
  <c r="H501" i="115"/>
  <c r="H502" i="115"/>
  <c r="H503" i="115"/>
  <c r="H504" i="115"/>
  <c r="H505" i="115"/>
  <c r="H506" i="115"/>
  <c r="H507" i="115"/>
  <c r="H508" i="115"/>
  <c r="H509" i="115"/>
  <c r="H510" i="115"/>
  <c r="H511" i="115"/>
  <c r="H512" i="115"/>
  <c r="H513" i="115"/>
  <c r="H514" i="115"/>
  <c r="H515" i="115"/>
  <c r="H516" i="115"/>
  <c r="H517" i="115"/>
  <c r="H518" i="115"/>
  <c r="H519" i="115"/>
  <c r="H520" i="115"/>
  <c r="H521" i="115"/>
  <c r="H522" i="115"/>
  <c r="H523" i="115"/>
  <c r="H524" i="115"/>
  <c r="H525" i="115"/>
  <c r="H526" i="115"/>
  <c r="H527" i="115"/>
  <c r="H528" i="115"/>
  <c r="H529" i="115"/>
  <c r="H530" i="115"/>
  <c r="H531" i="115"/>
  <c r="H532" i="115"/>
  <c r="H533" i="115"/>
  <c r="H534" i="115"/>
  <c r="H535" i="115"/>
  <c r="H536" i="115"/>
  <c r="H537" i="115"/>
  <c r="H538" i="115"/>
  <c r="H539" i="115"/>
  <c r="H540" i="115"/>
  <c r="H541" i="115"/>
  <c r="H542" i="115"/>
  <c r="H543" i="115"/>
  <c r="H544" i="115"/>
  <c r="H545" i="115"/>
  <c r="H546" i="115"/>
  <c r="H547" i="115"/>
  <c r="H548" i="115"/>
  <c r="H549" i="115"/>
  <c r="H550" i="115"/>
  <c r="H551" i="115"/>
  <c r="H552" i="115"/>
  <c r="H553" i="115"/>
  <c r="H554" i="115"/>
  <c r="H555" i="115"/>
  <c r="H556" i="115"/>
  <c r="H557" i="115"/>
  <c r="H558" i="115"/>
  <c r="H559" i="115"/>
  <c r="H560" i="115"/>
  <c r="H561" i="115"/>
  <c r="H562" i="115"/>
  <c r="H563" i="115"/>
  <c r="H564" i="115"/>
  <c r="H565" i="115"/>
  <c r="H566" i="115"/>
  <c r="H567" i="115"/>
  <c r="H568" i="115"/>
  <c r="H569" i="115"/>
  <c r="H570" i="115"/>
  <c r="H571" i="115"/>
  <c r="H572" i="115"/>
  <c r="H573" i="115"/>
  <c r="H574" i="115"/>
  <c r="H575" i="115"/>
  <c r="H576" i="115"/>
  <c r="H577" i="115"/>
  <c r="H578" i="115"/>
  <c r="H579" i="115"/>
  <c r="H580" i="115"/>
  <c r="H581" i="115"/>
  <c r="H582" i="115"/>
  <c r="H583" i="115"/>
  <c r="H584" i="115"/>
  <c r="H585" i="115"/>
  <c r="H586" i="115"/>
  <c r="H587" i="115"/>
  <c r="H588" i="115"/>
  <c r="H589" i="115"/>
  <c r="H590" i="115"/>
  <c r="H591" i="115"/>
  <c r="H592" i="115"/>
  <c r="H593" i="115"/>
  <c r="H594" i="115"/>
  <c r="H595" i="115"/>
  <c r="H596" i="115"/>
  <c r="H597" i="115"/>
  <c r="H598" i="115"/>
  <c r="H599" i="115"/>
  <c r="H600" i="115"/>
  <c r="H601" i="115"/>
  <c r="H602" i="115"/>
  <c r="H603" i="115"/>
  <c r="H604" i="115"/>
  <c r="H605" i="115"/>
  <c r="H606" i="115"/>
  <c r="H607" i="115"/>
  <c r="H608" i="115"/>
  <c r="H609" i="115"/>
  <c r="H610" i="115"/>
  <c r="H611" i="115"/>
  <c r="H612" i="115"/>
  <c r="H613" i="115"/>
  <c r="H614" i="115"/>
  <c r="H615" i="115"/>
  <c r="H616" i="115"/>
  <c r="H617" i="115"/>
  <c r="H618" i="115"/>
  <c r="H619" i="115"/>
  <c r="H620" i="115"/>
  <c r="H621" i="115"/>
  <c r="H622" i="115"/>
  <c r="H623" i="115"/>
  <c r="H624" i="115"/>
  <c r="H625" i="115"/>
  <c r="H626" i="115"/>
  <c r="H627" i="115"/>
  <c r="H628" i="115"/>
  <c r="H629" i="115"/>
  <c r="H630" i="115"/>
  <c r="H631" i="115"/>
  <c r="H632" i="115"/>
  <c r="H633" i="115"/>
  <c r="H634" i="115"/>
  <c r="H635" i="115"/>
  <c r="H636" i="115"/>
  <c r="H637" i="115"/>
  <c r="H638" i="115"/>
  <c r="H639" i="115"/>
  <c r="H640" i="115"/>
  <c r="H641" i="115"/>
  <c r="H642" i="115"/>
  <c r="H643" i="115"/>
  <c r="H644" i="115"/>
  <c r="H645" i="115"/>
  <c r="H646" i="115"/>
  <c r="H647" i="115"/>
  <c r="H648" i="115"/>
  <c r="H649" i="115"/>
  <c r="H650" i="115"/>
  <c r="H651" i="115"/>
  <c r="H652" i="115"/>
  <c r="H653" i="115"/>
  <c r="H654" i="115"/>
  <c r="H655" i="115"/>
  <c r="H656" i="115"/>
  <c r="H657" i="115"/>
  <c r="H658" i="115"/>
  <c r="H659" i="115"/>
  <c r="H660" i="115"/>
  <c r="H661" i="115"/>
  <c r="H662" i="115"/>
  <c r="H663" i="115"/>
  <c r="H664" i="115"/>
  <c r="H665" i="115"/>
  <c r="H666" i="115"/>
  <c r="H667" i="115"/>
  <c r="H668" i="115"/>
  <c r="H669" i="115"/>
  <c r="H670" i="115"/>
  <c r="H671" i="115"/>
  <c r="H672" i="115"/>
  <c r="H673" i="115"/>
  <c r="H674" i="115"/>
  <c r="H675" i="115"/>
  <c r="H676" i="115"/>
  <c r="H677" i="115"/>
  <c r="H678" i="115"/>
  <c r="H679" i="115"/>
  <c r="H680" i="115"/>
  <c r="H681" i="115"/>
  <c r="H682" i="115"/>
  <c r="H683" i="115"/>
  <c r="H684" i="115"/>
  <c r="H685" i="115"/>
  <c r="H686" i="115"/>
  <c r="H687" i="115"/>
  <c r="H688" i="115"/>
  <c r="H689" i="115"/>
  <c r="H690" i="115"/>
  <c r="H691" i="115"/>
  <c r="H692" i="115"/>
  <c r="H693" i="115"/>
  <c r="H694" i="115"/>
  <c r="H695" i="115"/>
  <c r="H696" i="115"/>
  <c r="H697" i="115"/>
  <c r="H698" i="115"/>
  <c r="H699" i="115"/>
  <c r="H700" i="115"/>
  <c r="H701" i="115"/>
  <c r="H702" i="115"/>
  <c r="H703" i="115"/>
  <c r="H704" i="115"/>
  <c r="H705" i="115"/>
  <c r="H706" i="115"/>
  <c r="H707" i="115"/>
  <c r="H708" i="115"/>
  <c r="H709" i="115"/>
  <c r="H710" i="115"/>
  <c r="H711" i="115"/>
  <c r="H712" i="115"/>
  <c r="H713" i="115"/>
  <c r="H714" i="115"/>
  <c r="H715" i="115"/>
  <c r="H716" i="115"/>
  <c r="H717" i="115"/>
  <c r="H718" i="115"/>
  <c r="H719" i="115"/>
  <c r="H720" i="115"/>
  <c r="H721" i="115"/>
  <c r="H722" i="115"/>
  <c r="H723" i="115"/>
  <c r="H724" i="115"/>
  <c r="H725" i="115"/>
  <c r="H726" i="115"/>
  <c r="H727" i="115"/>
  <c r="H728" i="115"/>
  <c r="H729" i="115"/>
  <c r="H730" i="115"/>
  <c r="H731" i="115"/>
  <c r="H732" i="115"/>
  <c r="H733" i="115"/>
  <c r="H734" i="115"/>
  <c r="H735" i="115"/>
  <c r="H736" i="115"/>
  <c r="H737" i="115"/>
  <c r="H738" i="115"/>
  <c r="H739" i="115"/>
  <c r="H740" i="115"/>
  <c r="H741" i="115"/>
  <c r="H742" i="115"/>
  <c r="H743" i="115"/>
  <c r="H744" i="115"/>
  <c r="H745" i="115"/>
  <c r="H746" i="115"/>
  <c r="H747" i="115"/>
  <c r="H748" i="115"/>
  <c r="H749" i="115"/>
  <c r="H750" i="115"/>
  <c r="H751" i="115"/>
  <c r="H752" i="115"/>
  <c r="H753" i="115"/>
  <c r="H754" i="115"/>
  <c r="H755" i="115"/>
  <c r="H756" i="115"/>
  <c r="H757" i="115"/>
  <c r="H758" i="115"/>
  <c r="H759" i="115"/>
  <c r="H760" i="115"/>
  <c r="H761" i="115"/>
  <c r="H762" i="115"/>
  <c r="H763" i="115"/>
  <c r="H764" i="115"/>
  <c r="H765" i="115"/>
  <c r="H766" i="115"/>
  <c r="H767" i="115"/>
  <c r="H768" i="115"/>
  <c r="H769" i="115"/>
  <c r="H770" i="115"/>
  <c r="H771" i="115"/>
  <c r="H772" i="115"/>
  <c r="H773" i="115"/>
  <c r="H774" i="115"/>
  <c r="H775" i="115"/>
  <c r="H776" i="115"/>
  <c r="H777" i="115"/>
  <c r="H778" i="115"/>
  <c r="H779" i="115"/>
  <c r="H780" i="115"/>
  <c r="H781" i="115"/>
  <c r="H782" i="115"/>
  <c r="H783" i="115"/>
  <c r="H784" i="115"/>
  <c r="H785" i="115"/>
  <c r="H786" i="115"/>
  <c r="H787" i="115"/>
  <c r="H788" i="115"/>
  <c r="H789" i="115"/>
  <c r="H790" i="115"/>
  <c r="H791" i="115"/>
  <c r="H792" i="115"/>
  <c r="H793" i="115"/>
  <c r="H794" i="115"/>
  <c r="H795" i="115"/>
  <c r="H796" i="115"/>
  <c r="H797" i="115"/>
  <c r="H798" i="115"/>
  <c r="H799" i="115"/>
  <c r="H800" i="115"/>
  <c r="H801" i="115"/>
  <c r="H802" i="115"/>
  <c r="H803" i="115"/>
  <c r="H804" i="115"/>
  <c r="H805" i="115"/>
  <c r="H806" i="115"/>
  <c r="H807" i="115"/>
  <c r="H808" i="115"/>
  <c r="H809" i="115"/>
  <c r="H810" i="115"/>
  <c r="H811" i="115"/>
  <c r="H812" i="115"/>
  <c r="H813" i="115"/>
  <c r="H814" i="115"/>
  <c r="H815" i="115"/>
  <c r="H816" i="115"/>
  <c r="H817" i="115"/>
  <c r="H818" i="115"/>
  <c r="H819" i="115"/>
  <c r="H820" i="115"/>
  <c r="H821" i="115"/>
  <c r="H822" i="115"/>
  <c r="H823" i="115"/>
  <c r="H824" i="115"/>
  <c r="H825" i="115"/>
  <c r="H826" i="115"/>
  <c r="H827" i="115"/>
  <c r="H828" i="115"/>
  <c r="H829" i="115"/>
  <c r="H830" i="115"/>
  <c r="H831" i="115"/>
  <c r="H832" i="115"/>
  <c r="H833" i="115"/>
  <c r="H834" i="115"/>
  <c r="H835" i="115"/>
  <c r="H836" i="115"/>
  <c r="H837" i="115"/>
  <c r="H838" i="115"/>
  <c r="H839" i="115"/>
  <c r="H840" i="115"/>
  <c r="H841" i="115"/>
  <c r="H842" i="115"/>
  <c r="H843" i="115"/>
  <c r="H844" i="115"/>
  <c r="H845" i="115"/>
  <c r="H846" i="115"/>
  <c r="H847" i="115"/>
  <c r="H848" i="115"/>
  <c r="H849" i="115"/>
  <c r="H850" i="115"/>
  <c r="H851" i="115"/>
  <c r="H852" i="115"/>
  <c r="H853" i="115"/>
  <c r="H854" i="115"/>
  <c r="H855" i="115"/>
  <c r="H856" i="115"/>
  <c r="H857" i="115"/>
  <c r="H858" i="115"/>
  <c r="H859" i="115"/>
  <c r="H860" i="115"/>
  <c r="H861" i="115"/>
  <c r="H862" i="115"/>
  <c r="H863" i="115"/>
  <c r="H864" i="115"/>
  <c r="H865" i="115"/>
  <c r="H866" i="115"/>
  <c r="H867" i="115"/>
  <c r="H868" i="115"/>
  <c r="H869" i="115"/>
  <c r="H870" i="115"/>
  <c r="H871" i="115"/>
  <c r="H872" i="115"/>
  <c r="H873" i="115"/>
  <c r="H874" i="115"/>
  <c r="H875" i="115"/>
  <c r="H876" i="115"/>
  <c r="H877" i="115"/>
  <c r="H878" i="115"/>
  <c r="H879" i="115"/>
  <c r="H880" i="115"/>
  <c r="H881" i="115"/>
  <c r="H882" i="115"/>
  <c r="H883" i="115"/>
  <c r="H884" i="115"/>
  <c r="H885" i="115"/>
  <c r="H886" i="115"/>
  <c r="H887" i="115"/>
  <c r="H888" i="115"/>
  <c r="H889" i="115"/>
  <c r="H890" i="115"/>
  <c r="H891" i="115"/>
  <c r="H892" i="115"/>
  <c r="H893" i="115"/>
  <c r="H894" i="115"/>
  <c r="H895" i="115"/>
  <c r="H896" i="115"/>
  <c r="H897" i="115"/>
  <c r="H898" i="115"/>
  <c r="H899" i="115"/>
  <c r="H900" i="115"/>
  <c r="H901" i="115"/>
  <c r="H902" i="115"/>
  <c r="H903" i="115"/>
  <c r="H904" i="115"/>
  <c r="H905" i="115"/>
  <c r="H906" i="115"/>
  <c r="H907" i="115"/>
  <c r="H908" i="115"/>
  <c r="H909" i="115"/>
  <c r="H910" i="115"/>
  <c r="H911" i="115"/>
  <c r="H912" i="115"/>
  <c r="H913" i="115"/>
  <c r="H914" i="115"/>
  <c r="H915" i="115"/>
  <c r="H916" i="115"/>
  <c r="H917" i="115"/>
  <c r="H918" i="115"/>
  <c r="H919" i="115"/>
  <c r="H920" i="115"/>
  <c r="H921" i="115"/>
  <c r="H922" i="115"/>
  <c r="H923" i="115"/>
  <c r="H924" i="115"/>
  <c r="H925" i="115"/>
  <c r="H926" i="115"/>
  <c r="H927" i="115"/>
  <c r="H928" i="115"/>
  <c r="H929" i="115"/>
  <c r="H930" i="115"/>
  <c r="H931" i="115"/>
  <c r="H932" i="115"/>
  <c r="H933" i="115"/>
  <c r="H934" i="115"/>
  <c r="H935" i="115"/>
  <c r="H936" i="115"/>
  <c r="H937" i="115"/>
  <c r="H938" i="115"/>
  <c r="H939" i="115"/>
  <c r="H940" i="115"/>
  <c r="H941" i="115"/>
  <c r="H942" i="115"/>
  <c r="H943" i="115"/>
  <c r="H944" i="115"/>
  <c r="H945" i="115"/>
  <c r="H946" i="115"/>
  <c r="H947" i="115"/>
  <c r="H948" i="115"/>
  <c r="H949" i="115"/>
  <c r="H950" i="115"/>
  <c r="H951" i="115"/>
  <c r="H952" i="115"/>
  <c r="H953" i="115"/>
  <c r="H954" i="115"/>
  <c r="H955" i="115"/>
  <c r="H956" i="115"/>
  <c r="H957" i="115"/>
  <c r="H958" i="115"/>
  <c r="H959" i="115"/>
  <c r="H960" i="115"/>
  <c r="H961" i="115"/>
  <c r="H962" i="115"/>
  <c r="H963" i="115"/>
  <c r="H964" i="115"/>
  <c r="H965" i="115"/>
  <c r="H966" i="115"/>
  <c r="H967" i="115"/>
  <c r="H968" i="115"/>
  <c r="H969" i="115"/>
  <c r="H970" i="115"/>
  <c r="H971" i="115"/>
  <c r="H972" i="115"/>
  <c r="H973" i="115"/>
  <c r="H974" i="115"/>
  <c r="H975" i="115"/>
  <c r="H976" i="115"/>
  <c r="H977" i="115"/>
  <c r="H978" i="115"/>
  <c r="H979" i="115"/>
  <c r="H980" i="115"/>
  <c r="H981" i="115"/>
  <c r="H982" i="115"/>
  <c r="H983" i="115"/>
  <c r="H984" i="115"/>
  <c r="H985" i="115"/>
  <c r="H986" i="115"/>
  <c r="H987" i="115"/>
  <c r="H988" i="115"/>
  <c r="H989" i="115"/>
  <c r="H990" i="115"/>
  <c r="H991" i="115"/>
  <c r="H992" i="115"/>
  <c r="H993" i="115"/>
  <c r="H994" i="115"/>
  <c r="H995" i="115"/>
  <c r="H996" i="115"/>
  <c r="H997" i="115"/>
  <c r="H998" i="115"/>
  <c r="H999" i="115"/>
  <c r="H1000" i="115"/>
  <c r="H1001" i="115"/>
  <c r="H2" i="115"/>
  <c r="G3" i="115"/>
  <c r="G4" i="115"/>
  <c r="G5" i="115"/>
  <c r="G6" i="115"/>
  <c r="G7" i="115"/>
  <c r="G8" i="115"/>
  <c r="G9" i="115"/>
  <c r="G10" i="115"/>
  <c r="G11" i="115"/>
  <c r="G12" i="115"/>
  <c r="G13" i="115"/>
  <c r="G14" i="115"/>
  <c r="G15" i="115"/>
  <c r="G16" i="115"/>
  <c r="G17" i="115"/>
  <c r="G18" i="115"/>
  <c r="G19" i="115"/>
  <c r="G20" i="115"/>
  <c r="G21" i="115"/>
  <c r="G22" i="115"/>
  <c r="G23" i="115"/>
  <c r="G24" i="115"/>
  <c r="G25" i="115"/>
  <c r="G26" i="115"/>
  <c r="G27" i="115"/>
  <c r="G28" i="115"/>
  <c r="G29" i="115"/>
  <c r="G30" i="115"/>
  <c r="G31" i="115"/>
  <c r="G32" i="115"/>
  <c r="G33" i="115"/>
  <c r="G34" i="115"/>
  <c r="G35" i="115"/>
  <c r="G36" i="115"/>
  <c r="G37" i="115"/>
  <c r="G38" i="115"/>
  <c r="G39" i="115"/>
  <c r="G40" i="115"/>
  <c r="G41" i="115"/>
  <c r="G42" i="115"/>
  <c r="G43" i="115"/>
  <c r="G44" i="115"/>
  <c r="G45" i="115"/>
  <c r="G46" i="115"/>
  <c r="G47" i="115"/>
  <c r="G48" i="115"/>
  <c r="G49" i="115"/>
  <c r="G50" i="115"/>
  <c r="G51" i="115"/>
  <c r="G52" i="115"/>
  <c r="G53" i="115"/>
  <c r="G54" i="115"/>
  <c r="G55" i="115"/>
  <c r="G56" i="115"/>
  <c r="G57" i="115"/>
  <c r="G58" i="115"/>
  <c r="G59" i="115"/>
  <c r="G60" i="115"/>
  <c r="G61" i="115"/>
  <c r="G62" i="115"/>
  <c r="G63" i="115"/>
  <c r="G64" i="115"/>
  <c r="G65" i="115"/>
  <c r="G66" i="115"/>
  <c r="G67" i="115"/>
  <c r="G68" i="115"/>
  <c r="G69" i="115"/>
  <c r="G70" i="115"/>
  <c r="G71" i="115"/>
  <c r="G72" i="115"/>
  <c r="G73" i="115"/>
  <c r="G74" i="115"/>
  <c r="G75" i="115"/>
  <c r="G76" i="115"/>
  <c r="G77" i="115"/>
  <c r="G78" i="115"/>
  <c r="G79" i="115"/>
  <c r="G80" i="115"/>
  <c r="G81" i="115"/>
  <c r="G82" i="115"/>
  <c r="G83" i="115"/>
  <c r="G84" i="115"/>
  <c r="G85" i="115"/>
  <c r="G86" i="115"/>
  <c r="G87" i="115"/>
  <c r="G88" i="115"/>
  <c r="G89" i="115"/>
  <c r="G90" i="115"/>
  <c r="G91" i="115"/>
  <c r="G92" i="115"/>
  <c r="G93" i="115"/>
  <c r="G94" i="115"/>
  <c r="G95" i="115"/>
  <c r="G96" i="115"/>
  <c r="G97" i="115"/>
  <c r="G98" i="115"/>
  <c r="G99" i="115"/>
  <c r="G100" i="115"/>
  <c r="G101" i="115"/>
  <c r="G102" i="115"/>
  <c r="G103" i="115"/>
  <c r="G104" i="115"/>
  <c r="G105" i="115"/>
  <c r="G106" i="115"/>
  <c r="G107" i="115"/>
  <c r="G108" i="115"/>
  <c r="G109" i="115"/>
  <c r="G110" i="115"/>
  <c r="G111" i="115"/>
  <c r="G112" i="115"/>
  <c r="G113" i="115"/>
  <c r="G114" i="115"/>
  <c r="G115" i="115"/>
  <c r="G116" i="115"/>
  <c r="G117" i="115"/>
  <c r="G118" i="115"/>
  <c r="G119" i="115"/>
  <c r="G120" i="115"/>
  <c r="G121" i="115"/>
  <c r="G122" i="115"/>
  <c r="G123" i="115"/>
  <c r="G124" i="115"/>
  <c r="G125" i="115"/>
  <c r="G126" i="115"/>
  <c r="G127" i="115"/>
  <c r="G128" i="115"/>
  <c r="G129" i="115"/>
  <c r="G130" i="115"/>
  <c r="G131" i="115"/>
  <c r="G132" i="115"/>
  <c r="G133" i="115"/>
  <c r="G134" i="115"/>
  <c r="G135" i="115"/>
  <c r="G136" i="115"/>
  <c r="G137" i="115"/>
  <c r="G138" i="115"/>
  <c r="G139" i="115"/>
  <c r="G140" i="115"/>
  <c r="G141" i="115"/>
  <c r="G142" i="115"/>
  <c r="G143" i="115"/>
  <c r="G144" i="115"/>
  <c r="G145" i="115"/>
  <c r="G146" i="115"/>
  <c r="G147" i="115"/>
  <c r="G148" i="115"/>
  <c r="G149" i="115"/>
  <c r="G150" i="115"/>
  <c r="G151" i="115"/>
  <c r="G152" i="115"/>
  <c r="G153" i="115"/>
  <c r="G154" i="115"/>
  <c r="G155" i="115"/>
  <c r="G156" i="115"/>
  <c r="G157" i="115"/>
  <c r="G158" i="115"/>
  <c r="G159" i="115"/>
  <c r="G160" i="115"/>
  <c r="G161" i="115"/>
  <c r="G162" i="115"/>
  <c r="G163" i="115"/>
  <c r="G164" i="115"/>
  <c r="G165" i="115"/>
  <c r="G166" i="115"/>
  <c r="G167" i="115"/>
  <c r="G168" i="115"/>
  <c r="G169" i="115"/>
  <c r="G170" i="115"/>
  <c r="G171" i="115"/>
  <c r="G172" i="115"/>
  <c r="G173" i="115"/>
  <c r="G174" i="115"/>
  <c r="G175" i="115"/>
  <c r="G176" i="115"/>
  <c r="G177" i="115"/>
  <c r="G178" i="115"/>
  <c r="G179" i="115"/>
  <c r="G180" i="115"/>
  <c r="G181" i="115"/>
  <c r="G182" i="115"/>
  <c r="G183" i="115"/>
  <c r="G184" i="115"/>
  <c r="G185" i="115"/>
  <c r="G186" i="115"/>
  <c r="G187" i="115"/>
  <c r="G188" i="115"/>
  <c r="G189" i="115"/>
  <c r="G190" i="115"/>
  <c r="G191" i="115"/>
  <c r="G192" i="115"/>
  <c r="G193" i="115"/>
  <c r="G194" i="115"/>
  <c r="G195" i="115"/>
  <c r="G196" i="115"/>
  <c r="G197" i="115"/>
  <c r="G198" i="115"/>
  <c r="G199" i="115"/>
  <c r="G200" i="115"/>
  <c r="G201" i="115"/>
  <c r="G202" i="115"/>
  <c r="G203" i="115"/>
  <c r="G204" i="115"/>
  <c r="G205" i="115"/>
  <c r="G206" i="115"/>
  <c r="G207" i="115"/>
  <c r="G208" i="115"/>
  <c r="G209" i="115"/>
  <c r="G210" i="115"/>
  <c r="G211" i="115"/>
  <c r="G212" i="115"/>
  <c r="G213" i="115"/>
  <c r="G214" i="115"/>
  <c r="G215" i="115"/>
  <c r="G216" i="115"/>
  <c r="G217" i="115"/>
  <c r="G218" i="115"/>
  <c r="G219" i="115"/>
  <c r="G220" i="115"/>
  <c r="G221" i="115"/>
  <c r="G222" i="115"/>
  <c r="G223" i="115"/>
  <c r="G224" i="115"/>
  <c r="G225" i="115"/>
  <c r="G226" i="115"/>
  <c r="G227" i="115"/>
  <c r="G228" i="115"/>
  <c r="G229" i="115"/>
  <c r="G230" i="115"/>
  <c r="G231" i="115"/>
  <c r="G232" i="115"/>
  <c r="G233" i="115"/>
  <c r="G234" i="115"/>
  <c r="G235" i="115"/>
  <c r="G236" i="115"/>
  <c r="G237" i="115"/>
  <c r="G238" i="115"/>
  <c r="G239" i="115"/>
  <c r="G240" i="115"/>
  <c r="G241" i="115"/>
  <c r="G242" i="115"/>
  <c r="G243" i="115"/>
  <c r="G244" i="115"/>
  <c r="G245" i="115"/>
  <c r="G246" i="115"/>
  <c r="G247" i="115"/>
  <c r="G248" i="115"/>
  <c r="G249" i="115"/>
  <c r="G250" i="115"/>
  <c r="G251" i="115"/>
  <c r="G252" i="115"/>
  <c r="G253" i="115"/>
  <c r="G254" i="115"/>
  <c r="G255" i="115"/>
  <c r="G256" i="115"/>
  <c r="G257" i="115"/>
  <c r="G258" i="115"/>
  <c r="G259" i="115"/>
  <c r="G260" i="115"/>
  <c r="G261" i="115"/>
  <c r="G262" i="115"/>
  <c r="G263" i="115"/>
  <c r="G264" i="115"/>
  <c r="G265" i="115"/>
  <c r="G266" i="115"/>
  <c r="G267" i="115"/>
  <c r="G268" i="115"/>
  <c r="G269" i="115"/>
  <c r="G270" i="115"/>
  <c r="G271" i="115"/>
  <c r="G272" i="115"/>
  <c r="G273" i="115"/>
  <c r="G274" i="115"/>
  <c r="G275" i="115"/>
  <c r="G276" i="115"/>
  <c r="G277" i="115"/>
  <c r="G278" i="115"/>
  <c r="G279" i="115"/>
  <c r="G280" i="115"/>
  <c r="G281" i="115"/>
  <c r="G282" i="115"/>
  <c r="G283" i="115"/>
  <c r="G284" i="115"/>
  <c r="G285" i="115"/>
  <c r="G286" i="115"/>
  <c r="G287" i="115"/>
  <c r="G288" i="115"/>
  <c r="G289" i="115"/>
  <c r="G290" i="115"/>
  <c r="G291" i="115"/>
  <c r="G292" i="115"/>
  <c r="G293" i="115"/>
  <c r="G294" i="115"/>
  <c r="G295" i="115"/>
  <c r="G296" i="115"/>
  <c r="G297" i="115"/>
  <c r="G298" i="115"/>
  <c r="G299" i="115"/>
  <c r="G300" i="115"/>
  <c r="G301" i="115"/>
  <c r="G302" i="115"/>
  <c r="G303" i="115"/>
  <c r="G304" i="115"/>
  <c r="G305" i="115"/>
  <c r="G306" i="115"/>
  <c r="G307" i="115"/>
  <c r="G308" i="115"/>
  <c r="G309" i="115"/>
  <c r="G310" i="115"/>
  <c r="G311" i="115"/>
  <c r="G312" i="115"/>
  <c r="G313" i="115"/>
  <c r="G314" i="115"/>
  <c r="G315" i="115"/>
  <c r="G316" i="115"/>
  <c r="G317" i="115"/>
  <c r="G318" i="115"/>
  <c r="G319" i="115"/>
  <c r="G320" i="115"/>
  <c r="G321" i="115"/>
  <c r="G322" i="115"/>
  <c r="G323" i="115"/>
  <c r="G324" i="115"/>
  <c r="G325" i="115"/>
  <c r="G326" i="115"/>
  <c r="G327" i="115"/>
  <c r="G328" i="115"/>
  <c r="G329" i="115"/>
  <c r="G330" i="115"/>
  <c r="G331" i="115"/>
  <c r="G332" i="115"/>
  <c r="G333" i="115"/>
  <c r="G334" i="115"/>
  <c r="G335" i="115"/>
  <c r="G336" i="115"/>
  <c r="G337" i="115"/>
  <c r="G338" i="115"/>
  <c r="G339" i="115"/>
  <c r="G340" i="115"/>
  <c r="G341" i="115"/>
  <c r="G342" i="115"/>
  <c r="G343" i="115"/>
  <c r="G344" i="115"/>
  <c r="G345" i="115"/>
  <c r="G346" i="115"/>
  <c r="G347" i="115"/>
  <c r="G348" i="115"/>
  <c r="G349" i="115"/>
  <c r="G350" i="115"/>
  <c r="G351" i="115"/>
  <c r="G352" i="115"/>
  <c r="G353" i="115"/>
  <c r="G354" i="115"/>
  <c r="G355" i="115"/>
  <c r="G356" i="115"/>
  <c r="G357" i="115"/>
  <c r="G358" i="115"/>
  <c r="G359" i="115"/>
  <c r="G360" i="115"/>
  <c r="G361" i="115"/>
  <c r="G362" i="115"/>
  <c r="G363" i="115"/>
  <c r="G364" i="115"/>
  <c r="G365" i="115"/>
  <c r="G366" i="115"/>
  <c r="G367" i="115"/>
  <c r="G368" i="115"/>
  <c r="G369" i="115"/>
  <c r="G370" i="115"/>
  <c r="G371" i="115"/>
  <c r="G372" i="115"/>
  <c r="G373" i="115"/>
  <c r="G374" i="115"/>
  <c r="G375" i="115"/>
  <c r="G376" i="115"/>
  <c r="G377" i="115"/>
  <c r="G378" i="115"/>
  <c r="G379" i="115"/>
  <c r="G380" i="115"/>
  <c r="G381" i="115"/>
  <c r="G382" i="115"/>
  <c r="G383" i="115"/>
  <c r="G384" i="115"/>
  <c r="G385" i="115"/>
  <c r="G386" i="115"/>
  <c r="G387" i="115"/>
  <c r="G388" i="115"/>
  <c r="G389" i="115"/>
  <c r="G390" i="115"/>
  <c r="G391" i="115"/>
  <c r="G392" i="115"/>
  <c r="G393" i="115"/>
  <c r="G394" i="115"/>
  <c r="G395" i="115"/>
  <c r="G396" i="115"/>
  <c r="G397" i="115"/>
  <c r="G398" i="115"/>
  <c r="G399" i="115"/>
  <c r="G400" i="115"/>
  <c r="G401" i="115"/>
  <c r="G402" i="115"/>
  <c r="G403" i="115"/>
  <c r="G404" i="115"/>
  <c r="G405" i="115"/>
  <c r="G406" i="115"/>
  <c r="G407" i="115"/>
  <c r="G408" i="115"/>
  <c r="G409" i="115"/>
  <c r="G410" i="115"/>
  <c r="G411" i="115"/>
  <c r="G412" i="115"/>
  <c r="G413" i="115"/>
  <c r="G414" i="115"/>
  <c r="G415" i="115"/>
  <c r="G416" i="115"/>
  <c r="G417" i="115"/>
  <c r="G418" i="115"/>
  <c r="G419" i="115"/>
  <c r="G420" i="115"/>
  <c r="G421" i="115"/>
  <c r="G422" i="115"/>
  <c r="G423" i="115"/>
  <c r="G424" i="115"/>
  <c r="G425" i="115"/>
  <c r="G426" i="115"/>
  <c r="G427" i="115"/>
  <c r="G428" i="115"/>
  <c r="G429" i="115"/>
  <c r="G430" i="115"/>
  <c r="G431" i="115"/>
  <c r="G432" i="115"/>
  <c r="G433" i="115"/>
  <c r="G434" i="115"/>
  <c r="G435" i="115"/>
  <c r="G436" i="115"/>
  <c r="G437" i="115"/>
  <c r="G438" i="115"/>
  <c r="G439" i="115"/>
  <c r="G440" i="115"/>
  <c r="G441" i="115"/>
  <c r="G442" i="115"/>
  <c r="G443" i="115"/>
  <c r="G444" i="115"/>
  <c r="G445" i="115"/>
  <c r="G446" i="115"/>
  <c r="G447" i="115"/>
  <c r="G448" i="115"/>
  <c r="G449" i="115"/>
  <c r="G450" i="115"/>
  <c r="G451" i="115"/>
  <c r="G452" i="115"/>
  <c r="G453" i="115"/>
  <c r="G454" i="115"/>
  <c r="G455" i="115"/>
  <c r="G456" i="115"/>
  <c r="G457" i="115"/>
  <c r="G458" i="115"/>
  <c r="G459" i="115"/>
  <c r="G460" i="115"/>
  <c r="G461" i="115"/>
  <c r="G462" i="115"/>
  <c r="G463" i="115"/>
  <c r="G464" i="115"/>
  <c r="G465" i="115"/>
  <c r="G466" i="115"/>
  <c r="G467" i="115"/>
  <c r="G468" i="115"/>
  <c r="G469" i="115"/>
  <c r="G470" i="115"/>
  <c r="G471" i="115"/>
  <c r="G472" i="115"/>
  <c r="G473" i="115"/>
  <c r="G474" i="115"/>
  <c r="G475" i="115"/>
  <c r="G476" i="115"/>
  <c r="G477" i="115"/>
  <c r="G478" i="115"/>
  <c r="G479" i="115"/>
  <c r="G480" i="115"/>
  <c r="G481" i="115"/>
  <c r="G482" i="115"/>
  <c r="G483" i="115"/>
  <c r="G484" i="115"/>
  <c r="G485" i="115"/>
  <c r="G486" i="115"/>
  <c r="G487" i="115"/>
  <c r="G488" i="115"/>
  <c r="G489" i="115"/>
  <c r="G490" i="115"/>
  <c r="G491" i="115"/>
  <c r="G492" i="115"/>
  <c r="G493" i="115"/>
  <c r="G494" i="115"/>
  <c r="G495" i="115"/>
  <c r="G496" i="115"/>
  <c r="G497" i="115"/>
  <c r="G498" i="115"/>
  <c r="G499" i="115"/>
  <c r="G500" i="115"/>
  <c r="G501" i="115"/>
  <c r="G502" i="115"/>
  <c r="G503" i="115"/>
  <c r="G504" i="115"/>
  <c r="G505" i="115"/>
  <c r="G506" i="115"/>
  <c r="G507" i="115"/>
  <c r="G508" i="115"/>
  <c r="G509" i="115"/>
  <c r="G510" i="115"/>
  <c r="G511" i="115"/>
  <c r="G512" i="115"/>
  <c r="G513" i="115"/>
  <c r="G514" i="115"/>
  <c r="G515" i="115"/>
  <c r="G516" i="115"/>
  <c r="G517" i="115"/>
  <c r="G518" i="115"/>
  <c r="G519" i="115"/>
  <c r="G520" i="115"/>
  <c r="G521" i="115"/>
  <c r="G522" i="115"/>
  <c r="G523" i="115"/>
  <c r="G524" i="115"/>
  <c r="G525" i="115"/>
  <c r="G526" i="115"/>
  <c r="G527" i="115"/>
  <c r="G528" i="115"/>
  <c r="G529" i="115"/>
  <c r="G530" i="115"/>
  <c r="G531" i="115"/>
  <c r="G532" i="115"/>
  <c r="G533" i="115"/>
  <c r="G534" i="115"/>
  <c r="G535" i="115"/>
  <c r="G536" i="115"/>
  <c r="G537" i="115"/>
  <c r="G538" i="115"/>
  <c r="G539" i="115"/>
  <c r="G540" i="115"/>
  <c r="G541" i="115"/>
  <c r="G542" i="115"/>
  <c r="G543" i="115"/>
  <c r="G544" i="115"/>
  <c r="G545" i="115"/>
  <c r="G546" i="115"/>
  <c r="G547" i="115"/>
  <c r="G548" i="115"/>
  <c r="G549" i="115"/>
  <c r="G550" i="115"/>
  <c r="G551" i="115"/>
  <c r="G552" i="115"/>
  <c r="G553" i="115"/>
  <c r="G554" i="115"/>
  <c r="G555" i="115"/>
  <c r="G556" i="115"/>
  <c r="G557" i="115"/>
  <c r="G558" i="115"/>
  <c r="G559" i="115"/>
  <c r="G560" i="115"/>
  <c r="G561" i="115"/>
  <c r="G562" i="115"/>
  <c r="G563" i="115"/>
  <c r="G564" i="115"/>
  <c r="G565" i="115"/>
  <c r="G566" i="115"/>
  <c r="G567" i="115"/>
  <c r="G568" i="115"/>
  <c r="G569" i="115"/>
  <c r="G570" i="115"/>
  <c r="G571" i="115"/>
  <c r="G572" i="115"/>
  <c r="G573" i="115"/>
  <c r="G574" i="115"/>
  <c r="G575" i="115"/>
  <c r="G576" i="115"/>
  <c r="G577" i="115"/>
  <c r="G578" i="115"/>
  <c r="G579" i="115"/>
  <c r="G580" i="115"/>
  <c r="G581" i="115"/>
  <c r="G582" i="115"/>
  <c r="G583" i="115"/>
  <c r="G584" i="115"/>
  <c r="G585" i="115"/>
  <c r="G586" i="115"/>
  <c r="G587" i="115"/>
  <c r="G588" i="115"/>
  <c r="G589" i="115"/>
  <c r="G590" i="115"/>
  <c r="G591" i="115"/>
  <c r="G592" i="115"/>
  <c r="G593" i="115"/>
  <c r="G594" i="115"/>
  <c r="G595" i="115"/>
  <c r="G596" i="115"/>
  <c r="G597" i="115"/>
  <c r="G598" i="115"/>
  <c r="G599" i="115"/>
  <c r="G600" i="115"/>
  <c r="G601" i="115"/>
  <c r="G602" i="115"/>
  <c r="G603" i="115"/>
  <c r="G604" i="115"/>
  <c r="G605" i="115"/>
  <c r="G606" i="115"/>
  <c r="G607" i="115"/>
  <c r="G608" i="115"/>
  <c r="G609" i="115"/>
  <c r="G610" i="115"/>
  <c r="G611" i="115"/>
  <c r="G612" i="115"/>
  <c r="G613" i="115"/>
  <c r="G614" i="115"/>
  <c r="G615" i="115"/>
  <c r="G616" i="115"/>
  <c r="G617" i="115"/>
  <c r="G618" i="115"/>
  <c r="G619" i="115"/>
  <c r="G620" i="115"/>
  <c r="G621" i="115"/>
  <c r="G622" i="115"/>
  <c r="G623" i="115"/>
  <c r="G624" i="115"/>
  <c r="G625" i="115"/>
  <c r="G626" i="115"/>
  <c r="G627" i="115"/>
  <c r="G628" i="115"/>
  <c r="G629" i="115"/>
  <c r="G630" i="115"/>
  <c r="G631" i="115"/>
  <c r="G632" i="115"/>
  <c r="G633" i="115"/>
  <c r="G634" i="115"/>
  <c r="G635" i="115"/>
  <c r="G636" i="115"/>
  <c r="G637" i="115"/>
  <c r="G638" i="115"/>
  <c r="G639" i="115"/>
  <c r="G640" i="115"/>
  <c r="G641" i="115"/>
  <c r="G642" i="115"/>
  <c r="G643" i="115"/>
  <c r="G644" i="115"/>
  <c r="G645" i="115"/>
  <c r="G646" i="115"/>
  <c r="G647" i="115"/>
  <c r="G648" i="115"/>
  <c r="G649" i="115"/>
  <c r="G650" i="115"/>
  <c r="G651" i="115"/>
  <c r="G652" i="115"/>
  <c r="G653" i="115"/>
  <c r="G654" i="115"/>
  <c r="G655" i="115"/>
  <c r="G656" i="115"/>
  <c r="G657" i="115"/>
  <c r="G658" i="115"/>
  <c r="G659" i="115"/>
  <c r="G660" i="115"/>
  <c r="G661" i="115"/>
  <c r="G662" i="115"/>
  <c r="G663" i="115"/>
  <c r="G664" i="115"/>
  <c r="G665" i="115"/>
  <c r="G666" i="115"/>
  <c r="G667" i="115"/>
  <c r="G668" i="115"/>
  <c r="G669" i="115"/>
  <c r="G670" i="115"/>
  <c r="G671" i="115"/>
  <c r="G672" i="115"/>
  <c r="G673" i="115"/>
  <c r="G674" i="115"/>
  <c r="G675" i="115"/>
  <c r="G676" i="115"/>
  <c r="G677" i="115"/>
  <c r="G678" i="115"/>
  <c r="G679" i="115"/>
  <c r="G680" i="115"/>
  <c r="G681" i="115"/>
  <c r="G682" i="115"/>
  <c r="G683" i="115"/>
  <c r="G684" i="115"/>
  <c r="G685" i="115"/>
  <c r="G686" i="115"/>
  <c r="G687" i="115"/>
  <c r="G688" i="115"/>
  <c r="G689" i="115"/>
  <c r="G690" i="115"/>
  <c r="G691" i="115"/>
  <c r="G692" i="115"/>
  <c r="G693" i="115"/>
  <c r="G694" i="115"/>
  <c r="G695" i="115"/>
  <c r="G696" i="115"/>
  <c r="G697" i="115"/>
  <c r="G698" i="115"/>
  <c r="G699" i="115"/>
  <c r="G700" i="115"/>
  <c r="G701" i="115"/>
  <c r="G702" i="115"/>
  <c r="G703" i="115"/>
  <c r="G704" i="115"/>
  <c r="G705" i="115"/>
  <c r="G706" i="115"/>
  <c r="G707" i="115"/>
  <c r="G708" i="115"/>
  <c r="G709" i="115"/>
  <c r="G710" i="115"/>
  <c r="G711" i="115"/>
  <c r="G712" i="115"/>
  <c r="G713" i="115"/>
  <c r="G714" i="115"/>
  <c r="G715" i="115"/>
  <c r="G716" i="115"/>
  <c r="G717" i="115"/>
  <c r="G718" i="115"/>
  <c r="G719" i="115"/>
  <c r="G720" i="115"/>
  <c r="G721" i="115"/>
  <c r="G722" i="115"/>
  <c r="G723" i="115"/>
  <c r="G724" i="115"/>
  <c r="G725" i="115"/>
  <c r="G726" i="115"/>
  <c r="G727" i="115"/>
  <c r="G728" i="115"/>
  <c r="G729" i="115"/>
  <c r="G730" i="115"/>
  <c r="G731" i="115"/>
  <c r="G732" i="115"/>
  <c r="G733" i="115"/>
  <c r="G734" i="115"/>
  <c r="G735" i="115"/>
  <c r="G736" i="115"/>
  <c r="G737" i="115"/>
  <c r="G738" i="115"/>
  <c r="G739" i="115"/>
  <c r="G740" i="115"/>
  <c r="G741" i="115"/>
  <c r="G742" i="115"/>
  <c r="G743" i="115"/>
  <c r="G744" i="115"/>
  <c r="G745" i="115"/>
  <c r="G746" i="115"/>
  <c r="G747" i="115"/>
  <c r="G748" i="115"/>
  <c r="G749" i="115"/>
  <c r="G750" i="115"/>
  <c r="G751" i="115"/>
  <c r="G752" i="115"/>
  <c r="G753" i="115"/>
  <c r="G754" i="115"/>
  <c r="G755" i="115"/>
  <c r="G756" i="115"/>
  <c r="G757" i="115"/>
  <c r="G758" i="115"/>
  <c r="G759" i="115"/>
  <c r="G760" i="115"/>
  <c r="G761" i="115"/>
  <c r="G762" i="115"/>
  <c r="G763" i="115"/>
  <c r="G764" i="115"/>
  <c r="G765" i="115"/>
  <c r="G766" i="115"/>
  <c r="G767" i="115"/>
  <c r="G768" i="115"/>
  <c r="G769" i="115"/>
  <c r="G770" i="115"/>
  <c r="G771" i="115"/>
  <c r="G772" i="115"/>
  <c r="G773" i="115"/>
  <c r="G774" i="115"/>
  <c r="G775" i="115"/>
  <c r="G776" i="115"/>
  <c r="G777" i="115"/>
  <c r="G778" i="115"/>
  <c r="G779" i="115"/>
  <c r="G780" i="115"/>
  <c r="G781" i="115"/>
  <c r="G782" i="115"/>
  <c r="G783" i="115"/>
  <c r="G784" i="115"/>
  <c r="G785" i="115"/>
  <c r="G786" i="115"/>
  <c r="G787" i="115"/>
  <c r="G788" i="115"/>
  <c r="G789" i="115"/>
  <c r="G790" i="115"/>
  <c r="G791" i="115"/>
  <c r="G792" i="115"/>
  <c r="G793" i="115"/>
  <c r="G794" i="115"/>
  <c r="G795" i="115"/>
  <c r="G796" i="115"/>
  <c r="G797" i="115"/>
  <c r="G798" i="115"/>
  <c r="G799" i="115"/>
  <c r="G800" i="115"/>
  <c r="G801" i="115"/>
  <c r="G802" i="115"/>
  <c r="G803" i="115"/>
  <c r="G804" i="115"/>
  <c r="G805" i="115"/>
  <c r="G806" i="115"/>
  <c r="G807" i="115"/>
  <c r="G808" i="115"/>
  <c r="G809" i="115"/>
  <c r="G810" i="115"/>
  <c r="G811" i="115"/>
  <c r="G812" i="115"/>
  <c r="G813" i="115"/>
  <c r="G814" i="115"/>
  <c r="G815" i="115"/>
  <c r="G816" i="115"/>
  <c r="G817" i="115"/>
  <c r="G818" i="115"/>
  <c r="G819" i="115"/>
  <c r="G820" i="115"/>
  <c r="G821" i="115"/>
  <c r="G822" i="115"/>
  <c r="G823" i="115"/>
  <c r="G824" i="115"/>
  <c r="G825" i="115"/>
  <c r="G826" i="115"/>
  <c r="G827" i="115"/>
  <c r="G828" i="115"/>
  <c r="G829" i="115"/>
  <c r="G830" i="115"/>
  <c r="G831" i="115"/>
  <c r="G832" i="115"/>
  <c r="G833" i="115"/>
  <c r="G834" i="115"/>
  <c r="G835" i="115"/>
  <c r="G836" i="115"/>
  <c r="G837" i="115"/>
  <c r="G838" i="115"/>
  <c r="G839" i="115"/>
  <c r="G840" i="115"/>
  <c r="G841" i="115"/>
  <c r="G842" i="115"/>
  <c r="G843" i="115"/>
  <c r="G844" i="115"/>
  <c r="G845" i="115"/>
  <c r="G846" i="115"/>
  <c r="G847" i="115"/>
  <c r="G848" i="115"/>
  <c r="G849" i="115"/>
  <c r="G850" i="115"/>
  <c r="G851" i="115"/>
  <c r="G852" i="115"/>
  <c r="G853" i="115"/>
  <c r="G854" i="115"/>
  <c r="G855" i="115"/>
  <c r="G856" i="115"/>
  <c r="G857" i="115"/>
  <c r="G858" i="115"/>
  <c r="G859" i="115"/>
  <c r="G860" i="115"/>
  <c r="G861" i="115"/>
  <c r="G862" i="115"/>
  <c r="G863" i="115"/>
  <c r="G864" i="115"/>
  <c r="G865" i="115"/>
  <c r="G866" i="115"/>
  <c r="G867" i="115"/>
  <c r="G868" i="115"/>
  <c r="G869" i="115"/>
  <c r="G870" i="115"/>
  <c r="G871" i="115"/>
  <c r="G872" i="115"/>
  <c r="G873" i="115"/>
  <c r="G874" i="115"/>
  <c r="G875" i="115"/>
  <c r="G876" i="115"/>
  <c r="G877" i="115"/>
  <c r="G878" i="115"/>
  <c r="G879" i="115"/>
  <c r="G880" i="115"/>
  <c r="G881" i="115"/>
  <c r="G882" i="115"/>
  <c r="G883" i="115"/>
  <c r="G884" i="115"/>
  <c r="G885" i="115"/>
  <c r="G886" i="115"/>
  <c r="G887" i="115"/>
  <c r="G888" i="115"/>
  <c r="G889" i="115"/>
  <c r="G890" i="115"/>
  <c r="G891" i="115"/>
  <c r="G892" i="115"/>
  <c r="G893" i="115"/>
  <c r="G894" i="115"/>
  <c r="G895" i="115"/>
  <c r="G896" i="115"/>
  <c r="G897" i="115"/>
  <c r="G898" i="115"/>
  <c r="G899" i="115"/>
  <c r="G900" i="115"/>
  <c r="G901" i="115"/>
  <c r="G902" i="115"/>
  <c r="G903" i="115"/>
  <c r="G904" i="115"/>
  <c r="G905" i="115"/>
  <c r="G906" i="115"/>
  <c r="G907" i="115"/>
  <c r="G908" i="115"/>
  <c r="G909" i="115"/>
  <c r="G910" i="115"/>
  <c r="G911" i="115"/>
  <c r="G912" i="115"/>
  <c r="G913" i="115"/>
  <c r="G914" i="115"/>
  <c r="G915" i="115"/>
  <c r="G916" i="115"/>
  <c r="G917" i="115"/>
  <c r="G918" i="115"/>
  <c r="G919" i="115"/>
  <c r="G920" i="115"/>
  <c r="G921" i="115"/>
  <c r="G922" i="115"/>
  <c r="G923" i="115"/>
  <c r="G924" i="115"/>
  <c r="G925" i="115"/>
  <c r="G926" i="115"/>
  <c r="G927" i="115"/>
  <c r="G928" i="115"/>
  <c r="G929" i="115"/>
  <c r="G930" i="115"/>
  <c r="G931" i="115"/>
  <c r="G932" i="115"/>
  <c r="G933" i="115"/>
  <c r="G934" i="115"/>
  <c r="G935" i="115"/>
  <c r="G936" i="115"/>
  <c r="G937" i="115"/>
  <c r="G938" i="115"/>
  <c r="G939" i="115"/>
  <c r="G940" i="115"/>
  <c r="G941" i="115"/>
  <c r="G942" i="115"/>
  <c r="G943" i="115"/>
  <c r="G944" i="115"/>
  <c r="G945" i="115"/>
  <c r="G946" i="115"/>
  <c r="G947" i="115"/>
  <c r="G948" i="115"/>
  <c r="G949" i="115"/>
  <c r="G950" i="115"/>
  <c r="G951" i="115"/>
  <c r="G952" i="115"/>
  <c r="G953" i="115"/>
  <c r="G954" i="115"/>
  <c r="G955" i="115"/>
  <c r="G956" i="115"/>
  <c r="G957" i="115"/>
  <c r="G958" i="115"/>
  <c r="G959" i="115"/>
  <c r="G960" i="115"/>
  <c r="G961" i="115"/>
  <c r="G962" i="115"/>
  <c r="G963" i="115"/>
  <c r="G964" i="115"/>
  <c r="G965" i="115"/>
  <c r="G966" i="115"/>
  <c r="G967" i="115"/>
  <c r="G968" i="115"/>
  <c r="G969" i="115"/>
  <c r="G970" i="115"/>
  <c r="G971" i="115"/>
  <c r="G972" i="115"/>
  <c r="G973" i="115"/>
  <c r="G974" i="115"/>
  <c r="G975" i="115"/>
  <c r="G976" i="115"/>
  <c r="G977" i="115"/>
  <c r="G978" i="115"/>
  <c r="G979" i="115"/>
  <c r="G980" i="115"/>
  <c r="G981" i="115"/>
  <c r="G982" i="115"/>
  <c r="G983" i="115"/>
  <c r="G984" i="115"/>
  <c r="G985" i="115"/>
  <c r="G986" i="115"/>
  <c r="G987" i="115"/>
  <c r="G988" i="115"/>
  <c r="G989" i="115"/>
  <c r="G990" i="115"/>
  <c r="G991" i="115"/>
  <c r="G992" i="115"/>
  <c r="G993" i="115"/>
  <c r="G994" i="115"/>
  <c r="G995" i="115"/>
  <c r="G996" i="115"/>
  <c r="G997" i="115"/>
  <c r="G998" i="115"/>
  <c r="G999" i="115"/>
  <c r="G1000" i="115"/>
  <c r="G1001" i="115"/>
  <c r="G2" i="115"/>
  <c r="F3" i="115"/>
  <c r="F4" i="115"/>
  <c r="F5" i="115"/>
  <c r="F6" i="115"/>
  <c r="F7" i="115"/>
  <c r="F8" i="115"/>
  <c r="F9" i="115"/>
  <c r="F10" i="115"/>
  <c r="F11" i="115"/>
  <c r="F12" i="115"/>
  <c r="F13" i="115"/>
  <c r="F14" i="115"/>
  <c r="F15" i="115"/>
  <c r="F16" i="115"/>
  <c r="F17" i="115"/>
  <c r="F18" i="115"/>
  <c r="F19" i="115"/>
  <c r="F20" i="115"/>
  <c r="F21" i="115"/>
  <c r="F22" i="115"/>
  <c r="F23" i="115"/>
  <c r="F24" i="115"/>
  <c r="F25" i="115"/>
  <c r="F26" i="115"/>
  <c r="F27" i="115"/>
  <c r="F28" i="115"/>
  <c r="F29" i="115"/>
  <c r="F30" i="115"/>
  <c r="F31" i="115"/>
  <c r="F32" i="115"/>
  <c r="F33" i="115"/>
  <c r="F34" i="115"/>
  <c r="F35" i="115"/>
  <c r="F36" i="115"/>
  <c r="F37" i="115"/>
  <c r="F38" i="115"/>
  <c r="F39" i="115"/>
  <c r="F40" i="115"/>
  <c r="F41" i="115"/>
  <c r="F42" i="115"/>
  <c r="F43" i="115"/>
  <c r="F44" i="115"/>
  <c r="F45" i="115"/>
  <c r="F46" i="115"/>
  <c r="F47" i="115"/>
  <c r="F48" i="115"/>
  <c r="F49" i="115"/>
  <c r="F50" i="115"/>
  <c r="F51" i="115"/>
  <c r="F52" i="115"/>
  <c r="F53" i="115"/>
  <c r="F54" i="115"/>
  <c r="F55" i="115"/>
  <c r="F56" i="115"/>
  <c r="F57" i="115"/>
  <c r="F58" i="115"/>
  <c r="F59" i="115"/>
  <c r="F60" i="115"/>
  <c r="F61" i="115"/>
  <c r="F62" i="115"/>
  <c r="F63" i="115"/>
  <c r="F64" i="115"/>
  <c r="F65" i="115"/>
  <c r="F66" i="115"/>
  <c r="F67" i="115"/>
  <c r="F68" i="115"/>
  <c r="F69" i="115"/>
  <c r="F70" i="115"/>
  <c r="F71" i="115"/>
  <c r="F72" i="115"/>
  <c r="F73" i="115"/>
  <c r="F74" i="115"/>
  <c r="F75" i="115"/>
  <c r="F76" i="115"/>
  <c r="F77" i="115"/>
  <c r="F78" i="115"/>
  <c r="F79" i="115"/>
  <c r="F80" i="115"/>
  <c r="F81" i="115"/>
  <c r="F82" i="115"/>
  <c r="F83" i="115"/>
  <c r="F84" i="115"/>
  <c r="F85" i="115"/>
  <c r="F86" i="115"/>
  <c r="F87" i="115"/>
  <c r="F88" i="115"/>
  <c r="F89" i="115"/>
  <c r="F90" i="115"/>
  <c r="F91" i="115"/>
  <c r="F92" i="115"/>
  <c r="F93" i="115"/>
  <c r="F94" i="115"/>
  <c r="F95" i="115"/>
  <c r="F96" i="115"/>
  <c r="F97" i="115"/>
  <c r="F98" i="115"/>
  <c r="F99" i="115"/>
  <c r="F100" i="115"/>
  <c r="F101" i="115"/>
  <c r="F102" i="115"/>
  <c r="F103" i="115"/>
  <c r="F104" i="115"/>
  <c r="F105" i="115"/>
  <c r="F106" i="115"/>
  <c r="F107" i="115"/>
  <c r="F108" i="115"/>
  <c r="F109" i="115"/>
  <c r="F110" i="115"/>
  <c r="F111" i="115"/>
  <c r="F112" i="115"/>
  <c r="F113" i="115"/>
  <c r="F114" i="115"/>
  <c r="F115" i="115"/>
  <c r="F116" i="115"/>
  <c r="F117" i="115"/>
  <c r="F118" i="115"/>
  <c r="F119" i="115"/>
  <c r="F120" i="115"/>
  <c r="F121" i="115"/>
  <c r="F122" i="115"/>
  <c r="F123" i="115"/>
  <c r="F124" i="115"/>
  <c r="F125" i="115"/>
  <c r="F126" i="115"/>
  <c r="F127" i="115"/>
  <c r="F128" i="115"/>
  <c r="F129" i="115"/>
  <c r="F130" i="115"/>
  <c r="F131" i="115"/>
  <c r="F132" i="115"/>
  <c r="F133" i="115"/>
  <c r="F134" i="115"/>
  <c r="F135" i="115"/>
  <c r="F136" i="115"/>
  <c r="F137" i="115"/>
  <c r="F138" i="115"/>
  <c r="F139" i="115"/>
  <c r="F140" i="115"/>
  <c r="F141" i="115"/>
  <c r="F142" i="115"/>
  <c r="F143" i="115"/>
  <c r="F144" i="115"/>
  <c r="F145" i="115"/>
  <c r="F146" i="115"/>
  <c r="F147" i="115"/>
  <c r="F148" i="115"/>
  <c r="F149" i="115"/>
  <c r="F150" i="115"/>
  <c r="F151" i="115"/>
  <c r="F152" i="115"/>
  <c r="F153" i="115"/>
  <c r="F154" i="115"/>
  <c r="F155" i="115"/>
  <c r="F156" i="115"/>
  <c r="F157" i="115"/>
  <c r="F158" i="115"/>
  <c r="F159" i="115"/>
  <c r="F160" i="115"/>
  <c r="F161" i="115"/>
  <c r="F162" i="115"/>
  <c r="F163" i="115"/>
  <c r="F164" i="115"/>
  <c r="F165" i="115"/>
  <c r="F166" i="115"/>
  <c r="F167" i="115"/>
  <c r="F168" i="115"/>
  <c r="F169" i="115"/>
  <c r="F170" i="115"/>
  <c r="F171" i="115"/>
  <c r="F172" i="115"/>
  <c r="F173" i="115"/>
  <c r="F174" i="115"/>
  <c r="F175" i="115"/>
  <c r="F176" i="115"/>
  <c r="F177" i="115"/>
  <c r="F178" i="115"/>
  <c r="F179" i="115"/>
  <c r="F180" i="115"/>
  <c r="F181" i="115"/>
  <c r="F182" i="115"/>
  <c r="F183" i="115"/>
  <c r="F184" i="115"/>
  <c r="F185" i="115"/>
  <c r="F186" i="115"/>
  <c r="F187" i="115"/>
  <c r="F188" i="115"/>
  <c r="F189" i="115"/>
  <c r="F190" i="115"/>
  <c r="F191" i="115"/>
  <c r="F192" i="115"/>
  <c r="F193" i="115"/>
  <c r="F194" i="115"/>
  <c r="F195" i="115"/>
  <c r="F196" i="115"/>
  <c r="F197" i="115"/>
  <c r="F198" i="115"/>
  <c r="F199" i="115"/>
  <c r="F200" i="115"/>
  <c r="F201" i="115"/>
  <c r="F202" i="115"/>
  <c r="F203" i="115"/>
  <c r="F204" i="115"/>
  <c r="F205" i="115"/>
  <c r="F206" i="115"/>
  <c r="F207" i="115"/>
  <c r="F208" i="115"/>
  <c r="F209" i="115"/>
  <c r="F210" i="115"/>
  <c r="F211" i="115"/>
  <c r="F212" i="115"/>
  <c r="F213" i="115"/>
  <c r="F214" i="115"/>
  <c r="F215" i="115"/>
  <c r="F216" i="115"/>
  <c r="F217" i="115"/>
  <c r="F218" i="115"/>
  <c r="F219" i="115"/>
  <c r="F220" i="115"/>
  <c r="F221" i="115"/>
  <c r="F222" i="115"/>
  <c r="F223" i="115"/>
  <c r="F224" i="115"/>
  <c r="F225" i="115"/>
  <c r="F226" i="115"/>
  <c r="F227" i="115"/>
  <c r="F228" i="115"/>
  <c r="F229" i="115"/>
  <c r="F230" i="115"/>
  <c r="F231" i="115"/>
  <c r="F232" i="115"/>
  <c r="F233" i="115"/>
  <c r="F234" i="115"/>
  <c r="F235" i="115"/>
  <c r="F236" i="115"/>
  <c r="F237" i="115"/>
  <c r="F238" i="115"/>
  <c r="F239" i="115"/>
  <c r="F240" i="115"/>
  <c r="F241" i="115"/>
  <c r="F242" i="115"/>
  <c r="F243" i="115"/>
  <c r="F244" i="115"/>
  <c r="F245" i="115"/>
  <c r="F246" i="115"/>
  <c r="F247" i="115"/>
  <c r="F248" i="115"/>
  <c r="F249" i="115"/>
  <c r="F250" i="115"/>
  <c r="F251" i="115"/>
  <c r="F252" i="115"/>
  <c r="F253" i="115"/>
  <c r="F254" i="115"/>
  <c r="F255" i="115"/>
  <c r="F256" i="115"/>
  <c r="F257" i="115"/>
  <c r="F258" i="115"/>
  <c r="F259" i="115"/>
  <c r="F260" i="115"/>
  <c r="F261" i="115"/>
  <c r="F262" i="115"/>
  <c r="F263" i="115"/>
  <c r="F264" i="115"/>
  <c r="F265" i="115"/>
  <c r="F266" i="115"/>
  <c r="F267" i="115"/>
  <c r="F268" i="115"/>
  <c r="F269" i="115"/>
  <c r="F270" i="115"/>
  <c r="F271" i="115"/>
  <c r="F272" i="115"/>
  <c r="F273" i="115"/>
  <c r="F274" i="115"/>
  <c r="F275" i="115"/>
  <c r="F276" i="115"/>
  <c r="F277" i="115"/>
  <c r="F278" i="115"/>
  <c r="F279" i="115"/>
  <c r="F280" i="115"/>
  <c r="F281" i="115"/>
  <c r="F282" i="115"/>
  <c r="F283" i="115"/>
  <c r="F284" i="115"/>
  <c r="F285" i="115"/>
  <c r="F286" i="115"/>
  <c r="F287" i="115"/>
  <c r="F288" i="115"/>
  <c r="F289" i="115"/>
  <c r="F290" i="115"/>
  <c r="F291" i="115"/>
  <c r="F292" i="115"/>
  <c r="F293" i="115"/>
  <c r="F294" i="115"/>
  <c r="F295" i="115"/>
  <c r="F296" i="115"/>
  <c r="F297" i="115"/>
  <c r="F298" i="115"/>
  <c r="F299" i="115"/>
  <c r="F300" i="115"/>
  <c r="F301" i="115"/>
  <c r="F302" i="115"/>
  <c r="F303" i="115"/>
  <c r="F304" i="115"/>
  <c r="F305" i="115"/>
  <c r="F306" i="115"/>
  <c r="F307" i="115"/>
  <c r="F308" i="115"/>
  <c r="F309" i="115"/>
  <c r="F310" i="115"/>
  <c r="F311" i="115"/>
  <c r="F312" i="115"/>
  <c r="F313" i="115"/>
  <c r="F314" i="115"/>
  <c r="F315" i="115"/>
  <c r="F316" i="115"/>
  <c r="F317" i="115"/>
  <c r="F318" i="115"/>
  <c r="F319" i="115"/>
  <c r="F320" i="115"/>
  <c r="F321" i="115"/>
  <c r="F322" i="115"/>
  <c r="F323" i="115"/>
  <c r="F324" i="115"/>
  <c r="F325" i="115"/>
  <c r="F326" i="115"/>
  <c r="F327" i="115"/>
  <c r="F328" i="115"/>
  <c r="F329" i="115"/>
  <c r="F330" i="115"/>
  <c r="F331" i="115"/>
  <c r="F332" i="115"/>
  <c r="F333" i="115"/>
  <c r="F334" i="115"/>
  <c r="F335" i="115"/>
  <c r="F336" i="115"/>
  <c r="F337" i="115"/>
  <c r="F338" i="115"/>
  <c r="F339" i="115"/>
  <c r="F340" i="115"/>
  <c r="F341" i="115"/>
  <c r="F342" i="115"/>
  <c r="F343" i="115"/>
  <c r="F344" i="115"/>
  <c r="F345" i="115"/>
  <c r="F346" i="115"/>
  <c r="F347" i="115"/>
  <c r="F348" i="115"/>
  <c r="F349" i="115"/>
  <c r="F350" i="115"/>
  <c r="F351" i="115"/>
  <c r="F352" i="115"/>
  <c r="F353" i="115"/>
  <c r="F354" i="115"/>
  <c r="F355" i="115"/>
  <c r="F356" i="115"/>
  <c r="F357" i="115"/>
  <c r="F358" i="115"/>
  <c r="F359" i="115"/>
  <c r="F360" i="115"/>
  <c r="F361" i="115"/>
  <c r="F362" i="115"/>
  <c r="F363" i="115"/>
  <c r="F364" i="115"/>
  <c r="F365" i="115"/>
  <c r="F366" i="115"/>
  <c r="F367" i="115"/>
  <c r="F368" i="115"/>
  <c r="F369" i="115"/>
  <c r="F370" i="115"/>
  <c r="F371" i="115"/>
  <c r="F372" i="115"/>
  <c r="F373" i="115"/>
  <c r="F374" i="115"/>
  <c r="F375" i="115"/>
  <c r="F376" i="115"/>
  <c r="F377" i="115"/>
  <c r="F378" i="115"/>
  <c r="F379" i="115"/>
  <c r="F380" i="115"/>
  <c r="F381" i="115"/>
  <c r="F382" i="115"/>
  <c r="F383" i="115"/>
  <c r="F384" i="115"/>
  <c r="F385" i="115"/>
  <c r="F386" i="115"/>
  <c r="F387" i="115"/>
  <c r="F388" i="115"/>
  <c r="F389" i="115"/>
  <c r="F390" i="115"/>
  <c r="F391" i="115"/>
  <c r="F392" i="115"/>
  <c r="F393" i="115"/>
  <c r="F394" i="115"/>
  <c r="F395" i="115"/>
  <c r="F396" i="115"/>
  <c r="F397" i="115"/>
  <c r="F398" i="115"/>
  <c r="F399" i="115"/>
  <c r="F400" i="115"/>
  <c r="F401" i="115"/>
  <c r="F402" i="115"/>
  <c r="F403" i="115"/>
  <c r="F404" i="115"/>
  <c r="F405" i="115"/>
  <c r="F406" i="115"/>
  <c r="F407" i="115"/>
  <c r="F408" i="115"/>
  <c r="F409" i="115"/>
  <c r="F410" i="115"/>
  <c r="F411" i="115"/>
  <c r="F412" i="115"/>
  <c r="F413" i="115"/>
  <c r="F414" i="115"/>
  <c r="F415" i="115"/>
  <c r="F416" i="115"/>
  <c r="F417" i="115"/>
  <c r="F418" i="115"/>
  <c r="F419" i="115"/>
  <c r="F420" i="115"/>
  <c r="F421" i="115"/>
  <c r="F422" i="115"/>
  <c r="F423" i="115"/>
  <c r="F424" i="115"/>
  <c r="F425" i="115"/>
  <c r="F426" i="115"/>
  <c r="F427" i="115"/>
  <c r="F428" i="115"/>
  <c r="F429" i="115"/>
  <c r="F430" i="115"/>
  <c r="F431" i="115"/>
  <c r="F432" i="115"/>
  <c r="F433" i="115"/>
  <c r="F434" i="115"/>
  <c r="F435" i="115"/>
  <c r="F436" i="115"/>
  <c r="F437" i="115"/>
  <c r="F438" i="115"/>
  <c r="F439" i="115"/>
  <c r="F440" i="115"/>
  <c r="F441" i="115"/>
  <c r="F442" i="115"/>
  <c r="F443" i="115"/>
  <c r="F444" i="115"/>
  <c r="F445" i="115"/>
  <c r="F446" i="115"/>
  <c r="F447" i="115"/>
  <c r="F448" i="115"/>
  <c r="F449" i="115"/>
  <c r="F450" i="115"/>
  <c r="F451" i="115"/>
  <c r="F452" i="115"/>
  <c r="F453" i="115"/>
  <c r="F454" i="115"/>
  <c r="F455" i="115"/>
  <c r="F456" i="115"/>
  <c r="F457" i="115"/>
  <c r="F458" i="115"/>
  <c r="F459" i="115"/>
  <c r="F460" i="115"/>
  <c r="F461" i="115"/>
  <c r="F462" i="115"/>
  <c r="F463" i="115"/>
  <c r="F464" i="115"/>
  <c r="F465" i="115"/>
  <c r="F466" i="115"/>
  <c r="F467" i="115"/>
  <c r="F468" i="115"/>
  <c r="F469" i="115"/>
  <c r="F470" i="115"/>
  <c r="F471" i="115"/>
  <c r="F472" i="115"/>
  <c r="F473" i="115"/>
  <c r="F474" i="115"/>
  <c r="F475" i="115"/>
  <c r="F476" i="115"/>
  <c r="F477" i="115"/>
  <c r="F478" i="115"/>
  <c r="F479" i="115"/>
  <c r="F480" i="115"/>
  <c r="F481" i="115"/>
  <c r="F482" i="115"/>
  <c r="F483" i="115"/>
  <c r="F484" i="115"/>
  <c r="F485" i="115"/>
  <c r="F486" i="115"/>
  <c r="F487" i="115"/>
  <c r="F488" i="115"/>
  <c r="F489" i="115"/>
  <c r="F490" i="115"/>
  <c r="F491" i="115"/>
  <c r="F492" i="115"/>
  <c r="F493" i="115"/>
  <c r="F494" i="115"/>
  <c r="F495" i="115"/>
  <c r="F496" i="115"/>
  <c r="F497" i="115"/>
  <c r="F498" i="115"/>
  <c r="F499" i="115"/>
  <c r="F500" i="115"/>
  <c r="F501" i="115"/>
  <c r="F502" i="115"/>
  <c r="F503" i="115"/>
  <c r="F504" i="115"/>
  <c r="F505" i="115"/>
  <c r="F506" i="115"/>
  <c r="F507" i="115"/>
  <c r="F508" i="115"/>
  <c r="F509" i="115"/>
  <c r="F510" i="115"/>
  <c r="F511" i="115"/>
  <c r="F512" i="115"/>
  <c r="F513" i="115"/>
  <c r="F514" i="115"/>
  <c r="F515" i="115"/>
  <c r="F516" i="115"/>
  <c r="F517" i="115"/>
  <c r="F518" i="115"/>
  <c r="F519" i="115"/>
  <c r="F520" i="115"/>
  <c r="F521" i="115"/>
  <c r="F522" i="115"/>
  <c r="F523" i="115"/>
  <c r="F524" i="115"/>
  <c r="F525" i="115"/>
  <c r="F526" i="115"/>
  <c r="F527" i="115"/>
  <c r="F528" i="115"/>
  <c r="F529" i="115"/>
  <c r="F530" i="115"/>
  <c r="F531" i="115"/>
  <c r="F532" i="115"/>
  <c r="F533" i="115"/>
  <c r="F534" i="115"/>
  <c r="F535" i="115"/>
  <c r="F536" i="115"/>
  <c r="F537" i="115"/>
  <c r="F538" i="115"/>
  <c r="F539" i="115"/>
  <c r="F540" i="115"/>
  <c r="F541" i="115"/>
  <c r="F542" i="115"/>
  <c r="F543" i="115"/>
  <c r="F544" i="115"/>
  <c r="F545" i="115"/>
  <c r="F546" i="115"/>
  <c r="F547" i="115"/>
  <c r="F548" i="115"/>
  <c r="F549" i="115"/>
  <c r="F550" i="115"/>
  <c r="F551" i="115"/>
  <c r="F552" i="115"/>
  <c r="F553" i="115"/>
  <c r="F554" i="115"/>
  <c r="F555" i="115"/>
  <c r="F556" i="115"/>
  <c r="F557" i="115"/>
  <c r="F558" i="115"/>
  <c r="F559" i="115"/>
  <c r="F560" i="115"/>
  <c r="F561" i="115"/>
  <c r="F562" i="115"/>
  <c r="F563" i="115"/>
  <c r="F564" i="115"/>
  <c r="F565" i="115"/>
  <c r="F566" i="115"/>
  <c r="F567" i="115"/>
  <c r="F568" i="115"/>
  <c r="F569" i="115"/>
  <c r="F570" i="115"/>
  <c r="F571" i="115"/>
  <c r="F572" i="115"/>
  <c r="F573" i="115"/>
  <c r="F574" i="115"/>
  <c r="F575" i="115"/>
  <c r="F576" i="115"/>
  <c r="F577" i="115"/>
  <c r="F578" i="115"/>
  <c r="F579" i="115"/>
  <c r="F580" i="115"/>
  <c r="F581" i="115"/>
  <c r="F582" i="115"/>
  <c r="F583" i="115"/>
  <c r="F584" i="115"/>
  <c r="F585" i="115"/>
  <c r="F586" i="115"/>
  <c r="F587" i="115"/>
  <c r="F588" i="115"/>
  <c r="F589" i="115"/>
  <c r="F590" i="115"/>
  <c r="F591" i="115"/>
  <c r="F592" i="115"/>
  <c r="F593" i="115"/>
  <c r="F594" i="115"/>
  <c r="F595" i="115"/>
  <c r="F596" i="115"/>
  <c r="F597" i="115"/>
  <c r="F598" i="115"/>
  <c r="F599" i="115"/>
  <c r="F600" i="115"/>
  <c r="F601" i="115"/>
  <c r="F602" i="115"/>
  <c r="F603" i="115"/>
  <c r="F604" i="115"/>
  <c r="F605" i="115"/>
  <c r="F606" i="115"/>
  <c r="F607" i="115"/>
  <c r="F608" i="115"/>
  <c r="F609" i="115"/>
  <c r="F610" i="115"/>
  <c r="F611" i="115"/>
  <c r="F612" i="115"/>
  <c r="F613" i="115"/>
  <c r="F614" i="115"/>
  <c r="F615" i="115"/>
  <c r="F616" i="115"/>
  <c r="F617" i="115"/>
  <c r="F618" i="115"/>
  <c r="F619" i="115"/>
  <c r="F620" i="115"/>
  <c r="F621" i="115"/>
  <c r="F622" i="115"/>
  <c r="F623" i="115"/>
  <c r="F624" i="115"/>
  <c r="F625" i="115"/>
  <c r="F626" i="115"/>
  <c r="F627" i="115"/>
  <c r="F628" i="115"/>
  <c r="F629" i="115"/>
  <c r="F630" i="115"/>
  <c r="F631" i="115"/>
  <c r="F632" i="115"/>
  <c r="F633" i="115"/>
  <c r="F634" i="115"/>
  <c r="F635" i="115"/>
  <c r="F636" i="115"/>
  <c r="F637" i="115"/>
  <c r="F638" i="115"/>
  <c r="F639" i="115"/>
  <c r="F640" i="115"/>
  <c r="F641" i="115"/>
  <c r="F642" i="115"/>
  <c r="F643" i="115"/>
  <c r="F644" i="115"/>
  <c r="F645" i="115"/>
  <c r="F646" i="115"/>
  <c r="F647" i="115"/>
  <c r="F648" i="115"/>
  <c r="F649" i="115"/>
  <c r="F650" i="115"/>
  <c r="F651" i="115"/>
  <c r="F652" i="115"/>
  <c r="F653" i="115"/>
  <c r="F654" i="115"/>
  <c r="F655" i="115"/>
  <c r="F656" i="115"/>
  <c r="F657" i="115"/>
  <c r="F658" i="115"/>
  <c r="F659" i="115"/>
  <c r="F660" i="115"/>
  <c r="F661" i="115"/>
  <c r="F662" i="115"/>
  <c r="F663" i="115"/>
  <c r="F664" i="115"/>
  <c r="F665" i="115"/>
  <c r="F666" i="115"/>
  <c r="F667" i="115"/>
  <c r="F668" i="115"/>
  <c r="F669" i="115"/>
  <c r="F670" i="115"/>
  <c r="F671" i="115"/>
  <c r="F672" i="115"/>
  <c r="F673" i="115"/>
  <c r="F674" i="115"/>
  <c r="F675" i="115"/>
  <c r="F676" i="115"/>
  <c r="F677" i="115"/>
  <c r="F678" i="115"/>
  <c r="F679" i="115"/>
  <c r="F680" i="115"/>
  <c r="F681" i="115"/>
  <c r="F682" i="115"/>
  <c r="F683" i="115"/>
  <c r="F684" i="115"/>
  <c r="F685" i="115"/>
  <c r="F686" i="115"/>
  <c r="F687" i="115"/>
  <c r="F688" i="115"/>
  <c r="F689" i="115"/>
  <c r="F690" i="115"/>
  <c r="F691" i="115"/>
  <c r="F692" i="115"/>
  <c r="F693" i="115"/>
  <c r="F694" i="115"/>
  <c r="F695" i="115"/>
  <c r="F696" i="115"/>
  <c r="F697" i="115"/>
  <c r="F698" i="115"/>
  <c r="F699" i="115"/>
  <c r="F700" i="115"/>
  <c r="F701" i="115"/>
  <c r="F702" i="115"/>
  <c r="F703" i="115"/>
  <c r="F704" i="115"/>
  <c r="F705" i="115"/>
  <c r="F706" i="115"/>
  <c r="F707" i="115"/>
  <c r="F708" i="115"/>
  <c r="F709" i="115"/>
  <c r="F710" i="115"/>
  <c r="F711" i="115"/>
  <c r="F712" i="115"/>
  <c r="F713" i="115"/>
  <c r="F714" i="115"/>
  <c r="F715" i="115"/>
  <c r="F716" i="115"/>
  <c r="F717" i="115"/>
  <c r="F718" i="115"/>
  <c r="F719" i="115"/>
  <c r="F720" i="115"/>
  <c r="F721" i="115"/>
  <c r="F722" i="115"/>
  <c r="F723" i="115"/>
  <c r="F724" i="115"/>
  <c r="F725" i="115"/>
  <c r="F726" i="115"/>
  <c r="F727" i="115"/>
  <c r="F728" i="115"/>
  <c r="F729" i="115"/>
  <c r="F730" i="115"/>
  <c r="F731" i="115"/>
  <c r="F732" i="115"/>
  <c r="F733" i="115"/>
  <c r="F734" i="115"/>
  <c r="F735" i="115"/>
  <c r="F736" i="115"/>
  <c r="F737" i="115"/>
  <c r="F738" i="115"/>
  <c r="F739" i="115"/>
  <c r="F740" i="115"/>
  <c r="F741" i="115"/>
  <c r="F742" i="115"/>
  <c r="F743" i="115"/>
  <c r="F744" i="115"/>
  <c r="F745" i="115"/>
  <c r="F746" i="115"/>
  <c r="F747" i="115"/>
  <c r="F748" i="115"/>
  <c r="F749" i="115"/>
  <c r="F750" i="115"/>
  <c r="F751" i="115"/>
  <c r="F752" i="115"/>
  <c r="F753" i="115"/>
  <c r="F754" i="115"/>
  <c r="F755" i="115"/>
  <c r="F756" i="115"/>
  <c r="F757" i="115"/>
  <c r="F758" i="115"/>
  <c r="F759" i="115"/>
  <c r="F760" i="115"/>
  <c r="F761" i="115"/>
  <c r="F762" i="115"/>
  <c r="F763" i="115"/>
  <c r="F764" i="115"/>
  <c r="F765" i="115"/>
  <c r="F766" i="115"/>
  <c r="F767" i="115"/>
  <c r="F768" i="115"/>
  <c r="F769" i="115"/>
  <c r="F770" i="115"/>
  <c r="F771" i="115"/>
  <c r="F772" i="115"/>
  <c r="F773" i="115"/>
  <c r="F774" i="115"/>
  <c r="F775" i="115"/>
  <c r="F776" i="115"/>
  <c r="F777" i="115"/>
  <c r="F778" i="115"/>
  <c r="F779" i="115"/>
  <c r="F780" i="115"/>
  <c r="F781" i="115"/>
  <c r="F782" i="115"/>
  <c r="F783" i="115"/>
  <c r="F784" i="115"/>
  <c r="F785" i="115"/>
  <c r="F786" i="115"/>
  <c r="F787" i="115"/>
  <c r="F788" i="115"/>
  <c r="F789" i="115"/>
  <c r="F790" i="115"/>
  <c r="F791" i="115"/>
  <c r="F792" i="115"/>
  <c r="F793" i="115"/>
  <c r="F794" i="115"/>
  <c r="F795" i="115"/>
  <c r="F796" i="115"/>
  <c r="F797" i="115"/>
  <c r="F798" i="115"/>
  <c r="F799" i="115"/>
  <c r="F800" i="115"/>
  <c r="F801" i="115"/>
  <c r="F802" i="115"/>
  <c r="F803" i="115"/>
  <c r="F804" i="115"/>
  <c r="F805" i="115"/>
  <c r="F806" i="115"/>
  <c r="F807" i="115"/>
  <c r="F808" i="115"/>
  <c r="F809" i="115"/>
  <c r="F810" i="115"/>
  <c r="F811" i="115"/>
  <c r="F812" i="115"/>
  <c r="F813" i="115"/>
  <c r="F814" i="115"/>
  <c r="F815" i="115"/>
  <c r="F816" i="115"/>
  <c r="F817" i="115"/>
  <c r="F818" i="115"/>
  <c r="F819" i="115"/>
  <c r="F820" i="115"/>
  <c r="F821" i="115"/>
  <c r="F822" i="115"/>
  <c r="F823" i="115"/>
  <c r="F824" i="115"/>
  <c r="F825" i="115"/>
  <c r="F826" i="115"/>
  <c r="F827" i="115"/>
  <c r="F828" i="115"/>
  <c r="F829" i="115"/>
  <c r="F830" i="115"/>
  <c r="F831" i="115"/>
  <c r="F832" i="115"/>
  <c r="F833" i="115"/>
  <c r="F834" i="115"/>
  <c r="F835" i="115"/>
  <c r="F836" i="115"/>
  <c r="F837" i="115"/>
  <c r="F838" i="115"/>
  <c r="F839" i="115"/>
  <c r="F840" i="115"/>
  <c r="F841" i="115"/>
  <c r="F842" i="115"/>
  <c r="F843" i="115"/>
  <c r="F844" i="115"/>
  <c r="F845" i="115"/>
  <c r="F846" i="115"/>
  <c r="F847" i="115"/>
  <c r="F848" i="115"/>
  <c r="F849" i="115"/>
  <c r="F850" i="115"/>
  <c r="F851" i="115"/>
  <c r="F852" i="115"/>
  <c r="F853" i="115"/>
  <c r="F854" i="115"/>
  <c r="F855" i="115"/>
  <c r="F856" i="115"/>
  <c r="F857" i="115"/>
  <c r="F858" i="115"/>
  <c r="F859" i="115"/>
  <c r="F860" i="115"/>
  <c r="F861" i="115"/>
  <c r="F862" i="115"/>
  <c r="F863" i="115"/>
  <c r="F864" i="115"/>
  <c r="F865" i="115"/>
  <c r="F866" i="115"/>
  <c r="F867" i="115"/>
  <c r="F868" i="115"/>
  <c r="F869" i="115"/>
  <c r="F870" i="115"/>
  <c r="F871" i="115"/>
  <c r="F872" i="115"/>
  <c r="F873" i="115"/>
  <c r="F874" i="115"/>
  <c r="F875" i="115"/>
  <c r="F876" i="115"/>
  <c r="F877" i="115"/>
  <c r="F878" i="115"/>
  <c r="F879" i="115"/>
  <c r="F880" i="115"/>
  <c r="F881" i="115"/>
  <c r="F882" i="115"/>
  <c r="F883" i="115"/>
  <c r="F884" i="115"/>
  <c r="F885" i="115"/>
  <c r="F886" i="115"/>
  <c r="F887" i="115"/>
  <c r="F888" i="115"/>
  <c r="F889" i="115"/>
  <c r="F890" i="115"/>
  <c r="F891" i="115"/>
  <c r="F892" i="115"/>
  <c r="F893" i="115"/>
  <c r="F894" i="115"/>
  <c r="F895" i="115"/>
  <c r="F896" i="115"/>
  <c r="F897" i="115"/>
  <c r="F898" i="115"/>
  <c r="F899" i="115"/>
  <c r="F900" i="115"/>
  <c r="F901" i="115"/>
  <c r="F902" i="115"/>
  <c r="F903" i="115"/>
  <c r="F904" i="115"/>
  <c r="F905" i="115"/>
  <c r="F906" i="115"/>
  <c r="F907" i="115"/>
  <c r="F908" i="115"/>
  <c r="F909" i="115"/>
  <c r="F910" i="115"/>
  <c r="F911" i="115"/>
  <c r="F912" i="115"/>
  <c r="F913" i="115"/>
  <c r="F914" i="115"/>
  <c r="F915" i="115"/>
  <c r="F916" i="115"/>
  <c r="F917" i="115"/>
  <c r="F918" i="115"/>
  <c r="F919" i="115"/>
  <c r="F920" i="115"/>
  <c r="F921" i="115"/>
  <c r="F922" i="115"/>
  <c r="F923" i="115"/>
  <c r="F924" i="115"/>
  <c r="F925" i="115"/>
  <c r="F926" i="115"/>
  <c r="F927" i="115"/>
  <c r="F928" i="115"/>
  <c r="F929" i="115"/>
  <c r="F930" i="115"/>
  <c r="F931" i="115"/>
  <c r="F932" i="115"/>
  <c r="F933" i="115"/>
  <c r="F934" i="115"/>
  <c r="F935" i="115"/>
  <c r="F936" i="115"/>
  <c r="F937" i="115"/>
  <c r="F938" i="115"/>
  <c r="F939" i="115"/>
  <c r="F940" i="115"/>
  <c r="F941" i="115"/>
  <c r="F942" i="115"/>
  <c r="F943" i="115"/>
  <c r="F944" i="115"/>
  <c r="F945" i="115"/>
  <c r="F946" i="115"/>
  <c r="F947" i="115"/>
  <c r="F948" i="115"/>
  <c r="F949" i="115"/>
  <c r="F950" i="115"/>
  <c r="F951" i="115"/>
  <c r="F952" i="115"/>
  <c r="F953" i="115"/>
  <c r="F954" i="115"/>
  <c r="F955" i="115"/>
  <c r="F956" i="115"/>
  <c r="F957" i="115"/>
  <c r="F958" i="115"/>
  <c r="F959" i="115"/>
  <c r="F960" i="115"/>
  <c r="F961" i="115"/>
  <c r="F962" i="115"/>
  <c r="F963" i="115"/>
  <c r="F964" i="115"/>
  <c r="F965" i="115"/>
  <c r="F966" i="115"/>
  <c r="F967" i="115"/>
  <c r="F968" i="115"/>
  <c r="F969" i="115"/>
  <c r="F970" i="115"/>
  <c r="F971" i="115"/>
  <c r="F972" i="115"/>
  <c r="F973" i="115"/>
  <c r="F974" i="115"/>
  <c r="F975" i="115"/>
  <c r="F976" i="115"/>
  <c r="F977" i="115"/>
  <c r="F978" i="115"/>
  <c r="F979" i="115"/>
  <c r="F980" i="115"/>
  <c r="F981" i="115"/>
  <c r="F982" i="115"/>
  <c r="F983" i="115"/>
  <c r="F984" i="115"/>
  <c r="F985" i="115"/>
  <c r="F986" i="115"/>
  <c r="F987" i="115"/>
  <c r="F988" i="115"/>
  <c r="F989" i="115"/>
  <c r="F990" i="115"/>
  <c r="F991" i="115"/>
  <c r="F992" i="115"/>
  <c r="F993" i="115"/>
  <c r="F994" i="115"/>
  <c r="F995" i="115"/>
  <c r="F996" i="115"/>
  <c r="F997" i="115"/>
  <c r="F998" i="115"/>
  <c r="F999" i="115"/>
  <c r="F1000" i="115"/>
  <c r="F1001" i="115"/>
  <c r="F2" i="115"/>
  <c r="E3" i="115"/>
  <c r="E4" i="115"/>
  <c r="E5" i="115"/>
  <c r="E6" i="115"/>
  <c r="E7" i="115"/>
  <c r="E8" i="115"/>
  <c r="E9" i="115"/>
  <c r="E10" i="115"/>
  <c r="E11" i="115"/>
  <c r="E12" i="115"/>
  <c r="E13" i="115"/>
  <c r="E14" i="115"/>
  <c r="E15" i="115"/>
  <c r="E16" i="115"/>
  <c r="E17" i="115"/>
  <c r="E18" i="115"/>
  <c r="E19" i="115"/>
  <c r="E20" i="115"/>
  <c r="E21" i="115"/>
  <c r="E22" i="115"/>
  <c r="E23" i="115"/>
  <c r="E24" i="115"/>
  <c r="E25" i="115"/>
  <c r="E26" i="115"/>
  <c r="E27" i="115"/>
  <c r="E28" i="115"/>
  <c r="E29" i="115"/>
  <c r="E30" i="115"/>
  <c r="E31" i="115"/>
  <c r="E32" i="115"/>
  <c r="E33" i="115"/>
  <c r="E34" i="115"/>
  <c r="E35" i="115"/>
  <c r="E36" i="115"/>
  <c r="E37" i="115"/>
  <c r="E38" i="115"/>
  <c r="E39" i="115"/>
  <c r="E40" i="115"/>
  <c r="E41" i="115"/>
  <c r="E42" i="115"/>
  <c r="E43" i="115"/>
  <c r="E44" i="115"/>
  <c r="E45" i="115"/>
  <c r="E46" i="115"/>
  <c r="E47" i="115"/>
  <c r="E48" i="115"/>
  <c r="E49" i="115"/>
  <c r="E50" i="115"/>
  <c r="E51" i="115"/>
  <c r="E52" i="115"/>
  <c r="E53" i="115"/>
  <c r="E54" i="115"/>
  <c r="E55" i="115"/>
  <c r="E56" i="115"/>
  <c r="E57" i="115"/>
  <c r="E58" i="115"/>
  <c r="E59" i="115"/>
  <c r="E60" i="115"/>
  <c r="E61" i="115"/>
  <c r="E62" i="115"/>
  <c r="E63" i="115"/>
  <c r="E64" i="115"/>
  <c r="E65" i="115"/>
  <c r="E66" i="115"/>
  <c r="E67" i="115"/>
  <c r="E68" i="115"/>
  <c r="E69" i="115"/>
  <c r="E70" i="115"/>
  <c r="E71" i="115"/>
  <c r="E72" i="115"/>
  <c r="E73" i="115"/>
  <c r="E74" i="115"/>
  <c r="E75" i="115"/>
  <c r="E76" i="115"/>
  <c r="E77" i="115"/>
  <c r="E78" i="115"/>
  <c r="E79" i="115"/>
  <c r="E80" i="115"/>
  <c r="E81" i="115"/>
  <c r="E82" i="115"/>
  <c r="E83" i="115"/>
  <c r="E84" i="115"/>
  <c r="E85" i="115"/>
  <c r="E86" i="115"/>
  <c r="E87" i="115"/>
  <c r="E88" i="115"/>
  <c r="E89" i="115"/>
  <c r="E90" i="115"/>
  <c r="E91" i="115"/>
  <c r="E92" i="115"/>
  <c r="E93" i="115"/>
  <c r="E94" i="115"/>
  <c r="E95" i="115"/>
  <c r="E96" i="115"/>
  <c r="E97" i="115"/>
  <c r="E98" i="115"/>
  <c r="E99" i="115"/>
  <c r="E100" i="115"/>
  <c r="E101" i="115"/>
  <c r="E102" i="115"/>
  <c r="E103" i="115"/>
  <c r="E104" i="115"/>
  <c r="E105" i="115"/>
  <c r="E106" i="115"/>
  <c r="E107" i="115"/>
  <c r="E108" i="115"/>
  <c r="E109" i="115"/>
  <c r="E110" i="115"/>
  <c r="E111" i="115"/>
  <c r="E112" i="115"/>
  <c r="E113" i="115"/>
  <c r="E114" i="115"/>
  <c r="E115" i="115"/>
  <c r="E116" i="115"/>
  <c r="E117" i="115"/>
  <c r="E118" i="115"/>
  <c r="E119" i="115"/>
  <c r="E120" i="115"/>
  <c r="E121" i="115"/>
  <c r="E122" i="115"/>
  <c r="E123" i="115"/>
  <c r="E124" i="115"/>
  <c r="E125" i="115"/>
  <c r="E126" i="115"/>
  <c r="E127" i="115"/>
  <c r="E128" i="115"/>
  <c r="E129" i="115"/>
  <c r="E130" i="115"/>
  <c r="E131" i="115"/>
  <c r="E132" i="115"/>
  <c r="E133" i="115"/>
  <c r="E134" i="115"/>
  <c r="E135" i="115"/>
  <c r="E136" i="115"/>
  <c r="E137" i="115"/>
  <c r="E138" i="115"/>
  <c r="E139" i="115"/>
  <c r="E140" i="115"/>
  <c r="E141" i="115"/>
  <c r="E142" i="115"/>
  <c r="E143" i="115"/>
  <c r="E144" i="115"/>
  <c r="E145" i="115"/>
  <c r="E146" i="115"/>
  <c r="E147" i="115"/>
  <c r="E148" i="115"/>
  <c r="E149" i="115"/>
  <c r="E150" i="115"/>
  <c r="E151" i="115"/>
  <c r="E152" i="115"/>
  <c r="E153" i="115"/>
  <c r="E154" i="115"/>
  <c r="E155" i="115"/>
  <c r="E156" i="115"/>
  <c r="E157" i="115"/>
  <c r="E158" i="115"/>
  <c r="E159" i="115"/>
  <c r="E160" i="115"/>
  <c r="E161" i="115"/>
  <c r="E162" i="115"/>
  <c r="E163" i="115"/>
  <c r="E164" i="115"/>
  <c r="E165" i="115"/>
  <c r="E166" i="115"/>
  <c r="E167" i="115"/>
  <c r="E168" i="115"/>
  <c r="E169" i="115"/>
  <c r="E170" i="115"/>
  <c r="E171" i="115"/>
  <c r="E172" i="115"/>
  <c r="E173" i="115"/>
  <c r="E174" i="115"/>
  <c r="E175" i="115"/>
  <c r="E176" i="115"/>
  <c r="E177" i="115"/>
  <c r="E178" i="115"/>
  <c r="E179" i="115"/>
  <c r="E180" i="115"/>
  <c r="E181" i="115"/>
  <c r="E182" i="115"/>
  <c r="E183" i="115"/>
  <c r="E184" i="115"/>
  <c r="E185" i="115"/>
  <c r="E186" i="115"/>
  <c r="E187" i="115"/>
  <c r="E188" i="115"/>
  <c r="E189" i="115"/>
  <c r="E190" i="115"/>
  <c r="E191" i="115"/>
  <c r="E192" i="115"/>
  <c r="E193" i="115"/>
  <c r="E194" i="115"/>
  <c r="E195" i="115"/>
  <c r="E196" i="115"/>
  <c r="E197" i="115"/>
  <c r="E198" i="115"/>
  <c r="E199" i="115"/>
  <c r="E200" i="115"/>
  <c r="E201" i="115"/>
  <c r="E202" i="115"/>
  <c r="E203" i="115"/>
  <c r="E204" i="115"/>
  <c r="E205" i="115"/>
  <c r="E206" i="115"/>
  <c r="E207" i="115"/>
  <c r="E208" i="115"/>
  <c r="E209" i="115"/>
  <c r="E210" i="115"/>
  <c r="E211" i="115"/>
  <c r="E212" i="115"/>
  <c r="E213" i="115"/>
  <c r="E214" i="115"/>
  <c r="E215" i="115"/>
  <c r="E216" i="115"/>
  <c r="E217" i="115"/>
  <c r="E218" i="115"/>
  <c r="E219" i="115"/>
  <c r="E220" i="115"/>
  <c r="E221" i="115"/>
  <c r="E222" i="115"/>
  <c r="E223" i="115"/>
  <c r="E224" i="115"/>
  <c r="E225" i="115"/>
  <c r="E226" i="115"/>
  <c r="E227" i="115"/>
  <c r="E228" i="115"/>
  <c r="E229" i="115"/>
  <c r="E230" i="115"/>
  <c r="E231" i="115"/>
  <c r="E232" i="115"/>
  <c r="E233" i="115"/>
  <c r="E234" i="115"/>
  <c r="E235" i="115"/>
  <c r="E236" i="115"/>
  <c r="E237" i="115"/>
  <c r="E238" i="115"/>
  <c r="E239" i="115"/>
  <c r="E240" i="115"/>
  <c r="E241" i="115"/>
  <c r="E242" i="115"/>
  <c r="E243" i="115"/>
  <c r="E244" i="115"/>
  <c r="E245" i="115"/>
  <c r="E246" i="115"/>
  <c r="E247" i="115"/>
  <c r="E248" i="115"/>
  <c r="E249" i="115"/>
  <c r="E250" i="115"/>
  <c r="E251" i="115"/>
  <c r="E252" i="115"/>
  <c r="E253" i="115"/>
  <c r="E254" i="115"/>
  <c r="E255" i="115"/>
  <c r="E256" i="115"/>
  <c r="E257" i="115"/>
  <c r="E258" i="115"/>
  <c r="E259" i="115"/>
  <c r="E260" i="115"/>
  <c r="E261" i="115"/>
  <c r="E262" i="115"/>
  <c r="E263" i="115"/>
  <c r="E264" i="115"/>
  <c r="E265" i="115"/>
  <c r="E266" i="115"/>
  <c r="E267" i="115"/>
  <c r="E268" i="115"/>
  <c r="E269" i="115"/>
  <c r="E270" i="115"/>
  <c r="E271" i="115"/>
  <c r="E272" i="115"/>
  <c r="E273" i="115"/>
  <c r="E274" i="115"/>
  <c r="E275" i="115"/>
  <c r="E276" i="115"/>
  <c r="E277" i="115"/>
  <c r="E278" i="115"/>
  <c r="E279" i="115"/>
  <c r="E280" i="115"/>
  <c r="E281" i="115"/>
  <c r="E282" i="115"/>
  <c r="E283" i="115"/>
  <c r="E284" i="115"/>
  <c r="E285" i="115"/>
  <c r="E286" i="115"/>
  <c r="E287" i="115"/>
  <c r="E288" i="115"/>
  <c r="E289" i="115"/>
  <c r="E290" i="115"/>
  <c r="E291" i="115"/>
  <c r="E292" i="115"/>
  <c r="E293" i="115"/>
  <c r="E294" i="115"/>
  <c r="E295" i="115"/>
  <c r="E296" i="115"/>
  <c r="E297" i="115"/>
  <c r="E298" i="115"/>
  <c r="E299" i="115"/>
  <c r="E300" i="115"/>
  <c r="E301" i="115"/>
  <c r="E302" i="115"/>
  <c r="E303" i="115"/>
  <c r="E304" i="115"/>
  <c r="E305" i="115"/>
  <c r="E306" i="115"/>
  <c r="E307" i="115"/>
  <c r="E308" i="115"/>
  <c r="E309" i="115"/>
  <c r="E310" i="115"/>
  <c r="E311" i="115"/>
  <c r="E312" i="115"/>
  <c r="E313" i="115"/>
  <c r="E314" i="115"/>
  <c r="E315" i="115"/>
  <c r="E316" i="115"/>
  <c r="E317" i="115"/>
  <c r="E318" i="115"/>
  <c r="E319" i="115"/>
  <c r="E320" i="115"/>
  <c r="E321" i="115"/>
  <c r="E322" i="115"/>
  <c r="E323" i="115"/>
  <c r="E324" i="115"/>
  <c r="E325" i="115"/>
  <c r="E326" i="115"/>
  <c r="E327" i="115"/>
  <c r="E328" i="115"/>
  <c r="E329" i="115"/>
  <c r="E330" i="115"/>
  <c r="E331" i="115"/>
  <c r="E332" i="115"/>
  <c r="E333" i="115"/>
  <c r="E334" i="115"/>
  <c r="E335" i="115"/>
  <c r="E336" i="115"/>
  <c r="E337" i="115"/>
  <c r="E338" i="115"/>
  <c r="E339" i="115"/>
  <c r="E340" i="115"/>
  <c r="E341" i="115"/>
  <c r="E342" i="115"/>
  <c r="E343" i="115"/>
  <c r="E344" i="115"/>
  <c r="E345" i="115"/>
  <c r="E346" i="115"/>
  <c r="E347" i="115"/>
  <c r="E348" i="115"/>
  <c r="E349" i="115"/>
  <c r="E350" i="115"/>
  <c r="E351" i="115"/>
  <c r="E352" i="115"/>
  <c r="E353" i="115"/>
  <c r="E354" i="115"/>
  <c r="E355" i="115"/>
  <c r="E356" i="115"/>
  <c r="E357" i="115"/>
  <c r="E358" i="115"/>
  <c r="E359" i="115"/>
  <c r="E360" i="115"/>
  <c r="E361" i="115"/>
  <c r="E362" i="115"/>
  <c r="E363" i="115"/>
  <c r="E364" i="115"/>
  <c r="E365" i="115"/>
  <c r="E366" i="115"/>
  <c r="E367" i="115"/>
  <c r="E368" i="115"/>
  <c r="E369" i="115"/>
  <c r="E370" i="115"/>
  <c r="E371" i="115"/>
  <c r="E372" i="115"/>
  <c r="E373" i="115"/>
  <c r="E374" i="115"/>
  <c r="E375" i="115"/>
  <c r="E376" i="115"/>
  <c r="E377" i="115"/>
  <c r="E378" i="115"/>
  <c r="E379" i="115"/>
  <c r="E380" i="115"/>
  <c r="E381" i="115"/>
  <c r="E382" i="115"/>
  <c r="E383" i="115"/>
  <c r="E384" i="115"/>
  <c r="E385" i="115"/>
  <c r="E386" i="115"/>
  <c r="E387" i="115"/>
  <c r="E388" i="115"/>
  <c r="E389" i="115"/>
  <c r="E390" i="115"/>
  <c r="E391" i="115"/>
  <c r="E392" i="115"/>
  <c r="E393" i="115"/>
  <c r="E394" i="115"/>
  <c r="E395" i="115"/>
  <c r="E396" i="115"/>
  <c r="E397" i="115"/>
  <c r="E398" i="115"/>
  <c r="E399" i="115"/>
  <c r="E400" i="115"/>
  <c r="E401" i="115"/>
  <c r="E402" i="115"/>
  <c r="E403" i="115"/>
  <c r="E404" i="115"/>
  <c r="E405" i="115"/>
  <c r="E406" i="115"/>
  <c r="E407" i="115"/>
  <c r="E408" i="115"/>
  <c r="E409" i="115"/>
  <c r="E410" i="115"/>
  <c r="E411" i="115"/>
  <c r="E412" i="115"/>
  <c r="E413" i="115"/>
  <c r="E414" i="115"/>
  <c r="E415" i="115"/>
  <c r="E416" i="115"/>
  <c r="E417" i="115"/>
  <c r="E418" i="115"/>
  <c r="E419" i="115"/>
  <c r="E420" i="115"/>
  <c r="E421" i="115"/>
  <c r="E422" i="115"/>
  <c r="E423" i="115"/>
  <c r="E424" i="115"/>
  <c r="E425" i="115"/>
  <c r="E426" i="115"/>
  <c r="E427" i="115"/>
  <c r="E428" i="115"/>
  <c r="E429" i="115"/>
  <c r="E430" i="115"/>
  <c r="E431" i="115"/>
  <c r="E432" i="115"/>
  <c r="E433" i="115"/>
  <c r="E434" i="115"/>
  <c r="E435" i="115"/>
  <c r="E436" i="115"/>
  <c r="E437" i="115"/>
  <c r="E438" i="115"/>
  <c r="E439" i="115"/>
  <c r="E440" i="115"/>
  <c r="E441" i="115"/>
  <c r="E442" i="115"/>
  <c r="E443" i="115"/>
  <c r="E444" i="115"/>
  <c r="E445" i="115"/>
  <c r="E446" i="115"/>
  <c r="E447" i="115"/>
  <c r="E448" i="115"/>
  <c r="E449" i="115"/>
  <c r="E450" i="115"/>
  <c r="E451" i="115"/>
  <c r="E452" i="115"/>
  <c r="E453" i="115"/>
  <c r="E454" i="115"/>
  <c r="E455" i="115"/>
  <c r="E456" i="115"/>
  <c r="E457" i="115"/>
  <c r="E458" i="115"/>
  <c r="E459" i="115"/>
  <c r="E460" i="115"/>
  <c r="E461" i="115"/>
  <c r="E462" i="115"/>
  <c r="E463" i="115"/>
  <c r="E464" i="115"/>
  <c r="E465" i="115"/>
  <c r="E466" i="115"/>
  <c r="E467" i="115"/>
  <c r="E468" i="115"/>
  <c r="E469" i="115"/>
  <c r="E470" i="115"/>
  <c r="E471" i="115"/>
  <c r="E472" i="115"/>
  <c r="E473" i="115"/>
  <c r="E474" i="115"/>
  <c r="E475" i="115"/>
  <c r="E476" i="115"/>
  <c r="E477" i="115"/>
  <c r="E478" i="115"/>
  <c r="E479" i="115"/>
  <c r="E480" i="115"/>
  <c r="E481" i="115"/>
  <c r="E482" i="115"/>
  <c r="E483" i="115"/>
  <c r="E484" i="115"/>
  <c r="E485" i="115"/>
  <c r="E486" i="115"/>
  <c r="E487" i="115"/>
  <c r="E488" i="115"/>
  <c r="E489" i="115"/>
  <c r="E490" i="115"/>
  <c r="E491" i="115"/>
  <c r="E492" i="115"/>
  <c r="E493" i="115"/>
  <c r="E494" i="115"/>
  <c r="E495" i="115"/>
  <c r="E496" i="115"/>
  <c r="E497" i="115"/>
  <c r="E498" i="115"/>
  <c r="E499" i="115"/>
  <c r="E500" i="115"/>
  <c r="E501" i="115"/>
  <c r="E502" i="115"/>
  <c r="E503" i="115"/>
  <c r="E504" i="115"/>
  <c r="E505" i="115"/>
  <c r="E506" i="115"/>
  <c r="E507" i="115"/>
  <c r="E508" i="115"/>
  <c r="E509" i="115"/>
  <c r="E510" i="115"/>
  <c r="E511" i="115"/>
  <c r="E512" i="115"/>
  <c r="E513" i="115"/>
  <c r="E514" i="115"/>
  <c r="E515" i="115"/>
  <c r="E516" i="115"/>
  <c r="E517" i="115"/>
  <c r="E518" i="115"/>
  <c r="E519" i="115"/>
  <c r="E520" i="115"/>
  <c r="E521" i="115"/>
  <c r="E522" i="115"/>
  <c r="E523" i="115"/>
  <c r="E524" i="115"/>
  <c r="E525" i="115"/>
  <c r="E526" i="115"/>
  <c r="E527" i="115"/>
  <c r="E528" i="115"/>
  <c r="E529" i="115"/>
  <c r="E530" i="115"/>
  <c r="E531" i="115"/>
  <c r="E532" i="115"/>
  <c r="E533" i="115"/>
  <c r="E534" i="115"/>
  <c r="E535" i="115"/>
  <c r="E536" i="115"/>
  <c r="E537" i="115"/>
  <c r="E538" i="115"/>
  <c r="E539" i="115"/>
  <c r="E540" i="115"/>
  <c r="E541" i="115"/>
  <c r="E542" i="115"/>
  <c r="E543" i="115"/>
  <c r="E544" i="115"/>
  <c r="E545" i="115"/>
  <c r="E546" i="115"/>
  <c r="E547" i="115"/>
  <c r="E548" i="115"/>
  <c r="E549" i="115"/>
  <c r="E550" i="115"/>
  <c r="E551" i="115"/>
  <c r="E552" i="115"/>
  <c r="E553" i="115"/>
  <c r="E554" i="115"/>
  <c r="E555" i="115"/>
  <c r="E556" i="115"/>
  <c r="E557" i="115"/>
  <c r="E558" i="115"/>
  <c r="E559" i="115"/>
  <c r="E560" i="115"/>
  <c r="E561" i="115"/>
  <c r="E562" i="115"/>
  <c r="E563" i="115"/>
  <c r="E564" i="115"/>
  <c r="E565" i="115"/>
  <c r="E566" i="115"/>
  <c r="E567" i="115"/>
  <c r="E568" i="115"/>
  <c r="E569" i="115"/>
  <c r="E570" i="115"/>
  <c r="E571" i="115"/>
  <c r="E572" i="115"/>
  <c r="E573" i="115"/>
  <c r="E574" i="115"/>
  <c r="E575" i="115"/>
  <c r="E576" i="115"/>
  <c r="E577" i="115"/>
  <c r="E578" i="115"/>
  <c r="E579" i="115"/>
  <c r="E580" i="115"/>
  <c r="E581" i="115"/>
  <c r="E582" i="115"/>
  <c r="E583" i="115"/>
  <c r="E584" i="115"/>
  <c r="E585" i="115"/>
  <c r="E586" i="115"/>
  <c r="E587" i="115"/>
  <c r="E588" i="115"/>
  <c r="E589" i="115"/>
  <c r="E590" i="115"/>
  <c r="E591" i="115"/>
  <c r="E592" i="115"/>
  <c r="E593" i="115"/>
  <c r="E594" i="115"/>
  <c r="E595" i="115"/>
  <c r="E596" i="115"/>
  <c r="E597" i="115"/>
  <c r="E598" i="115"/>
  <c r="E599" i="115"/>
  <c r="E600" i="115"/>
  <c r="E601" i="115"/>
  <c r="E602" i="115"/>
  <c r="E603" i="115"/>
  <c r="E604" i="115"/>
  <c r="E605" i="115"/>
  <c r="E606" i="115"/>
  <c r="E607" i="115"/>
  <c r="E608" i="115"/>
  <c r="E609" i="115"/>
  <c r="E610" i="115"/>
  <c r="E611" i="115"/>
  <c r="E612" i="115"/>
  <c r="E613" i="115"/>
  <c r="E614" i="115"/>
  <c r="E615" i="115"/>
  <c r="E616" i="115"/>
  <c r="E617" i="115"/>
  <c r="E618" i="115"/>
  <c r="E619" i="115"/>
  <c r="E620" i="115"/>
  <c r="E621" i="115"/>
  <c r="E622" i="115"/>
  <c r="E623" i="115"/>
  <c r="E624" i="115"/>
  <c r="E625" i="115"/>
  <c r="E626" i="115"/>
  <c r="E627" i="115"/>
  <c r="E628" i="115"/>
  <c r="E629" i="115"/>
  <c r="E630" i="115"/>
  <c r="E631" i="115"/>
  <c r="E632" i="115"/>
  <c r="E633" i="115"/>
  <c r="E634" i="115"/>
  <c r="E635" i="115"/>
  <c r="E636" i="115"/>
  <c r="E637" i="115"/>
  <c r="E638" i="115"/>
  <c r="E639" i="115"/>
  <c r="E640" i="115"/>
  <c r="E641" i="115"/>
  <c r="E642" i="115"/>
  <c r="E643" i="115"/>
  <c r="E644" i="115"/>
  <c r="E645" i="115"/>
  <c r="E646" i="115"/>
  <c r="E647" i="115"/>
  <c r="E648" i="115"/>
  <c r="E649" i="115"/>
  <c r="E650" i="115"/>
  <c r="E651" i="115"/>
  <c r="E652" i="115"/>
  <c r="E653" i="115"/>
  <c r="E654" i="115"/>
  <c r="E655" i="115"/>
  <c r="E656" i="115"/>
  <c r="E657" i="115"/>
  <c r="E658" i="115"/>
  <c r="E659" i="115"/>
  <c r="E660" i="115"/>
  <c r="E661" i="115"/>
  <c r="E662" i="115"/>
  <c r="E663" i="115"/>
  <c r="E664" i="115"/>
  <c r="E665" i="115"/>
  <c r="E666" i="115"/>
  <c r="E667" i="115"/>
  <c r="E668" i="115"/>
  <c r="E669" i="115"/>
  <c r="E670" i="115"/>
  <c r="E671" i="115"/>
  <c r="E672" i="115"/>
  <c r="E673" i="115"/>
  <c r="E674" i="115"/>
  <c r="E675" i="115"/>
  <c r="E676" i="115"/>
  <c r="E677" i="115"/>
  <c r="E678" i="115"/>
  <c r="E679" i="115"/>
  <c r="E680" i="115"/>
  <c r="E681" i="115"/>
  <c r="E682" i="115"/>
  <c r="E683" i="115"/>
  <c r="E684" i="115"/>
  <c r="E685" i="115"/>
  <c r="E686" i="115"/>
  <c r="E687" i="115"/>
  <c r="E688" i="115"/>
  <c r="E689" i="115"/>
  <c r="E690" i="115"/>
  <c r="E691" i="115"/>
  <c r="E692" i="115"/>
  <c r="E693" i="115"/>
  <c r="E694" i="115"/>
  <c r="E695" i="115"/>
  <c r="E696" i="115"/>
  <c r="E697" i="115"/>
  <c r="E698" i="115"/>
  <c r="E699" i="115"/>
  <c r="E700" i="115"/>
  <c r="E701" i="115"/>
  <c r="E702" i="115"/>
  <c r="E703" i="115"/>
  <c r="E704" i="115"/>
  <c r="E705" i="115"/>
  <c r="E706" i="115"/>
  <c r="E707" i="115"/>
  <c r="E708" i="115"/>
  <c r="E709" i="115"/>
  <c r="E710" i="115"/>
  <c r="E711" i="115"/>
  <c r="E712" i="115"/>
  <c r="E713" i="115"/>
  <c r="E714" i="115"/>
  <c r="E715" i="115"/>
  <c r="E716" i="115"/>
  <c r="E717" i="115"/>
  <c r="E718" i="115"/>
  <c r="E719" i="115"/>
  <c r="E720" i="115"/>
  <c r="E721" i="115"/>
  <c r="E722" i="115"/>
  <c r="E723" i="115"/>
  <c r="E724" i="115"/>
  <c r="E725" i="115"/>
  <c r="E726" i="115"/>
  <c r="E727" i="115"/>
  <c r="E728" i="115"/>
  <c r="E729" i="115"/>
  <c r="E730" i="115"/>
  <c r="E731" i="115"/>
  <c r="E732" i="115"/>
  <c r="E733" i="115"/>
  <c r="E734" i="115"/>
  <c r="E735" i="115"/>
  <c r="E736" i="115"/>
  <c r="E737" i="115"/>
  <c r="E738" i="115"/>
  <c r="E739" i="115"/>
  <c r="E740" i="115"/>
  <c r="E741" i="115"/>
  <c r="E742" i="115"/>
  <c r="E743" i="115"/>
  <c r="E744" i="115"/>
  <c r="E745" i="115"/>
  <c r="E746" i="115"/>
  <c r="E747" i="115"/>
  <c r="E748" i="115"/>
  <c r="E749" i="115"/>
  <c r="E750" i="115"/>
  <c r="E751" i="115"/>
  <c r="E752" i="115"/>
  <c r="E753" i="115"/>
  <c r="E754" i="115"/>
  <c r="E755" i="115"/>
  <c r="E756" i="115"/>
  <c r="E757" i="115"/>
  <c r="E758" i="115"/>
  <c r="E759" i="115"/>
  <c r="E760" i="115"/>
  <c r="E761" i="115"/>
  <c r="E762" i="115"/>
  <c r="E763" i="115"/>
  <c r="E764" i="115"/>
  <c r="E765" i="115"/>
  <c r="E766" i="115"/>
  <c r="E767" i="115"/>
  <c r="E768" i="115"/>
  <c r="E769" i="115"/>
  <c r="E770" i="115"/>
  <c r="E771" i="115"/>
  <c r="E772" i="115"/>
  <c r="E773" i="115"/>
  <c r="E774" i="115"/>
  <c r="E775" i="115"/>
  <c r="E776" i="115"/>
  <c r="E777" i="115"/>
  <c r="E778" i="115"/>
  <c r="E779" i="115"/>
  <c r="E780" i="115"/>
  <c r="E781" i="115"/>
  <c r="E782" i="115"/>
  <c r="E783" i="115"/>
  <c r="E784" i="115"/>
  <c r="E785" i="115"/>
  <c r="E786" i="115"/>
  <c r="E787" i="115"/>
  <c r="E788" i="115"/>
  <c r="E789" i="115"/>
  <c r="E790" i="115"/>
  <c r="E791" i="115"/>
  <c r="E792" i="115"/>
  <c r="E793" i="115"/>
  <c r="E794" i="115"/>
  <c r="E795" i="115"/>
  <c r="E796" i="115"/>
  <c r="E797" i="115"/>
  <c r="E798" i="115"/>
  <c r="E799" i="115"/>
  <c r="E800" i="115"/>
  <c r="E801" i="115"/>
  <c r="E802" i="115"/>
  <c r="E803" i="115"/>
  <c r="E804" i="115"/>
  <c r="E805" i="115"/>
  <c r="E806" i="115"/>
  <c r="E807" i="115"/>
  <c r="E808" i="115"/>
  <c r="E809" i="115"/>
  <c r="E810" i="115"/>
  <c r="E811" i="115"/>
  <c r="E812" i="115"/>
  <c r="E813" i="115"/>
  <c r="E814" i="115"/>
  <c r="E815" i="115"/>
  <c r="E816" i="115"/>
  <c r="E817" i="115"/>
  <c r="E818" i="115"/>
  <c r="E819" i="115"/>
  <c r="E820" i="115"/>
  <c r="E821" i="115"/>
  <c r="E822" i="115"/>
  <c r="E823" i="115"/>
  <c r="E824" i="115"/>
  <c r="E825" i="115"/>
  <c r="E826" i="115"/>
  <c r="E827" i="115"/>
  <c r="E828" i="115"/>
  <c r="E829" i="115"/>
  <c r="E830" i="115"/>
  <c r="E831" i="115"/>
  <c r="E832" i="115"/>
  <c r="E833" i="115"/>
  <c r="E834" i="115"/>
  <c r="E835" i="115"/>
  <c r="E836" i="115"/>
  <c r="E837" i="115"/>
  <c r="E838" i="115"/>
  <c r="E839" i="115"/>
  <c r="E840" i="115"/>
  <c r="E841" i="115"/>
  <c r="E842" i="115"/>
  <c r="E843" i="115"/>
  <c r="E844" i="115"/>
  <c r="E845" i="115"/>
  <c r="E846" i="115"/>
  <c r="E847" i="115"/>
  <c r="E848" i="115"/>
  <c r="E849" i="115"/>
  <c r="E850" i="115"/>
  <c r="E851" i="115"/>
  <c r="E852" i="115"/>
  <c r="E853" i="115"/>
  <c r="E854" i="115"/>
  <c r="E855" i="115"/>
  <c r="E856" i="115"/>
  <c r="E857" i="115"/>
  <c r="E858" i="115"/>
  <c r="E859" i="115"/>
  <c r="E860" i="115"/>
  <c r="E861" i="115"/>
  <c r="E862" i="115"/>
  <c r="E863" i="115"/>
  <c r="E864" i="115"/>
  <c r="E865" i="115"/>
  <c r="E866" i="115"/>
  <c r="E867" i="115"/>
  <c r="E868" i="115"/>
  <c r="E869" i="115"/>
  <c r="E870" i="115"/>
  <c r="E871" i="115"/>
  <c r="E872" i="115"/>
  <c r="E873" i="115"/>
  <c r="E874" i="115"/>
  <c r="E875" i="115"/>
  <c r="E876" i="115"/>
  <c r="E877" i="115"/>
  <c r="E878" i="115"/>
  <c r="E879" i="115"/>
  <c r="E880" i="115"/>
  <c r="E881" i="115"/>
  <c r="E882" i="115"/>
  <c r="E883" i="115"/>
  <c r="E884" i="115"/>
  <c r="E885" i="115"/>
  <c r="E886" i="115"/>
  <c r="E887" i="115"/>
  <c r="E888" i="115"/>
  <c r="E889" i="115"/>
  <c r="E890" i="115"/>
  <c r="E891" i="115"/>
  <c r="E892" i="115"/>
  <c r="E893" i="115"/>
  <c r="E894" i="115"/>
  <c r="E895" i="115"/>
  <c r="E896" i="115"/>
  <c r="E897" i="115"/>
  <c r="E898" i="115"/>
  <c r="E899" i="115"/>
  <c r="E900" i="115"/>
  <c r="E901" i="115"/>
  <c r="E902" i="115"/>
  <c r="E903" i="115"/>
  <c r="E904" i="115"/>
  <c r="E905" i="115"/>
  <c r="E906" i="115"/>
  <c r="E907" i="115"/>
  <c r="E908" i="115"/>
  <c r="E909" i="115"/>
  <c r="E910" i="115"/>
  <c r="E911" i="115"/>
  <c r="E912" i="115"/>
  <c r="E913" i="115"/>
  <c r="E914" i="115"/>
  <c r="E915" i="115"/>
  <c r="E916" i="115"/>
  <c r="E917" i="115"/>
  <c r="E918" i="115"/>
  <c r="E919" i="115"/>
  <c r="E920" i="115"/>
  <c r="E921" i="115"/>
  <c r="E922" i="115"/>
  <c r="E923" i="115"/>
  <c r="E924" i="115"/>
  <c r="E925" i="115"/>
  <c r="E926" i="115"/>
  <c r="E927" i="115"/>
  <c r="E928" i="115"/>
  <c r="E929" i="115"/>
  <c r="E930" i="115"/>
  <c r="E931" i="115"/>
  <c r="E932" i="115"/>
  <c r="E933" i="115"/>
  <c r="E934" i="115"/>
  <c r="E935" i="115"/>
  <c r="E936" i="115"/>
  <c r="E937" i="115"/>
  <c r="E938" i="115"/>
  <c r="E939" i="115"/>
  <c r="E940" i="115"/>
  <c r="E941" i="115"/>
  <c r="E942" i="115"/>
  <c r="E943" i="115"/>
  <c r="E944" i="115"/>
  <c r="E945" i="115"/>
  <c r="E946" i="115"/>
  <c r="E947" i="115"/>
  <c r="E948" i="115"/>
  <c r="E949" i="115"/>
  <c r="E950" i="115"/>
  <c r="E951" i="115"/>
  <c r="E952" i="115"/>
  <c r="E953" i="115"/>
  <c r="E954" i="115"/>
  <c r="E955" i="115"/>
  <c r="E956" i="115"/>
  <c r="E957" i="115"/>
  <c r="E958" i="115"/>
  <c r="E959" i="115"/>
  <c r="E960" i="115"/>
  <c r="E961" i="115"/>
  <c r="E962" i="115"/>
  <c r="E963" i="115"/>
  <c r="E964" i="115"/>
  <c r="E965" i="115"/>
  <c r="E966" i="115"/>
  <c r="E967" i="115"/>
  <c r="E968" i="115"/>
  <c r="E969" i="115"/>
  <c r="E970" i="115"/>
  <c r="E971" i="115"/>
  <c r="E972" i="115"/>
  <c r="E973" i="115"/>
  <c r="E974" i="115"/>
  <c r="E975" i="115"/>
  <c r="E976" i="115"/>
  <c r="E977" i="115"/>
  <c r="E978" i="115"/>
  <c r="E979" i="115"/>
  <c r="E980" i="115"/>
  <c r="E981" i="115"/>
  <c r="E982" i="115"/>
  <c r="E983" i="115"/>
  <c r="E984" i="115"/>
  <c r="E985" i="115"/>
  <c r="E986" i="115"/>
  <c r="E987" i="115"/>
  <c r="E988" i="115"/>
  <c r="E989" i="115"/>
  <c r="E990" i="115"/>
  <c r="E991" i="115"/>
  <c r="E992" i="115"/>
  <c r="E993" i="115"/>
  <c r="E994" i="115"/>
  <c r="E995" i="115"/>
  <c r="E996" i="115"/>
  <c r="E997" i="115"/>
  <c r="E998" i="115"/>
  <c r="E999" i="115"/>
  <c r="E1000" i="115"/>
  <c r="E1001" i="115"/>
  <c r="E2" i="115"/>
  <c r="D3" i="115"/>
  <c r="D4" i="115"/>
  <c r="D5" i="115"/>
  <c r="D6" i="115"/>
  <c r="D7" i="115"/>
  <c r="D8" i="115"/>
  <c r="D9" i="115"/>
  <c r="D10" i="115"/>
  <c r="D11" i="115"/>
  <c r="D12" i="115"/>
  <c r="D13" i="115"/>
  <c r="D14" i="115"/>
  <c r="D15" i="115"/>
  <c r="D16" i="115"/>
  <c r="D17" i="115"/>
  <c r="D18" i="115"/>
  <c r="D19" i="115"/>
  <c r="D20" i="115"/>
  <c r="D21" i="115"/>
  <c r="D22" i="115"/>
  <c r="D23" i="115"/>
  <c r="D24" i="115"/>
  <c r="D25" i="115"/>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99" i="115"/>
  <c r="D100" i="115"/>
  <c r="D101" i="115"/>
  <c r="D102" i="115"/>
  <c r="D103" i="115"/>
  <c r="D104" i="115"/>
  <c r="D105" i="115"/>
  <c r="D106" i="115"/>
  <c r="D107" i="115"/>
  <c r="D108" i="115"/>
  <c r="D109" i="115"/>
  <c r="D110" i="115"/>
  <c r="D111" i="115"/>
  <c r="D112" i="115"/>
  <c r="D113" i="115"/>
  <c r="D114" i="115"/>
  <c r="D115" i="115"/>
  <c r="D116" i="115"/>
  <c r="D117" i="115"/>
  <c r="D118" i="115"/>
  <c r="D119" i="115"/>
  <c r="D120" i="115"/>
  <c r="D121" i="115"/>
  <c r="D122" i="115"/>
  <c r="D123" i="115"/>
  <c r="D124" i="115"/>
  <c r="D125" i="115"/>
  <c r="D126" i="115"/>
  <c r="D127" i="115"/>
  <c r="D128" i="115"/>
  <c r="D129" i="115"/>
  <c r="D130" i="115"/>
  <c r="D131" i="115"/>
  <c r="D132" i="115"/>
  <c r="D133" i="115"/>
  <c r="D134" i="115"/>
  <c r="D135" i="115"/>
  <c r="D136" i="115"/>
  <c r="D137" i="115"/>
  <c r="D138" i="115"/>
  <c r="D139" i="115"/>
  <c r="D140" i="115"/>
  <c r="D141" i="115"/>
  <c r="D142" i="115"/>
  <c r="D143" i="115"/>
  <c r="D144" i="115"/>
  <c r="D145" i="115"/>
  <c r="D146" i="115"/>
  <c r="D147" i="115"/>
  <c r="D148" i="115"/>
  <c r="D149" i="115"/>
  <c r="D150" i="115"/>
  <c r="D151" i="115"/>
  <c r="D152" i="115"/>
  <c r="D153" i="115"/>
  <c r="D154" i="115"/>
  <c r="D155" i="115"/>
  <c r="D156" i="115"/>
  <c r="D157" i="115"/>
  <c r="D158" i="115"/>
  <c r="D159" i="115"/>
  <c r="D160" i="115"/>
  <c r="D161" i="115"/>
  <c r="D162" i="115"/>
  <c r="D163" i="115"/>
  <c r="D164" i="115"/>
  <c r="D165" i="115"/>
  <c r="D166" i="115"/>
  <c r="D167" i="115"/>
  <c r="D168" i="115"/>
  <c r="D169" i="115"/>
  <c r="D170" i="115"/>
  <c r="D171" i="115"/>
  <c r="D172" i="115"/>
  <c r="D173" i="115"/>
  <c r="D174" i="115"/>
  <c r="D175" i="115"/>
  <c r="D176" i="115"/>
  <c r="D177" i="115"/>
  <c r="D178" i="115"/>
  <c r="D179" i="115"/>
  <c r="D180" i="115"/>
  <c r="D181" i="115"/>
  <c r="D182" i="115"/>
  <c r="D183" i="115"/>
  <c r="D184" i="115"/>
  <c r="D185" i="115"/>
  <c r="D186" i="115"/>
  <c r="D187" i="115"/>
  <c r="D188" i="115"/>
  <c r="D189" i="115"/>
  <c r="D190" i="115"/>
  <c r="D191" i="115"/>
  <c r="D192" i="115"/>
  <c r="D193" i="115"/>
  <c r="D194" i="115"/>
  <c r="D195" i="115"/>
  <c r="D196" i="115"/>
  <c r="D197" i="115"/>
  <c r="D198" i="115"/>
  <c r="D199" i="115"/>
  <c r="D200" i="115"/>
  <c r="D201" i="115"/>
  <c r="D202" i="115"/>
  <c r="D203" i="115"/>
  <c r="D204" i="115"/>
  <c r="D205" i="115"/>
  <c r="D206" i="115"/>
  <c r="D207" i="115"/>
  <c r="D208" i="115"/>
  <c r="D209" i="115"/>
  <c r="D210" i="115"/>
  <c r="D211" i="115"/>
  <c r="D212" i="115"/>
  <c r="D213" i="115"/>
  <c r="D214" i="115"/>
  <c r="D215" i="115"/>
  <c r="D216" i="115"/>
  <c r="D217" i="115"/>
  <c r="D218" i="115"/>
  <c r="D219" i="115"/>
  <c r="D220" i="115"/>
  <c r="D221" i="115"/>
  <c r="D222" i="115"/>
  <c r="D223" i="115"/>
  <c r="D224" i="115"/>
  <c r="D225" i="115"/>
  <c r="D226" i="115"/>
  <c r="D227" i="115"/>
  <c r="D228" i="115"/>
  <c r="D229" i="115"/>
  <c r="D230" i="115"/>
  <c r="D231" i="115"/>
  <c r="D232" i="115"/>
  <c r="D233" i="115"/>
  <c r="D234" i="115"/>
  <c r="D235" i="115"/>
  <c r="D236" i="115"/>
  <c r="D237" i="115"/>
  <c r="D238" i="115"/>
  <c r="D239" i="115"/>
  <c r="D240" i="115"/>
  <c r="D241" i="115"/>
  <c r="D242" i="115"/>
  <c r="D243" i="115"/>
  <c r="D244" i="115"/>
  <c r="D245" i="115"/>
  <c r="D246" i="115"/>
  <c r="D247" i="115"/>
  <c r="D248" i="115"/>
  <c r="D249" i="115"/>
  <c r="D250" i="115"/>
  <c r="D251" i="115"/>
  <c r="D252" i="115"/>
  <c r="D253" i="115"/>
  <c r="D254" i="115"/>
  <c r="D255" i="115"/>
  <c r="D256" i="115"/>
  <c r="D257" i="115"/>
  <c r="D258" i="115"/>
  <c r="D259" i="115"/>
  <c r="D260" i="115"/>
  <c r="D261" i="115"/>
  <c r="D262" i="115"/>
  <c r="D263" i="115"/>
  <c r="D264" i="115"/>
  <c r="D265" i="115"/>
  <c r="D266" i="115"/>
  <c r="D267" i="115"/>
  <c r="D268" i="115"/>
  <c r="D269" i="115"/>
  <c r="D270" i="115"/>
  <c r="D271" i="115"/>
  <c r="D272" i="115"/>
  <c r="D273" i="115"/>
  <c r="D274" i="115"/>
  <c r="D275" i="115"/>
  <c r="D276" i="115"/>
  <c r="D277" i="115"/>
  <c r="D278" i="115"/>
  <c r="D279" i="115"/>
  <c r="D280" i="115"/>
  <c r="D281" i="115"/>
  <c r="D282" i="115"/>
  <c r="D283" i="115"/>
  <c r="D284" i="115"/>
  <c r="D285" i="115"/>
  <c r="D286" i="115"/>
  <c r="D287" i="115"/>
  <c r="D288" i="115"/>
  <c r="D289" i="115"/>
  <c r="D290" i="115"/>
  <c r="D291" i="115"/>
  <c r="D292" i="115"/>
  <c r="D293" i="115"/>
  <c r="D294" i="115"/>
  <c r="D295" i="115"/>
  <c r="D296" i="115"/>
  <c r="D297" i="115"/>
  <c r="D298" i="115"/>
  <c r="D299" i="115"/>
  <c r="D300" i="115"/>
  <c r="D301" i="115"/>
  <c r="D302" i="115"/>
  <c r="D303" i="115"/>
  <c r="D304" i="115"/>
  <c r="D305" i="115"/>
  <c r="D306" i="115"/>
  <c r="D307" i="115"/>
  <c r="D308" i="115"/>
  <c r="D309" i="115"/>
  <c r="D310" i="115"/>
  <c r="D311" i="115"/>
  <c r="D312" i="115"/>
  <c r="D313" i="115"/>
  <c r="D314" i="115"/>
  <c r="D315" i="115"/>
  <c r="D316" i="115"/>
  <c r="D317" i="115"/>
  <c r="D318" i="115"/>
  <c r="D319" i="115"/>
  <c r="D320" i="115"/>
  <c r="D321" i="115"/>
  <c r="D322" i="115"/>
  <c r="D323" i="115"/>
  <c r="D324" i="115"/>
  <c r="D325" i="115"/>
  <c r="D326" i="115"/>
  <c r="D327" i="115"/>
  <c r="D328" i="115"/>
  <c r="D329" i="115"/>
  <c r="D330" i="115"/>
  <c r="D331" i="115"/>
  <c r="D332" i="115"/>
  <c r="D333" i="115"/>
  <c r="D334" i="115"/>
  <c r="D335" i="115"/>
  <c r="D336" i="115"/>
  <c r="D337" i="115"/>
  <c r="D338" i="115"/>
  <c r="D339" i="115"/>
  <c r="D340" i="115"/>
  <c r="D341" i="115"/>
  <c r="D342" i="115"/>
  <c r="D343" i="115"/>
  <c r="D344" i="115"/>
  <c r="D345" i="115"/>
  <c r="D346" i="115"/>
  <c r="D347" i="115"/>
  <c r="D348" i="115"/>
  <c r="D349" i="115"/>
  <c r="D350" i="115"/>
  <c r="D351" i="115"/>
  <c r="D352" i="115"/>
  <c r="D353" i="115"/>
  <c r="D354" i="115"/>
  <c r="D355" i="115"/>
  <c r="D356" i="115"/>
  <c r="D357" i="115"/>
  <c r="D358" i="115"/>
  <c r="D359" i="115"/>
  <c r="D360" i="115"/>
  <c r="D361" i="115"/>
  <c r="D362" i="115"/>
  <c r="D363" i="115"/>
  <c r="D364" i="115"/>
  <c r="D365" i="115"/>
  <c r="D366" i="115"/>
  <c r="D367" i="115"/>
  <c r="D368" i="115"/>
  <c r="D369" i="115"/>
  <c r="D370" i="115"/>
  <c r="D371" i="115"/>
  <c r="D372" i="115"/>
  <c r="D373" i="115"/>
  <c r="D374" i="115"/>
  <c r="D375" i="115"/>
  <c r="D376" i="115"/>
  <c r="D377" i="115"/>
  <c r="D378" i="115"/>
  <c r="D379" i="115"/>
  <c r="D380" i="115"/>
  <c r="D381" i="115"/>
  <c r="D382" i="115"/>
  <c r="D383" i="115"/>
  <c r="D384" i="115"/>
  <c r="D385" i="115"/>
  <c r="D386" i="115"/>
  <c r="D387" i="115"/>
  <c r="D388" i="115"/>
  <c r="D389" i="115"/>
  <c r="D390" i="115"/>
  <c r="D391" i="115"/>
  <c r="D392" i="115"/>
  <c r="D393" i="115"/>
  <c r="D394" i="115"/>
  <c r="D395" i="115"/>
  <c r="D396" i="115"/>
  <c r="D397" i="115"/>
  <c r="D398" i="115"/>
  <c r="D399" i="115"/>
  <c r="D400" i="115"/>
  <c r="D401" i="115"/>
  <c r="D402" i="115"/>
  <c r="D403" i="115"/>
  <c r="D404" i="115"/>
  <c r="D405" i="115"/>
  <c r="D406" i="115"/>
  <c r="D407" i="115"/>
  <c r="D408" i="115"/>
  <c r="D409" i="115"/>
  <c r="D410" i="115"/>
  <c r="D411" i="115"/>
  <c r="D412" i="115"/>
  <c r="D413" i="115"/>
  <c r="D414" i="115"/>
  <c r="D415" i="115"/>
  <c r="D416" i="115"/>
  <c r="D417" i="115"/>
  <c r="D418" i="115"/>
  <c r="D419" i="115"/>
  <c r="D420" i="115"/>
  <c r="D421" i="115"/>
  <c r="D422" i="115"/>
  <c r="D423" i="115"/>
  <c r="D424" i="115"/>
  <c r="D425" i="115"/>
  <c r="D426" i="115"/>
  <c r="D427" i="115"/>
  <c r="D428" i="115"/>
  <c r="D429" i="115"/>
  <c r="D430" i="115"/>
  <c r="D431" i="115"/>
  <c r="D432" i="115"/>
  <c r="D433" i="115"/>
  <c r="D434" i="115"/>
  <c r="D435" i="115"/>
  <c r="D436" i="115"/>
  <c r="D437" i="115"/>
  <c r="D438" i="115"/>
  <c r="D439" i="115"/>
  <c r="D440" i="115"/>
  <c r="D441" i="115"/>
  <c r="D442" i="115"/>
  <c r="D443" i="115"/>
  <c r="D444" i="115"/>
  <c r="D445" i="115"/>
  <c r="D446" i="115"/>
  <c r="D447" i="115"/>
  <c r="D448" i="115"/>
  <c r="D449" i="115"/>
  <c r="D450" i="115"/>
  <c r="D451" i="115"/>
  <c r="D452" i="115"/>
  <c r="D453" i="115"/>
  <c r="D454" i="115"/>
  <c r="D455" i="115"/>
  <c r="D456" i="115"/>
  <c r="D457" i="115"/>
  <c r="D458" i="115"/>
  <c r="D459" i="115"/>
  <c r="D460" i="115"/>
  <c r="D461" i="115"/>
  <c r="D462" i="115"/>
  <c r="D463" i="115"/>
  <c r="D464" i="115"/>
  <c r="D465" i="115"/>
  <c r="D466" i="115"/>
  <c r="D467" i="115"/>
  <c r="D468" i="115"/>
  <c r="D469" i="115"/>
  <c r="D470" i="115"/>
  <c r="D471" i="115"/>
  <c r="D472" i="115"/>
  <c r="D473" i="115"/>
  <c r="D474" i="115"/>
  <c r="D475" i="115"/>
  <c r="D476" i="115"/>
  <c r="D477" i="115"/>
  <c r="D478" i="115"/>
  <c r="D479" i="115"/>
  <c r="D480" i="115"/>
  <c r="D481" i="115"/>
  <c r="D482" i="115"/>
  <c r="D483" i="115"/>
  <c r="D484" i="115"/>
  <c r="D485" i="115"/>
  <c r="D486" i="115"/>
  <c r="D487" i="115"/>
  <c r="D488" i="115"/>
  <c r="D489" i="115"/>
  <c r="D490" i="115"/>
  <c r="D491" i="115"/>
  <c r="D492" i="115"/>
  <c r="D493" i="115"/>
  <c r="D494" i="115"/>
  <c r="D495" i="115"/>
  <c r="D496" i="115"/>
  <c r="D497" i="115"/>
  <c r="D498" i="115"/>
  <c r="D499" i="115"/>
  <c r="D500" i="115"/>
  <c r="D501" i="115"/>
  <c r="D502" i="115"/>
  <c r="D503" i="115"/>
  <c r="D504" i="115"/>
  <c r="D505" i="115"/>
  <c r="D506" i="115"/>
  <c r="D507" i="115"/>
  <c r="D508" i="115"/>
  <c r="D509" i="115"/>
  <c r="D510" i="115"/>
  <c r="D511" i="115"/>
  <c r="D512" i="115"/>
  <c r="D513" i="115"/>
  <c r="D514" i="115"/>
  <c r="D515" i="115"/>
  <c r="D516" i="115"/>
  <c r="D517" i="115"/>
  <c r="D518" i="115"/>
  <c r="D519" i="115"/>
  <c r="D520" i="115"/>
  <c r="D521" i="115"/>
  <c r="D522" i="115"/>
  <c r="D523" i="115"/>
  <c r="D524" i="115"/>
  <c r="D525" i="115"/>
  <c r="D526" i="115"/>
  <c r="D527" i="115"/>
  <c r="D528" i="115"/>
  <c r="D529" i="115"/>
  <c r="D530" i="115"/>
  <c r="D531" i="115"/>
  <c r="D532" i="115"/>
  <c r="D533" i="115"/>
  <c r="D534" i="115"/>
  <c r="D535" i="115"/>
  <c r="D536" i="115"/>
  <c r="D537" i="115"/>
  <c r="D538" i="115"/>
  <c r="D539" i="115"/>
  <c r="D540" i="115"/>
  <c r="D541" i="115"/>
  <c r="D542" i="115"/>
  <c r="D543" i="115"/>
  <c r="D544" i="115"/>
  <c r="D545" i="115"/>
  <c r="D546" i="115"/>
  <c r="D547" i="115"/>
  <c r="D548" i="115"/>
  <c r="D549" i="115"/>
  <c r="D550" i="115"/>
  <c r="D551" i="115"/>
  <c r="D552" i="115"/>
  <c r="D553" i="115"/>
  <c r="D554" i="115"/>
  <c r="D555" i="115"/>
  <c r="D556" i="115"/>
  <c r="D557" i="115"/>
  <c r="D558" i="115"/>
  <c r="D559" i="115"/>
  <c r="D560" i="115"/>
  <c r="D561" i="115"/>
  <c r="D562" i="115"/>
  <c r="D563" i="115"/>
  <c r="D564" i="115"/>
  <c r="D565" i="115"/>
  <c r="D566" i="115"/>
  <c r="D567" i="115"/>
  <c r="D568" i="115"/>
  <c r="D569" i="115"/>
  <c r="D570" i="115"/>
  <c r="D571" i="115"/>
  <c r="D572" i="115"/>
  <c r="D573" i="115"/>
  <c r="D574" i="115"/>
  <c r="D575" i="115"/>
  <c r="D576" i="115"/>
  <c r="D577" i="115"/>
  <c r="D578" i="115"/>
  <c r="D579" i="115"/>
  <c r="D580" i="115"/>
  <c r="D581" i="115"/>
  <c r="D582" i="115"/>
  <c r="D583" i="115"/>
  <c r="D584" i="115"/>
  <c r="D585" i="115"/>
  <c r="D586" i="115"/>
  <c r="D587" i="115"/>
  <c r="D588" i="115"/>
  <c r="D589" i="115"/>
  <c r="D590" i="115"/>
  <c r="D591" i="115"/>
  <c r="D592" i="115"/>
  <c r="D593" i="115"/>
  <c r="D594" i="115"/>
  <c r="D595" i="115"/>
  <c r="D596" i="115"/>
  <c r="D597" i="115"/>
  <c r="D598" i="115"/>
  <c r="D599" i="115"/>
  <c r="D600" i="115"/>
  <c r="D601" i="115"/>
  <c r="D602" i="115"/>
  <c r="D603" i="115"/>
  <c r="D604" i="115"/>
  <c r="D605" i="115"/>
  <c r="D606" i="115"/>
  <c r="D607" i="115"/>
  <c r="D608" i="115"/>
  <c r="D609" i="115"/>
  <c r="D610" i="115"/>
  <c r="D611" i="115"/>
  <c r="D612" i="115"/>
  <c r="D613" i="115"/>
  <c r="D614" i="115"/>
  <c r="D615" i="115"/>
  <c r="D616" i="115"/>
  <c r="D617" i="115"/>
  <c r="D618" i="115"/>
  <c r="D619" i="115"/>
  <c r="D620" i="115"/>
  <c r="D621" i="115"/>
  <c r="D622" i="115"/>
  <c r="D623" i="115"/>
  <c r="D624" i="115"/>
  <c r="D625" i="115"/>
  <c r="D626" i="115"/>
  <c r="D627" i="115"/>
  <c r="D628" i="115"/>
  <c r="D629" i="115"/>
  <c r="D630" i="115"/>
  <c r="D631" i="115"/>
  <c r="D632" i="115"/>
  <c r="D633" i="115"/>
  <c r="D634" i="115"/>
  <c r="D635" i="115"/>
  <c r="D636" i="115"/>
  <c r="D637" i="115"/>
  <c r="D638" i="115"/>
  <c r="D639" i="115"/>
  <c r="D640" i="115"/>
  <c r="D641" i="115"/>
  <c r="D642" i="115"/>
  <c r="D643" i="115"/>
  <c r="D644" i="115"/>
  <c r="D645" i="115"/>
  <c r="D646" i="115"/>
  <c r="D647" i="115"/>
  <c r="D648" i="115"/>
  <c r="D649" i="115"/>
  <c r="D650" i="115"/>
  <c r="D651" i="115"/>
  <c r="D652" i="115"/>
  <c r="D653" i="115"/>
  <c r="D654" i="115"/>
  <c r="D655" i="115"/>
  <c r="D656" i="115"/>
  <c r="D657" i="115"/>
  <c r="D658" i="115"/>
  <c r="D659" i="115"/>
  <c r="D660" i="115"/>
  <c r="D661" i="115"/>
  <c r="D662" i="115"/>
  <c r="D663" i="115"/>
  <c r="D664" i="115"/>
  <c r="D665" i="115"/>
  <c r="D666" i="115"/>
  <c r="D667" i="115"/>
  <c r="D668" i="115"/>
  <c r="D669" i="115"/>
  <c r="D670" i="115"/>
  <c r="D671" i="115"/>
  <c r="D672" i="115"/>
  <c r="D673" i="115"/>
  <c r="D674" i="115"/>
  <c r="D675" i="115"/>
  <c r="D676" i="115"/>
  <c r="D677" i="115"/>
  <c r="D678" i="115"/>
  <c r="D679" i="115"/>
  <c r="D680" i="115"/>
  <c r="D681" i="115"/>
  <c r="D682" i="115"/>
  <c r="D683" i="115"/>
  <c r="D684" i="115"/>
  <c r="D685" i="115"/>
  <c r="D686" i="115"/>
  <c r="D687" i="115"/>
  <c r="D688" i="115"/>
  <c r="D689" i="115"/>
  <c r="D690" i="115"/>
  <c r="D691" i="115"/>
  <c r="D692" i="115"/>
  <c r="D693" i="115"/>
  <c r="D694" i="115"/>
  <c r="D695" i="115"/>
  <c r="D696" i="115"/>
  <c r="D697" i="115"/>
  <c r="D698" i="115"/>
  <c r="D699" i="115"/>
  <c r="D700" i="115"/>
  <c r="D701" i="115"/>
  <c r="D702" i="115"/>
  <c r="D703" i="115"/>
  <c r="D704" i="115"/>
  <c r="D705" i="115"/>
  <c r="D706" i="115"/>
  <c r="D707" i="115"/>
  <c r="D708" i="115"/>
  <c r="D709" i="115"/>
  <c r="D710" i="115"/>
  <c r="D711" i="115"/>
  <c r="D712" i="115"/>
  <c r="D713" i="115"/>
  <c r="D714" i="115"/>
  <c r="D715" i="115"/>
  <c r="D716" i="115"/>
  <c r="D717" i="115"/>
  <c r="D718" i="115"/>
  <c r="D719" i="115"/>
  <c r="D720" i="115"/>
  <c r="D721" i="115"/>
  <c r="D722" i="115"/>
  <c r="D723" i="115"/>
  <c r="D724" i="115"/>
  <c r="D725" i="115"/>
  <c r="D726" i="115"/>
  <c r="D727" i="115"/>
  <c r="D728" i="115"/>
  <c r="D729" i="115"/>
  <c r="D730" i="115"/>
  <c r="D731" i="115"/>
  <c r="D732" i="115"/>
  <c r="D733" i="115"/>
  <c r="D734" i="115"/>
  <c r="D735" i="115"/>
  <c r="D736" i="115"/>
  <c r="D737" i="115"/>
  <c r="D738" i="115"/>
  <c r="D739" i="115"/>
  <c r="D740" i="115"/>
  <c r="D741" i="115"/>
  <c r="D742" i="115"/>
  <c r="D743" i="115"/>
  <c r="D744" i="115"/>
  <c r="D745" i="115"/>
  <c r="D746" i="115"/>
  <c r="D747" i="115"/>
  <c r="D748" i="115"/>
  <c r="D749" i="115"/>
  <c r="D750" i="115"/>
  <c r="D751" i="115"/>
  <c r="D752" i="115"/>
  <c r="D753" i="115"/>
  <c r="D754" i="115"/>
  <c r="D755" i="115"/>
  <c r="D756" i="115"/>
  <c r="D757" i="115"/>
  <c r="D758" i="115"/>
  <c r="D759" i="115"/>
  <c r="D760" i="115"/>
  <c r="D761" i="115"/>
  <c r="D762" i="115"/>
  <c r="D763" i="115"/>
  <c r="D764" i="115"/>
  <c r="D765" i="115"/>
  <c r="D766" i="115"/>
  <c r="D767" i="115"/>
  <c r="D768" i="115"/>
  <c r="D769" i="115"/>
  <c r="D770" i="115"/>
  <c r="D771" i="115"/>
  <c r="D772" i="115"/>
  <c r="D773" i="115"/>
  <c r="D774" i="115"/>
  <c r="D775" i="115"/>
  <c r="D776" i="115"/>
  <c r="D777" i="115"/>
  <c r="D778" i="115"/>
  <c r="D779" i="115"/>
  <c r="D780" i="115"/>
  <c r="D781" i="115"/>
  <c r="D782" i="115"/>
  <c r="D783" i="115"/>
  <c r="D784" i="115"/>
  <c r="D785" i="115"/>
  <c r="D786" i="115"/>
  <c r="D787" i="115"/>
  <c r="D788" i="115"/>
  <c r="D789" i="115"/>
  <c r="D790" i="115"/>
  <c r="D791" i="115"/>
  <c r="D792" i="115"/>
  <c r="D793" i="115"/>
  <c r="D794" i="115"/>
  <c r="D795" i="115"/>
  <c r="D796" i="115"/>
  <c r="D797" i="115"/>
  <c r="D798" i="115"/>
  <c r="D799" i="115"/>
  <c r="D800" i="115"/>
  <c r="D801" i="115"/>
  <c r="D802" i="115"/>
  <c r="D803" i="115"/>
  <c r="D804" i="115"/>
  <c r="D805" i="115"/>
  <c r="D806" i="115"/>
  <c r="D807" i="115"/>
  <c r="D808" i="115"/>
  <c r="D809" i="115"/>
  <c r="D810" i="115"/>
  <c r="D811" i="115"/>
  <c r="D812" i="115"/>
  <c r="D813" i="115"/>
  <c r="D814" i="115"/>
  <c r="D815" i="115"/>
  <c r="D816" i="115"/>
  <c r="D817" i="115"/>
  <c r="D818" i="115"/>
  <c r="D819" i="115"/>
  <c r="D820" i="115"/>
  <c r="D821" i="115"/>
  <c r="D822" i="115"/>
  <c r="D823" i="115"/>
  <c r="D824" i="115"/>
  <c r="D825" i="115"/>
  <c r="D826" i="115"/>
  <c r="D827" i="115"/>
  <c r="D828" i="115"/>
  <c r="D829" i="115"/>
  <c r="D830" i="115"/>
  <c r="D831" i="115"/>
  <c r="D832" i="115"/>
  <c r="D833" i="115"/>
  <c r="D834" i="115"/>
  <c r="D835" i="115"/>
  <c r="D836" i="115"/>
  <c r="D837" i="115"/>
  <c r="D838" i="115"/>
  <c r="D839" i="115"/>
  <c r="D840" i="115"/>
  <c r="D841" i="115"/>
  <c r="D842" i="115"/>
  <c r="D843" i="115"/>
  <c r="D844" i="115"/>
  <c r="D845" i="115"/>
  <c r="D846" i="115"/>
  <c r="D847" i="115"/>
  <c r="D848" i="115"/>
  <c r="D849" i="115"/>
  <c r="D850" i="115"/>
  <c r="D851" i="115"/>
  <c r="D852" i="115"/>
  <c r="D853" i="115"/>
  <c r="D854" i="115"/>
  <c r="D855" i="115"/>
  <c r="D856" i="115"/>
  <c r="D857" i="115"/>
  <c r="D858" i="115"/>
  <c r="D859" i="115"/>
  <c r="D860" i="115"/>
  <c r="D861" i="115"/>
  <c r="D862" i="115"/>
  <c r="D863" i="115"/>
  <c r="D864" i="115"/>
  <c r="D865" i="115"/>
  <c r="D866" i="115"/>
  <c r="D867" i="115"/>
  <c r="D868" i="115"/>
  <c r="D869" i="115"/>
  <c r="D870" i="115"/>
  <c r="D871" i="115"/>
  <c r="D872" i="115"/>
  <c r="D873" i="115"/>
  <c r="D874" i="115"/>
  <c r="D875" i="115"/>
  <c r="D876" i="115"/>
  <c r="D877" i="115"/>
  <c r="D878" i="115"/>
  <c r="D879" i="115"/>
  <c r="D880" i="115"/>
  <c r="D881" i="115"/>
  <c r="D882" i="115"/>
  <c r="D883" i="115"/>
  <c r="D884" i="115"/>
  <c r="D885" i="115"/>
  <c r="D886" i="115"/>
  <c r="D887" i="115"/>
  <c r="D888" i="115"/>
  <c r="D889" i="115"/>
  <c r="D890" i="115"/>
  <c r="D891" i="115"/>
  <c r="D892" i="115"/>
  <c r="D893" i="115"/>
  <c r="D894" i="115"/>
  <c r="D895" i="115"/>
  <c r="D896" i="115"/>
  <c r="D897" i="115"/>
  <c r="D898" i="115"/>
  <c r="D899" i="115"/>
  <c r="D900" i="115"/>
  <c r="D901" i="115"/>
  <c r="D902" i="115"/>
  <c r="D903" i="115"/>
  <c r="D904" i="115"/>
  <c r="D905" i="115"/>
  <c r="D906" i="115"/>
  <c r="D907" i="115"/>
  <c r="D908" i="115"/>
  <c r="D909" i="115"/>
  <c r="D910" i="115"/>
  <c r="D911" i="115"/>
  <c r="D912" i="115"/>
  <c r="D913" i="115"/>
  <c r="D914" i="115"/>
  <c r="D915" i="115"/>
  <c r="D916" i="115"/>
  <c r="D917" i="115"/>
  <c r="D918" i="115"/>
  <c r="D919" i="115"/>
  <c r="D920" i="115"/>
  <c r="D921" i="115"/>
  <c r="D922" i="115"/>
  <c r="D923" i="115"/>
  <c r="D924" i="115"/>
  <c r="D925" i="115"/>
  <c r="D926" i="115"/>
  <c r="D927" i="115"/>
  <c r="D928" i="115"/>
  <c r="D929" i="115"/>
  <c r="D930" i="115"/>
  <c r="D931" i="115"/>
  <c r="D932" i="115"/>
  <c r="D933" i="115"/>
  <c r="D934" i="115"/>
  <c r="D935" i="115"/>
  <c r="D936" i="115"/>
  <c r="D937" i="115"/>
  <c r="D938" i="115"/>
  <c r="D939" i="115"/>
  <c r="D940" i="115"/>
  <c r="D941" i="115"/>
  <c r="D942" i="115"/>
  <c r="D943" i="115"/>
  <c r="D944" i="115"/>
  <c r="D945" i="115"/>
  <c r="D946" i="115"/>
  <c r="D947" i="115"/>
  <c r="D948" i="115"/>
  <c r="D949" i="115"/>
  <c r="D950" i="115"/>
  <c r="D951" i="115"/>
  <c r="D952" i="115"/>
  <c r="D953" i="115"/>
  <c r="D954" i="115"/>
  <c r="D955" i="115"/>
  <c r="D956" i="115"/>
  <c r="D957" i="115"/>
  <c r="D958" i="115"/>
  <c r="D959" i="115"/>
  <c r="D960" i="115"/>
  <c r="D961" i="115"/>
  <c r="D962" i="115"/>
  <c r="D963" i="115"/>
  <c r="D964" i="115"/>
  <c r="D965" i="115"/>
  <c r="D966" i="115"/>
  <c r="D967" i="115"/>
  <c r="D968" i="115"/>
  <c r="D969" i="115"/>
  <c r="D970" i="115"/>
  <c r="D971" i="115"/>
  <c r="D972" i="115"/>
  <c r="D973" i="115"/>
  <c r="D974" i="115"/>
  <c r="D975" i="115"/>
  <c r="D976" i="115"/>
  <c r="D977" i="115"/>
  <c r="D978" i="115"/>
  <c r="D979" i="115"/>
  <c r="D980" i="115"/>
  <c r="D981" i="115"/>
  <c r="D982" i="115"/>
  <c r="D983" i="115"/>
  <c r="D984" i="115"/>
  <c r="D985" i="115"/>
  <c r="D986" i="115"/>
  <c r="D987" i="115"/>
  <c r="D988" i="115"/>
  <c r="D989" i="115"/>
  <c r="D990" i="115"/>
  <c r="D991" i="115"/>
  <c r="D992" i="115"/>
  <c r="D993" i="115"/>
  <c r="D994" i="115"/>
  <c r="D995" i="115"/>
  <c r="D996" i="115"/>
  <c r="D997" i="115"/>
  <c r="D998" i="115"/>
  <c r="D999" i="115"/>
  <c r="D1000" i="115"/>
  <c r="D1001" i="115"/>
  <c r="D2" i="115"/>
  <c r="C3" i="115"/>
  <c r="C4" i="115"/>
  <c r="C5" i="115"/>
  <c r="C6" i="115"/>
  <c r="C7" i="115"/>
  <c r="C8" i="115"/>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C42" i="115"/>
  <c r="C43" i="115"/>
  <c r="C44" i="115"/>
  <c r="C45" i="115"/>
  <c r="C46" i="115"/>
  <c r="C47" i="115"/>
  <c r="C48" i="115"/>
  <c r="C49" i="115"/>
  <c r="C50" i="115"/>
  <c r="C51" i="115"/>
  <c r="C52" i="115"/>
  <c r="C53" i="115"/>
  <c r="C54" i="115"/>
  <c r="C55" i="115"/>
  <c r="C56" i="115"/>
  <c r="C57" i="115"/>
  <c r="C58" i="115"/>
  <c r="C59" i="115"/>
  <c r="C60" i="115"/>
  <c r="C61" i="115"/>
  <c r="C62" i="115"/>
  <c r="C63" i="115"/>
  <c r="C64" i="115"/>
  <c r="C65" i="115"/>
  <c r="C66" i="115"/>
  <c r="C67" i="115"/>
  <c r="C68" i="115"/>
  <c r="C69" i="115"/>
  <c r="C70" i="115"/>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C96" i="115"/>
  <c r="C97" i="115"/>
  <c r="C98" i="115"/>
  <c r="C99" i="115"/>
  <c r="C100" i="115"/>
  <c r="C101" i="115"/>
  <c r="C102" i="115"/>
  <c r="C103" i="115"/>
  <c r="C104" i="115"/>
  <c r="C105" i="115"/>
  <c r="C106" i="115"/>
  <c r="C107" i="115"/>
  <c r="C108" i="115"/>
  <c r="C109" i="115"/>
  <c r="C110" i="115"/>
  <c r="C111" i="115"/>
  <c r="C112" i="115"/>
  <c r="C113" i="115"/>
  <c r="C114" i="115"/>
  <c r="C115" i="115"/>
  <c r="C116" i="115"/>
  <c r="C117" i="115"/>
  <c r="C118" i="115"/>
  <c r="C119" i="115"/>
  <c r="C120" i="115"/>
  <c r="C121" i="115"/>
  <c r="C122" i="115"/>
  <c r="C123" i="115"/>
  <c r="C124" i="115"/>
  <c r="C125" i="115"/>
  <c r="C126" i="115"/>
  <c r="C127" i="115"/>
  <c r="C128" i="115"/>
  <c r="C129" i="115"/>
  <c r="C130" i="115"/>
  <c r="C131" i="115"/>
  <c r="C132" i="115"/>
  <c r="C133" i="115"/>
  <c r="C134" i="115"/>
  <c r="C135" i="115"/>
  <c r="C136" i="115"/>
  <c r="C137" i="115"/>
  <c r="C138" i="115"/>
  <c r="C139" i="115"/>
  <c r="C140" i="115"/>
  <c r="C141" i="115"/>
  <c r="C142" i="115"/>
  <c r="C143" i="115"/>
  <c r="C144" i="115"/>
  <c r="C145" i="115"/>
  <c r="C146" i="115"/>
  <c r="C147" i="115"/>
  <c r="C148" i="115"/>
  <c r="C149" i="115"/>
  <c r="C150" i="115"/>
  <c r="C151" i="115"/>
  <c r="C152" i="115"/>
  <c r="C153" i="115"/>
  <c r="C154" i="115"/>
  <c r="C155" i="115"/>
  <c r="C156" i="115"/>
  <c r="C157" i="115"/>
  <c r="C158" i="115"/>
  <c r="C159" i="115"/>
  <c r="C160" i="115"/>
  <c r="C161" i="115"/>
  <c r="C162" i="115"/>
  <c r="C163" i="115"/>
  <c r="C164" i="115"/>
  <c r="C165" i="115"/>
  <c r="C166" i="115"/>
  <c r="C167" i="115"/>
  <c r="C168" i="115"/>
  <c r="C169" i="115"/>
  <c r="C170" i="115"/>
  <c r="C171" i="115"/>
  <c r="C172" i="115"/>
  <c r="C173" i="115"/>
  <c r="C174" i="115"/>
  <c r="C175" i="115"/>
  <c r="C176" i="115"/>
  <c r="C177" i="115"/>
  <c r="C178" i="115"/>
  <c r="C179" i="115"/>
  <c r="C180" i="115"/>
  <c r="C181" i="115"/>
  <c r="C182" i="115"/>
  <c r="C183" i="115"/>
  <c r="C184" i="115"/>
  <c r="C185" i="115"/>
  <c r="C186" i="115"/>
  <c r="C187" i="115"/>
  <c r="C188" i="115"/>
  <c r="C189" i="115"/>
  <c r="C190" i="115"/>
  <c r="C191" i="115"/>
  <c r="C192" i="115"/>
  <c r="C193" i="115"/>
  <c r="C194" i="115"/>
  <c r="C195" i="115"/>
  <c r="C196" i="115"/>
  <c r="C197" i="115"/>
  <c r="C198" i="115"/>
  <c r="C199" i="115"/>
  <c r="C200" i="115"/>
  <c r="C201" i="115"/>
  <c r="C202" i="115"/>
  <c r="C203" i="115"/>
  <c r="C204" i="115"/>
  <c r="C205" i="115"/>
  <c r="C206" i="115"/>
  <c r="C207" i="115"/>
  <c r="C208" i="115"/>
  <c r="C209" i="115"/>
  <c r="C210" i="115"/>
  <c r="C211" i="115"/>
  <c r="C212" i="115"/>
  <c r="C213" i="115"/>
  <c r="C214" i="115"/>
  <c r="C215" i="115"/>
  <c r="C216" i="115"/>
  <c r="C217" i="115"/>
  <c r="C218" i="115"/>
  <c r="C219" i="115"/>
  <c r="C220" i="115"/>
  <c r="C221" i="115"/>
  <c r="C222" i="115"/>
  <c r="C223" i="115"/>
  <c r="C224" i="115"/>
  <c r="C225" i="115"/>
  <c r="C226" i="115"/>
  <c r="C227" i="115"/>
  <c r="C228" i="115"/>
  <c r="C229" i="115"/>
  <c r="C230" i="115"/>
  <c r="C231" i="115"/>
  <c r="C232" i="115"/>
  <c r="C233" i="115"/>
  <c r="C234" i="115"/>
  <c r="C235" i="115"/>
  <c r="C236" i="115"/>
  <c r="C237" i="115"/>
  <c r="C238" i="115"/>
  <c r="C239" i="115"/>
  <c r="C240" i="115"/>
  <c r="C241" i="115"/>
  <c r="C242" i="115"/>
  <c r="C243" i="115"/>
  <c r="C244" i="115"/>
  <c r="C245" i="115"/>
  <c r="C246" i="115"/>
  <c r="C247" i="115"/>
  <c r="C248" i="115"/>
  <c r="C249" i="115"/>
  <c r="C250" i="115"/>
  <c r="C251" i="115"/>
  <c r="C252" i="115"/>
  <c r="C253" i="115"/>
  <c r="C254" i="115"/>
  <c r="C255" i="115"/>
  <c r="C256" i="115"/>
  <c r="C257" i="115"/>
  <c r="C258" i="115"/>
  <c r="C259" i="115"/>
  <c r="C260" i="115"/>
  <c r="C261" i="115"/>
  <c r="C262" i="115"/>
  <c r="C263" i="115"/>
  <c r="C264" i="115"/>
  <c r="C265" i="115"/>
  <c r="C266" i="115"/>
  <c r="C267" i="115"/>
  <c r="C268" i="115"/>
  <c r="C269" i="115"/>
  <c r="C270" i="115"/>
  <c r="C271" i="115"/>
  <c r="C272" i="115"/>
  <c r="C273" i="115"/>
  <c r="C274" i="115"/>
  <c r="C275" i="115"/>
  <c r="C276" i="115"/>
  <c r="C277" i="115"/>
  <c r="C278" i="115"/>
  <c r="C279" i="115"/>
  <c r="C280" i="115"/>
  <c r="C281" i="115"/>
  <c r="C282" i="115"/>
  <c r="C283" i="115"/>
  <c r="C284" i="115"/>
  <c r="C285" i="115"/>
  <c r="C286" i="115"/>
  <c r="C287" i="115"/>
  <c r="C288" i="115"/>
  <c r="C289" i="115"/>
  <c r="C290" i="115"/>
  <c r="C291" i="115"/>
  <c r="C292" i="115"/>
  <c r="C293" i="115"/>
  <c r="C294" i="115"/>
  <c r="C295" i="115"/>
  <c r="C296" i="115"/>
  <c r="C297" i="115"/>
  <c r="C298" i="115"/>
  <c r="C299" i="115"/>
  <c r="C300" i="115"/>
  <c r="C301" i="115"/>
  <c r="C302" i="115"/>
  <c r="C303" i="115"/>
  <c r="C304" i="115"/>
  <c r="C305" i="115"/>
  <c r="C306" i="115"/>
  <c r="C307" i="115"/>
  <c r="C308" i="115"/>
  <c r="C309" i="115"/>
  <c r="C310" i="115"/>
  <c r="C311" i="115"/>
  <c r="C312" i="115"/>
  <c r="C313" i="115"/>
  <c r="C314" i="115"/>
  <c r="C315" i="115"/>
  <c r="C316" i="115"/>
  <c r="C317" i="115"/>
  <c r="C318" i="115"/>
  <c r="C319" i="115"/>
  <c r="C320" i="115"/>
  <c r="C321" i="115"/>
  <c r="C322" i="115"/>
  <c r="C323" i="115"/>
  <c r="C324" i="115"/>
  <c r="C325" i="115"/>
  <c r="C326" i="115"/>
  <c r="C327" i="115"/>
  <c r="C328" i="115"/>
  <c r="C329" i="115"/>
  <c r="C330" i="115"/>
  <c r="C331" i="115"/>
  <c r="C332" i="115"/>
  <c r="C333" i="115"/>
  <c r="C334" i="115"/>
  <c r="C335" i="115"/>
  <c r="C336" i="115"/>
  <c r="C337" i="115"/>
  <c r="C338" i="115"/>
  <c r="C339" i="115"/>
  <c r="C340" i="115"/>
  <c r="C341" i="115"/>
  <c r="C342" i="115"/>
  <c r="C343" i="115"/>
  <c r="C344" i="115"/>
  <c r="C345" i="115"/>
  <c r="C346" i="115"/>
  <c r="C347" i="115"/>
  <c r="C348" i="115"/>
  <c r="C349" i="115"/>
  <c r="C350" i="115"/>
  <c r="C351" i="115"/>
  <c r="C352" i="115"/>
  <c r="C353" i="115"/>
  <c r="C354" i="115"/>
  <c r="C355" i="115"/>
  <c r="C356" i="115"/>
  <c r="C357" i="115"/>
  <c r="C358" i="115"/>
  <c r="C359" i="115"/>
  <c r="C360" i="115"/>
  <c r="C361" i="115"/>
  <c r="C362" i="115"/>
  <c r="C363" i="115"/>
  <c r="C364" i="115"/>
  <c r="C365" i="115"/>
  <c r="C366" i="115"/>
  <c r="C367" i="115"/>
  <c r="C368" i="115"/>
  <c r="C369" i="115"/>
  <c r="C370" i="115"/>
  <c r="C371" i="115"/>
  <c r="C372" i="115"/>
  <c r="C373" i="115"/>
  <c r="C374" i="115"/>
  <c r="C375" i="115"/>
  <c r="C376" i="115"/>
  <c r="C377" i="115"/>
  <c r="C378" i="115"/>
  <c r="C379" i="115"/>
  <c r="C380" i="115"/>
  <c r="C381" i="115"/>
  <c r="C382" i="115"/>
  <c r="C383" i="115"/>
  <c r="C384" i="115"/>
  <c r="C385" i="115"/>
  <c r="C386" i="115"/>
  <c r="C387" i="115"/>
  <c r="C388" i="115"/>
  <c r="C389" i="115"/>
  <c r="C390" i="115"/>
  <c r="C391" i="115"/>
  <c r="C392" i="115"/>
  <c r="C393" i="115"/>
  <c r="C394" i="115"/>
  <c r="C395" i="115"/>
  <c r="C396" i="115"/>
  <c r="C397" i="115"/>
  <c r="C398" i="115"/>
  <c r="C399" i="115"/>
  <c r="C400" i="115"/>
  <c r="C401" i="115"/>
  <c r="C402" i="115"/>
  <c r="C403" i="115"/>
  <c r="C404" i="115"/>
  <c r="C405" i="115"/>
  <c r="C406" i="115"/>
  <c r="C407" i="115"/>
  <c r="C408" i="115"/>
  <c r="C409" i="115"/>
  <c r="C410" i="115"/>
  <c r="C411" i="115"/>
  <c r="C412" i="115"/>
  <c r="C413" i="115"/>
  <c r="C414" i="115"/>
  <c r="C415" i="115"/>
  <c r="C416" i="115"/>
  <c r="C417" i="115"/>
  <c r="C418" i="115"/>
  <c r="C419" i="115"/>
  <c r="C420" i="115"/>
  <c r="C421" i="115"/>
  <c r="C422" i="115"/>
  <c r="C423" i="115"/>
  <c r="C424" i="115"/>
  <c r="C425" i="115"/>
  <c r="C426" i="115"/>
  <c r="C427" i="115"/>
  <c r="C428" i="115"/>
  <c r="C429" i="115"/>
  <c r="C430" i="115"/>
  <c r="C431" i="115"/>
  <c r="C432" i="115"/>
  <c r="C433" i="115"/>
  <c r="C434" i="115"/>
  <c r="C435" i="115"/>
  <c r="C436" i="115"/>
  <c r="C437" i="115"/>
  <c r="C438" i="115"/>
  <c r="C439" i="115"/>
  <c r="C440" i="115"/>
  <c r="C441" i="115"/>
  <c r="C442" i="115"/>
  <c r="C443" i="115"/>
  <c r="C444" i="115"/>
  <c r="C445" i="115"/>
  <c r="C446" i="115"/>
  <c r="C447" i="115"/>
  <c r="C448" i="115"/>
  <c r="C449" i="115"/>
  <c r="C450" i="115"/>
  <c r="C451" i="115"/>
  <c r="C452" i="115"/>
  <c r="C453" i="115"/>
  <c r="C454" i="115"/>
  <c r="C455" i="115"/>
  <c r="C456" i="115"/>
  <c r="C457" i="115"/>
  <c r="C458" i="115"/>
  <c r="C459" i="115"/>
  <c r="C460" i="115"/>
  <c r="C461" i="115"/>
  <c r="C462" i="115"/>
  <c r="C463" i="115"/>
  <c r="C464" i="115"/>
  <c r="C465" i="115"/>
  <c r="C466" i="115"/>
  <c r="C467" i="115"/>
  <c r="C468" i="115"/>
  <c r="C469" i="115"/>
  <c r="C470" i="115"/>
  <c r="C471" i="115"/>
  <c r="C472" i="115"/>
  <c r="C473" i="115"/>
  <c r="C474" i="115"/>
  <c r="C475" i="115"/>
  <c r="C476" i="115"/>
  <c r="C477" i="115"/>
  <c r="C478" i="115"/>
  <c r="C479" i="115"/>
  <c r="C480" i="115"/>
  <c r="C481" i="115"/>
  <c r="C482" i="115"/>
  <c r="C483" i="115"/>
  <c r="C484" i="115"/>
  <c r="C485" i="115"/>
  <c r="C486" i="115"/>
  <c r="C487" i="115"/>
  <c r="C488" i="115"/>
  <c r="C489" i="115"/>
  <c r="C490" i="115"/>
  <c r="C491" i="115"/>
  <c r="C492" i="115"/>
  <c r="C493" i="115"/>
  <c r="C494" i="115"/>
  <c r="C495" i="115"/>
  <c r="C496" i="115"/>
  <c r="C497" i="115"/>
  <c r="C498" i="115"/>
  <c r="C499" i="115"/>
  <c r="C500" i="115"/>
  <c r="C501" i="115"/>
  <c r="C502" i="115"/>
  <c r="C503" i="115"/>
  <c r="C504" i="115"/>
  <c r="C505" i="115"/>
  <c r="C506" i="115"/>
  <c r="C507" i="115"/>
  <c r="C508" i="115"/>
  <c r="C509" i="115"/>
  <c r="C510" i="115"/>
  <c r="C511" i="115"/>
  <c r="C512" i="115"/>
  <c r="C513" i="115"/>
  <c r="C514" i="115"/>
  <c r="C515" i="115"/>
  <c r="C516" i="115"/>
  <c r="C517" i="115"/>
  <c r="C518" i="115"/>
  <c r="C519" i="115"/>
  <c r="C520" i="115"/>
  <c r="C521" i="115"/>
  <c r="C522" i="115"/>
  <c r="C523" i="115"/>
  <c r="C524" i="115"/>
  <c r="C525" i="115"/>
  <c r="C526" i="115"/>
  <c r="C527" i="115"/>
  <c r="C528" i="115"/>
  <c r="C529" i="115"/>
  <c r="C530" i="115"/>
  <c r="C531" i="115"/>
  <c r="C532" i="115"/>
  <c r="C533" i="115"/>
  <c r="C534" i="115"/>
  <c r="C535" i="115"/>
  <c r="C536" i="115"/>
  <c r="C537" i="115"/>
  <c r="C538" i="115"/>
  <c r="C539" i="115"/>
  <c r="C540" i="115"/>
  <c r="C541" i="115"/>
  <c r="C542" i="115"/>
  <c r="C543" i="115"/>
  <c r="C544" i="115"/>
  <c r="C545" i="115"/>
  <c r="C546" i="115"/>
  <c r="C547" i="115"/>
  <c r="C548" i="115"/>
  <c r="C549" i="115"/>
  <c r="C550" i="115"/>
  <c r="C551" i="115"/>
  <c r="C552" i="115"/>
  <c r="C553" i="115"/>
  <c r="C554" i="115"/>
  <c r="C555" i="115"/>
  <c r="C556" i="115"/>
  <c r="C557" i="115"/>
  <c r="C558" i="115"/>
  <c r="C559" i="115"/>
  <c r="C560" i="115"/>
  <c r="C561" i="115"/>
  <c r="C562" i="115"/>
  <c r="C563" i="115"/>
  <c r="C564" i="115"/>
  <c r="C565" i="115"/>
  <c r="C566" i="115"/>
  <c r="C567" i="115"/>
  <c r="C568" i="115"/>
  <c r="C569" i="115"/>
  <c r="C570" i="115"/>
  <c r="C571" i="115"/>
  <c r="C572" i="115"/>
  <c r="C573" i="115"/>
  <c r="C574" i="115"/>
  <c r="C575" i="115"/>
  <c r="C576" i="115"/>
  <c r="C577" i="115"/>
  <c r="C578" i="115"/>
  <c r="C579" i="115"/>
  <c r="C580" i="115"/>
  <c r="C581" i="115"/>
  <c r="C582" i="115"/>
  <c r="C583" i="115"/>
  <c r="C584" i="115"/>
  <c r="C585" i="115"/>
  <c r="C586" i="115"/>
  <c r="C587" i="115"/>
  <c r="C588" i="115"/>
  <c r="C589" i="115"/>
  <c r="C590" i="115"/>
  <c r="C591" i="115"/>
  <c r="C592" i="115"/>
  <c r="C593" i="115"/>
  <c r="C594" i="115"/>
  <c r="C595" i="115"/>
  <c r="C596" i="115"/>
  <c r="C597" i="115"/>
  <c r="C598" i="115"/>
  <c r="C599" i="115"/>
  <c r="C600" i="115"/>
  <c r="C601" i="115"/>
  <c r="C602" i="115"/>
  <c r="C603" i="115"/>
  <c r="C604" i="115"/>
  <c r="C605" i="115"/>
  <c r="C606" i="115"/>
  <c r="C607" i="115"/>
  <c r="C608" i="115"/>
  <c r="C609" i="115"/>
  <c r="C610" i="115"/>
  <c r="C611" i="115"/>
  <c r="C612" i="115"/>
  <c r="C613" i="115"/>
  <c r="C614" i="115"/>
  <c r="C615" i="115"/>
  <c r="C616" i="115"/>
  <c r="C617" i="115"/>
  <c r="C618" i="115"/>
  <c r="C619" i="115"/>
  <c r="C620" i="115"/>
  <c r="C621" i="115"/>
  <c r="C622" i="115"/>
  <c r="C623" i="115"/>
  <c r="C624" i="115"/>
  <c r="C625" i="115"/>
  <c r="C626" i="115"/>
  <c r="C627" i="115"/>
  <c r="C628" i="115"/>
  <c r="C629" i="115"/>
  <c r="C630" i="115"/>
  <c r="C631" i="115"/>
  <c r="C632" i="115"/>
  <c r="C633" i="115"/>
  <c r="C634" i="115"/>
  <c r="C635" i="115"/>
  <c r="C636" i="115"/>
  <c r="C637" i="115"/>
  <c r="C638" i="115"/>
  <c r="C639" i="115"/>
  <c r="C640" i="115"/>
  <c r="C641" i="115"/>
  <c r="C642" i="115"/>
  <c r="C643" i="115"/>
  <c r="C644" i="115"/>
  <c r="C645" i="115"/>
  <c r="C646" i="115"/>
  <c r="C647" i="115"/>
  <c r="C648" i="115"/>
  <c r="C649" i="115"/>
  <c r="C650" i="115"/>
  <c r="C651" i="115"/>
  <c r="C652" i="115"/>
  <c r="C653" i="115"/>
  <c r="C654" i="115"/>
  <c r="C655" i="115"/>
  <c r="C656" i="115"/>
  <c r="C657" i="115"/>
  <c r="C658" i="115"/>
  <c r="C659" i="115"/>
  <c r="C660" i="115"/>
  <c r="C661" i="115"/>
  <c r="C662" i="115"/>
  <c r="C663" i="115"/>
  <c r="C664" i="115"/>
  <c r="C665" i="115"/>
  <c r="C666" i="115"/>
  <c r="C667" i="115"/>
  <c r="C668" i="115"/>
  <c r="C669" i="115"/>
  <c r="C670" i="115"/>
  <c r="C671" i="115"/>
  <c r="C672" i="115"/>
  <c r="C673" i="115"/>
  <c r="C674" i="115"/>
  <c r="C675" i="115"/>
  <c r="C676" i="115"/>
  <c r="C677" i="115"/>
  <c r="C678" i="115"/>
  <c r="C679" i="115"/>
  <c r="C680" i="115"/>
  <c r="C681" i="115"/>
  <c r="C682" i="115"/>
  <c r="C683" i="115"/>
  <c r="C684" i="115"/>
  <c r="C685" i="115"/>
  <c r="C686" i="115"/>
  <c r="C687" i="115"/>
  <c r="C688" i="115"/>
  <c r="C689" i="115"/>
  <c r="C690" i="115"/>
  <c r="C691" i="115"/>
  <c r="C692" i="115"/>
  <c r="C693" i="115"/>
  <c r="C694" i="115"/>
  <c r="C695" i="115"/>
  <c r="C696" i="115"/>
  <c r="C697" i="115"/>
  <c r="C698" i="115"/>
  <c r="C699" i="115"/>
  <c r="C700" i="115"/>
  <c r="C701" i="115"/>
  <c r="C702" i="115"/>
  <c r="C703" i="115"/>
  <c r="C704" i="115"/>
  <c r="C705" i="115"/>
  <c r="C706" i="115"/>
  <c r="C707" i="115"/>
  <c r="C708" i="115"/>
  <c r="C709" i="115"/>
  <c r="C710" i="115"/>
  <c r="C711" i="115"/>
  <c r="C712" i="115"/>
  <c r="C713" i="115"/>
  <c r="C714" i="115"/>
  <c r="C715" i="115"/>
  <c r="C716" i="115"/>
  <c r="C717" i="115"/>
  <c r="C718" i="115"/>
  <c r="C719" i="115"/>
  <c r="C720" i="115"/>
  <c r="C721" i="115"/>
  <c r="C722" i="115"/>
  <c r="C723" i="115"/>
  <c r="C724" i="115"/>
  <c r="C725" i="115"/>
  <c r="C726" i="115"/>
  <c r="C727" i="115"/>
  <c r="C728" i="115"/>
  <c r="C729" i="115"/>
  <c r="C730" i="115"/>
  <c r="C731" i="115"/>
  <c r="C732" i="115"/>
  <c r="C733" i="115"/>
  <c r="C734" i="115"/>
  <c r="C735" i="115"/>
  <c r="C736" i="115"/>
  <c r="C737" i="115"/>
  <c r="C738" i="115"/>
  <c r="C739" i="115"/>
  <c r="C740" i="115"/>
  <c r="C741" i="115"/>
  <c r="C742" i="115"/>
  <c r="C743" i="115"/>
  <c r="C744" i="115"/>
  <c r="C745" i="115"/>
  <c r="C746" i="115"/>
  <c r="C747" i="115"/>
  <c r="C748" i="115"/>
  <c r="C749" i="115"/>
  <c r="C750" i="115"/>
  <c r="C751" i="115"/>
  <c r="C752" i="115"/>
  <c r="C753" i="115"/>
  <c r="C754" i="115"/>
  <c r="C755" i="115"/>
  <c r="C756" i="115"/>
  <c r="C757" i="115"/>
  <c r="C758" i="115"/>
  <c r="C759" i="115"/>
  <c r="C760" i="115"/>
  <c r="C761" i="115"/>
  <c r="C762" i="115"/>
  <c r="C763" i="115"/>
  <c r="C764" i="115"/>
  <c r="C765" i="115"/>
  <c r="C766" i="115"/>
  <c r="C767" i="115"/>
  <c r="C768" i="115"/>
  <c r="C769" i="115"/>
  <c r="C770" i="115"/>
  <c r="C771" i="115"/>
  <c r="C772" i="115"/>
  <c r="C773" i="115"/>
  <c r="C774" i="115"/>
  <c r="C775" i="115"/>
  <c r="C776" i="115"/>
  <c r="C777" i="115"/>
  <c r="C778" i="115"/>
  <c r="C779" i="115"/>
  <c r="C780" i="115"/>
  <c r="C781" i="115"/>
  <c r="C782" i="115"/>
  <c r="C783" i="115"/>
  <c r="C784" i="115"/>
  <c r="C785" i="115"/>
  <c r="C786" i="115"/>
  <c r="C787" i="115"/>
  <c r="C788" i="115"/>
  <c r="C789" i="115"/>
  <c r="C790" i="115"/>
  <c r="C791" i="115"/>
  <c r="C792" i="115"/>
  <c r="C793" i="115"/>
  <c r="C794" i="115"/>
  <c r="C795" i="115"/>
  <c r="C796" i="115"/>
  <c r="C797" i="115"/>
  <c r="C798" i="115"/>
  <c r="C799" i="115"/>
  <c r="C800" i="115"/>
  <c r="C801" i="115"/>
  <c r="C802" i="115"/>
  <c r="C803" i="115"/>
  <c r="C804" i="115"/>
  <c r="C805" i="115"/>
  <c r="C806" i="115"/>
  <c r="C807" i="115"/>
  <c r="C808" i="115"/>
  <c r="C809" i="115"/>
  <c r="C810" i="115"/>
  <c r="C811" i="115"/>
  <c r="C812" i="115"/>
  <c r="C813" i="115"/>
  <c r="C814" i="115"/>
  <c r="C815" i="115"/>
  <c r="C816" i="115"/>
  <c r="C817" i="115"/>
  <c r="C818" i="115"/>
  <c r="C819" i="115"/>
  <c r="C820" i="115"/>
  <c r="C821" i="115"/>
  <c r="C822" i="115"/>
  <c r="C823" i="115"/>
  <c r="C824" i="115"/>
  <c r="C825" i="115"/>
  <c r="C826" i="115"/>
  <c r="C827" i="115"/>
  <c r="C828" i="115"/>
  <c r="C829" i="115"/>
  <c r="C830" i="115"/>
  <c r="C831" i="115"/>
  <c r="C832" i="115"/>
  <c r="C833" i="115"/>
  <c r="C834" i="115"/>
  <c r="C835" i="115"/>
  <c r="C836" i="115"/>
  <c r="C837" i="115"/>
  <c r="C838" i="115"/>
  <c r="C839" i="115"/>
  <c r="C840" i="115"/>
  <c r="C841" i="115"/>
  <c r="C842" i="115"/>
  <c r="C843" i="115"/>
  <c r="C844" i="115"/>
  <c r="C845" i="115"/>
  <c r="C846" i="115"/>
  <c r="C847" i="115"/>
  <c r="C848" i="115"/>
  <c r="C849" i="115"/>
  <c r="C850" i="115"/>
  <c r="C851" i="115"/>
  <c r="C852" i="115"/>
  <c r="C853" i="115"/>
  <c r="C854" i="115"/>
  <c r="C855" i="115"/>
  <c r="C856" i="115"/>
  <c r="C857" i="115"/>
  <c r="C858" i="115"/>
  <c r="C859" i="115"/>
  <c r="C860" i="115"/>
  <c r="C861" i="115"/>
  <c r="C862" i="115"/>
  <c r="C863" i="115"/>
  <c r="C864" i="115"/>
  <c r="C865" i="115"/>
  <c r="C866" i="115"/>
  <c r="C867" i="115"/>
  <c r="C868" i="115"/>
  <c r="C869" i="115"/>
  <c r="C870" i="115"/>
  <c r="C871" i="115"/>
  <c r="C872" i="115"/>
  <c r="C873" i="115"/>
  <c r="C874" i="115"/>
  <c r="C875" i="115"/>
  <c r="C876" i="115"/>
  <c r="C877" i="115"/>
  <c r="C878" i="115"/>
  <c r="C879" i="115"/>
  <c r="C880" i="115"/>
  <c r="C881" i="115"/>
  <c r="C882" i="115"/>
  <c r="C883" i="115"/>
  <c r="C884" i="115"/>
  <c r="C885" i="115"/>
  <c r="C886" i="115"/>
  <c r="C887" i="115"/>
  <c r="C888" i="115"/>
  <c r="C889" i="115"/>
  <c r="C890" i="115"/>
  <c r="C891" i="115"/>
  <c r="C892" i="115"/>
  <c r="C893" i="115"/>
  <c r="C894" i="115"/>
  <c r="C895" i="115"/>
  <c r="C896" i="115"/>
  <c r="C897" i="115"/>
  <c r="C898" i="115"/>
  <c r="C899" i="115"/>
  <c r="C900" i="115"/>
  <c r="C901" i="115"/>
  <c r="C902" i="115"/>
  <c r="C903" i="115"/>
  <c r="C904" i="115"/>
  <c r="C905" i="115"/>
  <c r="C906" i="115"/>
  <c r="C907" i="115"/>
  <c r="C908" i="115"/>
  <c r="C909" i="115"/>
  <c r="C910" i="115"/>
  <c r="C911" i="115"/>
  <c r="C912" i="115"/>
  <c r="C913" i="115"/>
  <c r="C914" i="115"/>
  <c r="C915" i="115"/>
  <c r="C916" i="115"/>
  <c r="C917" i="115"/>
  <c r="C918" i="115"/>
  <c r="C919" i="115"/>
  <c r="C920" i="115"/>
  <c r="C921" i="115"/>
  <c r="C922" i="115"/>
  <c r="C923" i="115"/>
  <c r="C924" i="115"/>
  <c r="C925" i="115"/>
  <c r="C926" i="115"/>
  <c r="C927" i="115"/>
  <c r="C928" i="115"/>
  <c r="C929" i="115"/>
  <c r="C930" i="115"/>
  <c r="C931" i="115"/>
  <c r="C932" i="115"/>
  <c r="C933" i="115"/>
  <c r="C934" i="115"/>
  <c r="C935" i="115"/>
  <c r="C936" i="115"/>
  <c r="C937" i="115"/>
  <c r="C938" i="115"/>
  <c r="C939" i="115"/>
  <c r="C940" i="115"/>
  <c r="C941" i="115"/>
  <c r="C942" i="115"/>
  <c r="C943" i="115"/>
  <c r="C944" i="115"/>
  <c r="C945" i="115"/>
  <c r="C946" i="115"/>
  <c r="C947" i="115"/>
  <c r="C948" i="115"/>
  <c r="C949" i="115"/>
  <c r="C950" i="115"/>
  <c r="C951" i="115"/>
  <c r="C952" i="115"/>
  <c r="C953" i="115"/>
  <c r="C954" i="115"/>
  <c r="C955" i="115"/>
  <c r="C956" i="115"/>
  <c r="C957" i="115"/>
  <c r="C958" i="115"/>
  <c r="C959" i="115"/>
  <c r="C960" i="115"/>
  <c r="C961" i="115"/>
  <c r="C962" i="115"/>
  <c r="C963" i="115"/>
  <c r="C964" i="115"/>
  <c r="C965" i="115"/>
  <c r="C966" i="115"/>
  <c r="C967" i="115"/>
  <c r="C968" i="115"/>
  <c r="C969" i="115"/>
  <c r="C970" i="115"/>
  <c r="C971" i="115"/>
  <c r="C972" i="115"/>
  <c r="C973" i="115"/>
  <c r="C974" i="115"/>
  <c r="C975" i="115"/>
  <c r="C976" i="115"/>
  <c r="C977" i="115"/>
  <c r="C978" i="115"/>
  <c r="C979" i="115"/>
  <c r="C980" i="115"/>
  <c r="C981" i="115"/>
  <c r="C982" i="115"/>
  <c r="C983" i="115"/>
  <c r="C984" i="115"/>
  <c r="C985" i="115"/>
  <c r="C986" i="115"/>
  <c r="C987" i="115"/>
  <c r="C988" i="115"/>
  <c r="C989" i="115"/>
  <c r="C990" i="115"/>
  <c r="C991" i="115"/>
  <c r="C992" i="115"/>
  <c r="C993" i="115"/>
  <c r="C994" i="115"/>
  <c r="C995" i="115"/>
  <c r="C996" i="115"/>
  <c r="C997" i="115"/>
  <c r="C998" i="115"/>
  <c r="C999" i="115"/>
  <c r="C1000" i="115"/>
  <c r="C1001" i="115"/>
  <c r="C2" i="115"/>
  <c r="B27" i="115"/>
  <c r="B28" i="115"/>
  <c r="B29" i="115"/>
  <c r="B30" i="115"/>
  <c r="B31" i="115"/>
  <c r="B32" i="115"/>
  <c r="B33" i="115"/>
  <c r="B34" i="115"/>
  <c r="B35" i="115"/>
  <c r="B36" i="115"/>
  <c r="B37" i="115"/>
  <c r="B38" i="115"/>
  <c r="B39" i="115"/>
  <c r="B40" i="115"/>
  <c r="A40" i="115" s="1"/>
  <c r="B41" i="115"/>
  <c r="B42" i="115"/>
  <c r="B43" i="115"/>
  <c r="A43" i="115" s="1"/>
  <c r="B44" i="115"/>
  <c r="A44" i="115" s="1"/>
  <c r="B45" i="115"/>
  <c r="A45" i="115" s="1"/>
  <c r="B46" i="115"/>
  <c r="A46" i="115" s="1"/>
  <c r="B47" i="115"/>
  <c r="A47" i="115" s="1"/>
  <c r="B48" i="115"/>
  <c r="A48" i="115" s="1"/>
  <c r="B49" i="115"/>
  <c r="A49" i="115" s="1"/>
  <c r="B50" i="115"/>
  <c r="A50" i="115" s="1"/>
  <c r="B51" i="115"/>
  <c r="A51" i="115" s="1"/>
  <c r="B52" i="115"/>
  <c r="A52" i="115" s="1"/>
  <c r="B53" i="115"/>
  <c r="A53" i="115" s="1"/>
  <c r="B54" i="115"/>
  <c r="A54" i="115" s="1"/>
  <c r="B55" i="115"/>
  <c r="A55" i="115" s="1"/>
  <c r="B56" i="115"/>
  <c r="A56" i="115" s="1"/>
  <c r="B57" i="115"/>
  <c r="A57" i="115" s="1"/>
  <c r="B58" i="115"/>
  <c r="A58" i="115" s="1"/>
  <c r="B59" i="115"/>
  <c r="A59" i="115" s="1"/>
  <c r="B60" i="115"/>
  <c r="A60" i="115" s="1"/>
  <c r="B61" i="115"/>
  <c r="A61" i="115" s="1"/>
  <c r="B62" i="115"/>
  <c r="A62" i="115" s="1"/>
  <c r="B63" i="115"/>
  <c r="A63" i="115" s="1"/>
  <c r="B64" i="115"/>
  <c r="A64" i="115" s="1"/>
  <c r="B65" i="115"/>
  <c r="A65" i="115" s="1"/>
  <c r="B66" i="115"/>
  <c r="A66" i="115" s="1"/>
  <c r="B67" i="115"/>
  <c r="A67" i="115" s="1"/>
  <c r="B68" i="115"/>
  <c r="A68" i="115" s="1"/>
  <c r="B69" i="115"/>
  <c r="A69" i="115" s="1"/>
  <c r="B70" i="115"/>
  <c r="A70" i="115" s="1"/>
  <c r="B71" i="115"/>
  <c r="A71" i="115" s="1"/>
  <c r="B72" i="115"/>
  <c r="A72" i="115" s="1"/>
  <c r="B73" i="115"/>
  <c r="A73" i="115" s="1"/>
  <c r="B74" i="115"/>
  <c r="A74" i="115" s="1"/>
  <c r="B75" i="115"/>
  <c r="A75" i="115" s="1"/>
  <c r="B76" i="115"/>
  <c r="A76" i="115" s="1"/>
  <c r="B77" i="115"/>
  <c r="A77" i="115" s="1"/>
  <c r="B78" i="115"/>
  <c r="A78" i="115" s="1"/>
  <c r="B79" i="115"/>
  <c r="A79" i="115" s="1"/>
  <c r="B80" i="115"/>
  <c r="A80" i="115" s="1"/>
  <c r="B81" i="115"/>
  <c r="A81" i="115" s="1"/>
  <c r="B82" i="115"/>
  <c r="A82" i="115" s="1"/>
  <c r="B83" i="115"/>
  <c r="A83" i="115" s="1"/>
  <c r="B84" i="115"/>
  <c r="A84" i="115" s="1"/>
  <c r="B85" i="115"/>
  <c r="A85" i="115" s="1"/>
  <c r="B86" i="115"/>
  <c r="A86" i="115" s="1"/>
  <c r="B87" i="115"/>
  <c r="A87" i="115" s="1"/>
  <c r="B88" i="115"/>
  <c r="A88" i="115" s="1"/>
  <c r="B89" i="115"/>
  <c r="A89" i="115" s="1"/>
  <c r="B90" i="115"/>
  <c r="A90" i="115" s="1"/>
  <c r="B91" i="115"/>
  <c r="A91" i="115" s="1"/>
  <c r="B92" i="115"/>
  <c r="A92" i="115" s="1"/>
  <c r="B93" i="115"/>
  <c r="A93" i="115" s="1"/>
  <c r="B94" i="115"/>
  <c r="A94" i="115" s="1"/>
  <c r="B95" i="115"/>
  <c r="A95" i="115" s="1"/>
  <c r="B96" i="115"/>
  <c r="A96" i="115" s="1"/>
  <c r="B97" i="115"/>
  <c r="A97" i="115" s="1"/>
  <c r="B98" i="115"/>
  <c r="A98" i="115" s="1"/>
  <c r="B99" i="115"/>
  <c r="A99" i="115" s="1"/>
  <c r="B100" i="115"/>
  <c r="A100" i="115" s="1"/>
  <c r="B101" i="115"/>
  <c r="A101" i="115" s="1"/>
  <c r="B102" i="115"/>
  <c r="A102" i="115" s="1"/>
  <c r="B103" i="115"/>
  <c r="A103" i="115" s="1"/>
  <c r="B104" i="115"/>
  <c r="A104" i="115" s="1"/>
  <c r="B105" i="115"/>
  <c r="A105" i="115" s="1"/>
  <c r="B106" i="115"/>
  <c r="A106" i="115" s="1"/>
  <c r="B107" i="115"/>
  <c r="A107" i="115" s="1"/>
  <c r="B108" i="115"/>
  <c r="A108" i="115" s="1"/>
  <c r="B109" i="115"/>
  <c r="A109" i="115" s="1"/>
  <c r="B110" i="115"/>
  <c r="A110" i="115" s="1"/>
  <c r="B111" i="115"/>
  <c r="A111" i="115" s="1"/>
  <c r="B112" i="115"/>
  <c r="A112" i="115" s="1"/>
  <c r="B113" i="115"/>
  <c r="A113" i="115" s="1"/>
  <c r="B114" i="115"/>
  <c r="A114" i="115" s="1"/>
  <c r="B115" i="115"/>
  <c r="A115" i="115" s="1"/>
  <c r="B116" i="115"/>
  <c r="A116" i="115" s="1"/>
  <c r="B117" i="115"/>
  <c r="A117" i="115" s="1"/>
  <c r="B118" i="115"/>
  <c r="A118" i="115" s="1"/>
  <c r="B119" i="115"/>
  <c r="A119" i="115" s="1"/>
  <c r="B120" i="115"/>
  <c r="A120" i="115" s="1"/>
  <c r="B121" i="115"/>
  <c r="A121" i="115" s="1"/>
  <c r="B122" i="115"/>
  <c r="A122" i="115" s="1"/>
  <c r="B123" i="115"/>
  <c r="A123" i="115" s="1"/>
  <c r="B124" i="115"/>
  <c r="A124" i="115" s="1"/>
  <c r="B125" i="115"/>
  <c r="A125" i="115" s="1"/>
  <c r="B126" i="115"/>
  <c r="A126" i="115" s="1"/>
  <c r="B127" i="115"/>
  <c r="A127" i="115" s="1"/>
  <c r="B128" i="115"/>
  <c r="A128" i="115" s="1"/>
  <c r="B129" i="115"/>
  <c r="A129" i="115" s="1"/>
  <c r="B130" i="115"/>
  <c r="A130" i="115" s="1"/>
  <c r="B131" i="115"/>
  <c r="A131" i="115" s="1"/>
  <c r="B132" i="115"/>
  <c r="A132" i="115" s="1"/>
  <c r="B133" i="115"/>
  <c r="A133" i="115" s="1"/>
  <c r="B134" i="115"/>
  <c r="A134" i="115" s="1"/>
  <c r="B135" i="115"/>
  <c r="A135" i="115" s="1"/>
  <c r="B136" i="115"/>
  <c r="A136" i="115" s="1"/>
  <c r="B137" i="115"/>
  <c r="A137" i="115" s="1"/>
  <c r="B138" i="115"/>
  <c r="A138" i="115" s="1"/>
  <c r="B139" i="115"/>
  <c r="A139" i="115" s="1"/>
  <c r="B140" i="115"/>
  <c r="A140" i="115" s="1"/>
  <c r="B141" i="115"/>
  <c r="A141" i="115" s="1"/>
  <c r="B142" i="115"/>
  <c r="A142" i="115" s="1"/>
  <c r="B143" i="115"/>
  <c r="A143" i="115" s="1"/>
  <c r="B144" i="115"/>
  <c r="A144" i="115" s="1"/>
  <c r="B145" i="115"/>
  <c r="A145" i="115" s="1"/>
  <c r="B146" i="115"/>
  <c r="A146" i="115" s="1"/>
  <c r="B147" i="115"/>
  <c r="A147" i="115" s="1"/>
  <c r="B148" i="115"/>
  <c r="A148" i="115" s="1"/>
  <c r="B149" i="115"/>
  <c r="A149" i="115" s="1"/>
  <c r="B150" i="115"/>
  <c r="A150" i="115" s="1"/>
  <c r="B151" i="115"/>
  <c r="A151" i="115" s="1"/>
  <c r="B152" i="115"/>
  <c r="A152" i="115" s="1"/>
  <c r="B153" i="115"/>
  <c r="A153" i="115" s="1"/>
  <c r="B154" i="115"/>
  <c r="A154" i="115" s="1"/>
  <c r="B155" i="115"/>
  <c r="A155" i="115" s="1"/>
  <c r="B156" i="115"/>
  <c r="A156" i="115" s="1"/>
  <c r="B157" i="115"/>
  <c r="A157" i="115" s="1"/>
  <c r="B158" i="115"/>
  <c r="A158" i="115" s="1"/>
  <c r="B159" i="115"/>
  <c r="A159" i="115" s="1"/>
  <c r="B160" i="115"/>
  <c r="A160" i="115" s="1"/>
  <c r="B161" i="115"/>
  <c r="A161" i="115" s="1"/>
  <c r="B162" i="115"/>
  <c r="A162" i="115" s="1"/>
  <c r="B163" i="115"/>
  <c r="A163" i="115" s="1"/>
  <c r="B164" i="115"/>
  <c r="A164" i="115" s="1"/>
  <c r="B165" i="115"/>
  <c r="A165" i="115" s="1"/>
  <c r="B166" i="115"/>
  <c r="A166" i="115" s="1"/>
  <c r="B167" i="115"/>
  <c r="A167" i="115" s="1"/>
  <c r="B168" i="115"/>
  <c r="A168" i="115" s="1"/>
  <c r="B169" i="115"/>
  <c r="A169" i="115" s="1"/>
  <c r="B170" i="115"/>
  <c r="A170" i="115" s="1"/>
  <c r="B171" i="115"/>
  <c r="A171" i="115" s="1"/>
  <c r="B172" i="115"/>
  <c r="A172" i="115" s="1"/>
  <c r="B173" i="115"/>
  <c r="A173" i="115" s="1"/>
  <c r="B174" i="115"/>
  <c r="A174" i="115" s="1"/>
  <c r="B175" i="115"/>
  <c r="A175" i="115" s="1"/>
  <c r="B176" i="115"/>
  <c r="A176" i="115" s="1"/>
  <c r="B177" i="115"/>
  <c r="A177" i="115" s="1"/>
  <c r="B178" i="115"/>
  <c r="A178" i="115" s="1"/>
  <c r="B179" i="115"/>
  <c r="A179" i="115" s="1"/>
  <c r="B180" i="115"/>
  <c r="A180" i="115" s="1"/>
  <c r="B181" i="115"/>
  <c r="A181" i="115" s="1"/>
  <c r="B182" i="115"/>
  <c r="A182" i="115" s="1"/>
  <c r="B183" i="115"/>
  <c r="A183" i="115" s="1"/>
  <c r="B184" i="115"/>
  <c r="A184" i="115" s="1"/>
  <c r="B185" i="115"/>
  <c r="A185" i="115" s="1"/>
  <c r="B186" i="115"/>
  <c r="A186" i="115" s="1"/>
  <c r="B187" i="115"/>
  <c r="A187" i="115" s="1"/>
  <c r="B188" i="115"/>
  <c r="A188" i="115" s="1"/>
  <c r="B189" i="115"/>
  <c r="A189" i="115" s="1"/>
  <c r="B190" i="115"/>
  <c r="A190" i="115" s="1"/>
  <c r="B191" i="115"/>
  <c r="A191" i="115" s="1"/>
  <c r="B192" i="115"/>
  <c r="A192" i="115" s="1"/>
  <c r="B193" i="115"/>
  <c r="A193" i="115" s="1"/>
  <c r="B194" i="115"/>
  <c r="A194" i="115" s="1"/>
  <c r="B195" i="115"/>
  <c r="A195" i="115" s="1"/>
  <c r="B196" i="115"/>
  <c r="A196" i="115" s="1"/>
  <c r="B197" i="115"/>
  <c r="A197" i="115" s="1"/>
  <c r="B198" i="115"/>
  <c r="A198" i="115" s="1"/>
  <c r="B199" i="115"/>
  <c r="A199" i="115" s="1"/>
  <c r="B200" i="115"/>
  <c r="A200" i="115" s="1"/>
  <c r="B201" i="115"/>
  <c r="A201" i="115" s="1"/>
  <c r="B202" i="115"/>
  <c r="A202" i="115" s="1"/>
  <c r="B203" i="115"/>
  <c r="A203" i="115" s="1"/>
  <c r="B204" i="115"/>
  <c r="A204" i="115" s="1"/>
  <c r="B205" i="115"/>
  <c r="A205" i="115" s="1"/>
  <c r="B206" i="115"/>
  <c r="A206" i="115" s="1"/>
  <c r="B207" i="115"/>
  <c r="A207" i="115" s="1"/>
  <c r="B208" i="115"/>
  <c r="A208" i="115" s="1"/>
  <c r="B209" i="115"/>
  <c r="A209" i="115" s="1"/>
  <c r="B210" i="115"/>
  <c r="A210" i="115" s="1"/>
  <c r="B211" i="115"/>
  <c r="A211" i="115" s="1"/>
  <c r="B212" i="115"/>
  <c r="A212" i="115" s="1"/>
  <c r="B213" i="115"/>
  <c r="A213" i="115" s="1"/>
  <c r="B214" i="115"/>
  <c r="A214" i="115" s="1"/>
  <c r="B215" i="115"/>
  <c r="A215" i="115" s="1"/>
  <c r="B216" i="115"/>
  <c r="A216" i="115" s="1"/>
  <c r="B217" i="115"/>
  <c r="A217" i="115" s="1"/>
  <c r="B218" i="115"/>
  <c r="A218" i="115" s="1"/>
  <c r="B219" i="115"/>
  <c r="A219" i="115" s="1"/>
  <c r="B220" i="115"/>
  <c r="A220" i="115" s="1"/>
  <c r="B221" i="115"/>
  <c r="A221" i="115" s="1"/>
  <c r="B222" i="115"/>
  <c r="A222" i="115" s="1"/>
  <c r="B223" i="115"/>
  <c r="A223" i="115" s="1"/>
  <c r="B224" i="115"/>
  <c r="A224" i="115" s="1"/>
  <c r="B225" i="115"/>
  <c r="A225" i="115" s="1"/>
  <c r="B226" i="115"/>
  <c r="A226" i="115" s="1"/>
  <c r="B227" i="115"/>
  <c r="A227" i="115" s="1"/>
  <c r="B228" i="115"/>
  <c r="A228" i="115" s="1"/>
  <c r="B229" i="115"/>
  <c r="A229" i="115" s="1"/>
  <c r="B230" i="115"/>
  <c r="A230" i="115" s="1"/>
  <c r="B231" i="115"/>
  <c r="A231" i="115" s="1"/>
  <c r="B232" i="115"/>
  <c r="A232" i="115" s="1"/>
  <c r="B233" i="115"/>
  <c r="A233" i="115" s="1"/>
  <c r="B234" i="115"/>
  <c r="A234" i="115" s="1"/>
  <c r="B235" i="115"/>
  <c r="A235" i="115" s="1"/>
  <c r="B236" i="115"/>
  <c r="A236" i="115" s="1"/>
  <c r="B237" i="115"/>
  <c r="A237" i="115" s="1"/>
  <c r="B238" i="115"/>
  <c r="A238" i="115" s="1"/>
  <c r="B239" i="115"/>
  <c r="A239" i="115" s="1"/>
  <c r="B240" i="115"/>
  <c r="A240" i="115" s="1"/>
  <c r="B241" i="115"/>
  <c r="A241" i="115" s="1"/>
  <c r="B242" i="115"/>
  <c r="A242" i="115" s="1"/>
  <c r="B243" i="115"/>
  <c r="A243" i="115" s="1"/>
  <c r="B244" i="115"/>
  <c r="A244" i="115" s="1"/>
  <c r="B245" i="115"/>
  <c r="A245" i="115" s="1"/>
  <c r="B246" i="115"/>
  <c r="A246" i="115" s="1"/>
  <c r="B247" i="115"/>
  <c r="A247" i="115" s="1"/>
  <c r="B248" i="115"/>
  <c r="A248" i="115" s="1"/>
  <c r="B249" i="115"/>
  <c r="A249" i="115" s="1"/>
  <c r="B250" i="115"/>
  <c r="A250" i="115" s="1"/>
  <c r="B251" i="115"/>
  <c r="A251" i="115" s="1"/>
  <c r="B252" i="115"/>
  <c r="A252" i="115" s="1"/>
  <c r="B253" i="115"/>
  <c r="A253" i="115" s="1"/>
  <c r="B254" i="115"/>
  <c r="A254" i="115" s="1"/>
  <c r="B255" i="115"/>
  <c r="A255" i="115" s="1"/>
  <c r="B256" i="115"/>
  <c r="A256" i="115" s="1"/>
  <c r="B257" i="115"/>
  <c r="A257" i="115" s="1"/>
  <c r="B258" i="115"/>
  <c r="A258" i="115" s="1"/>
  <c r="B259" i="115"/>
  <c r="A259" i="115" s="1"/>
  <c r="B260" i="115"/>
  <c r="A260" i="115" s="1"/>
  <c r="B261" i="115"/>
  <c r="A261" i="115" s="1"/>
  <c r="B262" i="115"/>
  <c r="A262" i="115" s="1"/>
  <c r="B263" i="115"/>
  <c r="A263" i="115" s="1"/>
  <c r="B264" i="115"/>
  <c r="A264" i="115" s="1"/>
  <c r="B265" i="115"/>
  <c r="A265" i="115" s="1"/>
  <c r="B266" i="115"/>
  <c r="A266" i="115" s="1"/>
  <c r="B267" i="115"/>
  <c r="A267" i="115" s="1"/>
  <c r="B268" i="115"/>
  <c r="A268" i="115" s="1"/>
  <c r="B269" i="115"/>
  <c r="A269" i="115" s="1"/>
  <c r="B270" i="115"/>
  <c r="A270" i="115" s="1"/>
  <c r="B271" i="115"/>
  <c r="A271" i="115" s="1"/>
  <c r="B272" i="115"/>
  <c r="A272" i="115" s="1"/>
  <c r="B273" i="115"/>
  <c r="A273" i="115" s="1"/>
  <c r="B274" i="115"/>
  <c r="A274" i="115" s="1"/>
  <c r="B275" i="115"/>
  <c r="A275" i="115" s="1"/>
  <c r="B276" i="115"/>
  <c r="A276" i="115" s="1"/>
  <c r="B277" i="115"/>
  <c r="A277" i="115" s="1"/>
  <c r="B278" i="115"/>
  <c r="A278" i="115" s="1"/>
  <c r="B279" i="115"/>
  <c r="A279" i="115" s="1"/>
  <c r="B280" i="115"/>
  <c r="A280" i="115" s="1"/>
  <c r="B281" i="115"/>
  <c r="A281" i="115" s="1"/>
  <c r="B282" i="115"/>
  <c r="A282" i="115" s="1"/>
  <c r="B283" i="115"/>
  <c r="A283" i="115" s="1"/>
  <c r="B284" i="115"/>
  <c r="A284" i="115" s="1"/>
  <c r="B285" i="115"/>
  <c r="A285" i="115" s="1"/>
  <c r="B286" i="115"/>
  <c r="A286" i="115" s="1"/>
  <c r="B287" i="115"/>
  <c r="A287" i="115" s="1"/>
  <c r="B288" i="115"/>
  <c r="A288" i="115" s="1"/>
  <c r="B289" i="115"/>
  <c r="A289" i="115" s="1"/>
  <c r="B290" i="115"/>
  <c r="A290" i="115" s="1"/>
  <c r="B291" i="115"/>
  <c r="A291" i="115" s="1"/>
  <c r="B292" i="115"/>
  <c r="A292" i="115" s="1"/>
  <c r="B293" i="115"/>
  <c r="A293" i="115" s="1"/>
  <c r="B294" i="115"/>
  <c r="A294" i="115" s="1"/>
  <c r="B295" i="115"/>
  <c r="A295" i="115" s="1"/>
  <c r="B296" i="115"/>
  <c r="A296" i="115" s="1"/>
  <c r="B297" i="115"/>
  <c r="A297" i="115" s="1"/>
  <c r="B298" i="115"/>
  <c r="A298" i="115" s="1"/>
  <c r="B299" i="115"/>
  <c r="A299" i="115" s="1"/>
  <c r="B300" i="115"/>
  <c r="A300" i="115" s="1"/>
  <c r="B301" i="115"/>
  <c r="A301" i="115" s="1"/>
  <c r="B302" i="115"/>
  <c r="A302" i="115" s="1"/>
  <c r="B303" i="115"/>
  <c r="A303" i="115" s="1"/>
  <c r="B304" i="115"/>
  <c r="A304" i="115" s="1"/>
  <c r="B305" i="115"/>
  <c r="A305" i="115" s="1"/>
  <c r="B306" i="115"/>
  <c r="A306" i="115" s="1"/>
  <c r="B307" i="115"/>
  <c r="A307" i="115" s="1"/>
  <c r="B308" i="115"/>
  <c r="A308" i="115" s="1"/>
  <c r="B309" i="115"/>
  <c r="A309" i="115" s="1"/>
  <c r="B310" i="115"/>
  <c r="A310" i="115" s="1"/>
  <c r="B311" i="115"/>
  <c r="A311" i="115" s="1"/>
  <c r="B312" i="115"/>
  <c r="A312" i="115" s="1"/>
  <c r="B313" i="115"/>
  <c r="A313" i="115" s="1"/>
  <c r="B314" i="115"/>
  <c r="A314" i="115" s="1"/>
  <c r="B315" i="115"/>
  <c r="A315" i="115" s="1"/>
  <c r="B316" i="115"/>
  <c r="A316" i="115" s="1"/>
  <c r="B317" i="115"/>
  <c r="A317" i="115" s="1"/>
  <c r="B318" i="115"/>
  <c r="A318" i="115" s="1"/>
  <c r="B319" i="115"/>
  <c r="A319" i="115" s="1"/>
  <c r="B320" i="115"/>
  <c r="A320" i="115" s="1"/>
  <c r="B321" i="115"/>
  <c r="A321" i="115" s="1"/>
  <c r="B322" i="115"/>
  <c r="A322" i="115" s="1"/>
  <c r="B323" i="115"/>
  <c r="A323" i="115" s="1"/>
  <c r="B324" i="115"/>
  <c r="A324" i="115" s="1"/>
  <c r="B325" i="115"/>
  <c r="A325" i="115" s="1"/>
  <c r="B326" i="115"/>
  <c r="A326" i="115" s="1"/>
  <c r="B327" i="115"/>
  <c r="A327" i="115" s="1"/>
  <c r="B328" i="115"/>
  <c r="A328" i="115" s="1"/>
  <c r="B329" i="115"/>
  <c r="A329" i="115" s="1"/>
  <c r="B330" i="115"/>
  <c r="A330" i="115" s="1"/>
  <c r="B331" i="115"/>
  <c r="A331" i="115" s="1"/>
  <c r="B332" i="115"/>
  <c r="A332" i="115" s="1"/>
  <c r="B333" i="115"/>
  <c r="A333" i="115" s="1"/>
  <c r="B334" i="115"/>
  <c r="A334" i="115" s="1"/>
  <c r="B335" i="115"/>
  <c r="A335" i="115" s="1"/>
  <c r="B336" i="115"/>
  <c r="A336" i="115" s="1"/>
  <c r="B337" i="115"/>
  <c r="A337" i="115" s="1"/>
  <c r="B338" i="115"/>
  <c r="A338" i="115" s="1"/>
  <c r="B339" i="115"/>
  <c r="A339" i="115" s="1"/>
  <c r="B340" i="115"/>
  <c r="A340" i="115" s="1"/>
  <c r="B341" i="115"/>
  <c r="A341" i="115" s="1"/>
  <c r="B342" i="115"/>
  <c r="A342" i="115" s="1"/>
  <c r="B343" i="115"/>
  <c r="A343" i="115" s="1"/>
  <c r="B344" i="115"/>
  <c r="A344" i="115" s="1"/>
  <c r="B345" i="115"/>
  <c r="A345" i="115" s="1"/>
  <c r="B346" i="115"/>
  <c r="A346" i="115" s="1"/>
  <c r="B347" i="115"/>
  <c r="A347" i="115" s="1"/>
  <c r="B348" i="115"/>
  <c r="A348" i="115" s="1"/>
  <c r="B349" i="115"/>
  <c r="A349" i="115" s="1"/>
  <c r="B350" i="115"/>
  <c r="A350" i="115" s="1"/>
  <c r="B351" i="115"/>
  <c r="A351" i="115" s="1"/>
  <c r="B352" i="115"/>
  <c r="A352" i="115" s="1"/>
  <c r="B353" i="115"/>
  <c r="A353" i="115" s="1"/>
  <c r="B354" i="115"/>
  <c r="A354" i="115" s="1"/>
  <c r="B355" i="115"/>
  <c r="A355" i="115" s="1"/>
  <c r="B356" i="115"/>
  <c r="A356" i="115" s="1"/>
  <c r="B357" i="115"/>
  <c r="A357" i="115" s="1"/>
  <c r="B358" i="115"/>
  <c r="A358" i="115" s="1"/>
  <c r="B359" i="115"/>
  <c r="A359" i="115" s="1"/>
  <c r="B360" i="115"/>
  <c r="A360" i="115" s="1"/>
  <c r="B361" i="115"/>
  <c r="A361" i="115" s="1"/>
  <c r="B362" i="115"/>
  <c r="A362" i="115" s="1"/>
  <c r="B363" i="115"/>
  <c r="A363" i="115" s="1"/>
  <c r="B364" i="115"/>
  <c r="A364" i="115" s="1"/>
  <c r="B365" i="115"/>
  <c r="A365" i="115" s="1"/>
  <c r="B366" i="115"/>
  <c r="A366" i="115" s="1"/>
  <c r="B367" i="115"/>
  <c r="A367" i="115" s="1"/>
  <c r="B368" i="115"/>
  <c r="A368" i="115" s="1"/>
  <c r="B369" i="115"/>
  <c r="A369" i="115" s="1"/>
  <c r="B370" i="115"/>
  <c r="A370" i="115" s="1"/>
  <c r="B371" i="115"/>
  <c r="A371" i="115" s="1"/>
  <c r="B372" i="115"/>
  <c r="A372" i="115" s="1"/>
  <c r="B373" i="115"/>
  <c r="A373" i="115" s="1"/>
  <c r="B374" i="115"/>
  <c r="A374" i="115" s="1"/>
  <c r="B375" i="115"/>
  <c r="A375" i="115" s="1"/>
  <c r="B376" i="115"/>
  <c r="A376" i="115" s="1"/>
  <c r="B377" i="115"/>
  <c r="A377" i="115" s="1"/>
  <c r="B378" i="115"/>
  <c r="A378" i="115" s="1"/>
  <c r="B379" i="115"/>
  <c r="A379" i="115" s="1"/>
  <c r="B380" i="115"/>
  <c r="A380" i="115" s="1"/>
  <c r="B381" i="115"/>
  <c r="A381" i="115" s="1"/>
  <c r="B382" i="115"/>
  <c r="A382" i="115" s="1"/>
  <c r="B383" i="115"/>
  <c r="A383" i="115" s="1"/>
  <c r="B384" i="115"/>
  <c r="A384" i="115" s="1"/>
  <c r="B385" i="115"/>
  <c r="A385" i="115" s="1"/>
  <c r="B386" i="115"/>
  <c r="A386" i="115" s="1"/>
  <c r="B387" i="115"/>
  <c r="A387" i="115" s="1"/>
  <c r="B388" i="115"/>
  <c r="A388" i="115" s="1"/>
  <c r="B389" i="115"/>
  <c r="A389" i="115" s="1"/>
  <c r="B390" i="115"/>
  <c r="A390" i="115" s="1"/>
  <c r="B391" i="115"/>
  <c r="A391" i="115" s="1"/>
  <c r="B392" i="115"/>
  <c r="A392" i="115" s="1"/>
  <c r="B393" i="115"/>
  <c r="A393" i="115" s="1"/>
  <c r="B394" i="115"/>
  <c r="A394" i="115" s="1"/>
  <c r="B395" i="115"/>
  <c r="A395" i="115" s="1"/>
  <c r="B396" i="115"/>
  <c r="A396" i="115" s="1"/>
  <c r="B397" i="115"/>
  <c r="A397" i="115" s="1"/>
  <c r="B398" i="115"/>
  <c r="A398" i="115" s="1"/>
  <c r="B399" i="115"/>
  <c r="A399" i="115" s="1"/>
  <c r="B400" i="115"/>
  <c r="A400" i="115" s="1"/>
  <c r="B401" i="115"/>
  <c r="A401" i="115" s="1"/>
  <c r="B402" i="115"/>
  <c r="A402" i="115" s="1"/>
  <c r="B403" i="115"/>
  <c r="A403" i="115" s="1"/>
  <c r="B404" i="115"/>
  <c r="A404" i="115" s="1"/>
  <c r="B405" i="115"/>
  <c r="A405" i="115" s="1"/>
  <c r="B406" i="115"/>
  <c r="A406" i="115" s="1"/>
  <c r="B407" i="115"/>
  <c r="A407" i="115" s="1"/>
  <c r="B408" i="115"/>
  <c r="A408" i="115" s="1"/>
  <c r="B409" i="115"/>
  <c r="A409" i="115" s="1"/>
  <c r="B410" i="115"/>
  <c r="A410" i="115" s="1"/>
  <c r="B411" i="115"/>
  <c r="A411" i="115" s="1"/>
  <c r="B412" i="115"/>
  <c r="A412" i="115" s="1"/>
  <c r="B413" i="115"/>
  <c r="A413" i="115" s="1"/>
  <c r="B414" i="115"/>
  <c r="A414" i="115" s="1"/>
  <c r="B415" i="115"/>
  <c r="A415" i="115" s="1"/>
  <c r="B416" i="115"/>
  <c r="A416" i="115" s="1"/>
  <c r="B417" i="115"/>
  <c r="A417" i="115" s="1"/>
  <c r="B418" i="115"/>
  <c r="A418" i="115" s="1"/>
  <c r="B419" i="115"/>
  <c r="A419" i="115" s="1"/>
  <c r="B420" i="115"/>
  <c r="A420" i="115" s="1"/>
  <c r="B421" i="115"/>
  <c r="A421" i="115" s="1"/>
  <c r="B422" i="115"/>
  <c r="A422" i="115" s="1"/>
  <c r="B423" i="115"/>
  <c r="A423" i="115" s="1"/>
  <c r="B424" i="115"/>
  <c r="A424" i="115" s="1"/>
  <c r="B425" i="115"/>
  <c r="A425" i="115" s="1"/>
  <c r="B426" i="115"/>
  <c r="A426" i="115" s="1"/>
  <c r="B427" i="115"/>
  <c r="A427" i="115" s="1"/>
  <c r="B428" i="115"/>
  <c r="A428" i="115" s="1"/>
  <c r="B429" i="115"/>
  <c r="A429" i="115" s="1"/>
  <c r="B430" i="115"/>
  <c r="A430" i="115" s="1"/>
  <c r="B431" i="115"/>
  <c r="A431" i="115" s="1"/>
  <c r="B432" i="115"/>
  <c r="A432" i="115" s="1"/>
  <c r="B433" i="115"/>
  <c r="A433" i="115" s="1"/>
  <c r="B434" i="115"/>
  <c r="A434" i="115" s="1"/>
  <c r="B435" i="115"/>
  <c r="A435" i="115" s="1"/>
  <c r="B436" i="115"/>
  <c r="A436" i="115" s="1"/>
  <c r="B437" i="115"/>
  <c r="A437" i="115" s="1"/>
  <c r="B438" i="115"/>
  <c r="A438" i="115" s="1"/>
  <c r="B439" i="115"/>
  <c r="A439" i="115" s="1"/>
  <c r="B440" i="115"/>
  <c r="A440" i="115" s="1"/>
  <c r="B441" i="115"/>
  <c r="A441" i="115" s="1"/>
  <c r="B442" i="115"/>
  <c r="A442" i="115" s="1"/>
  <c r="B443" i="115"/>
  <c r="A443" i="115" s="1"/>
  <c r="B444" i="115"/>
  <c r="A444" i="115" s="1"/>
  <c r="B445" i="115"/>
  <c r="A445" i="115" s="1"/>
  <c r="B446" i="115"/>
  <c r="A446" i="115" s="1"/>
  <c r="B447" i="115"/>
  <c r="A447" i="115" s="1"/>
  <c r="B448" i="115"/>
  <c r="A448" i="115" s="1"/>
  <c r="B449" i="115"/>
  <c r="A449" i="115" s="1"/>
  <c r="B450" i="115"/>
  <c r="A450" i="115" s="1"/>
  <c r="B451" i="115"/>
  <c r="A451" i="115" s="1"/>
  <c r="B452" i="115"/>
  <c r="A452" i="115" s="1"/>
  <c r="B453" i="115"/>
  <c r="A453" i="115" s="1"/>
  <c r="B454" i="115"/>
  <c r="A454" i="115" s="1"/>
  <c r="B455" i="115"/>
  <c r="A455" i="115" s="1"/>
  <c r="B456" i="115"/>
  <c r="A456" i="115" s="1"/>
  <c r="B457" i="115"/>
  <c r="A457" i="115" s="1"/>
  <c r="B458" i="115"/>
  <c r="A458" i="115" s="1"/>
  <c r="B459" i="115"/>
  <c r="A459" i="115" s="1"/>
  <c r="B460" i="115"/>
  <c r="A460" i="115" s="1"/>
  <c r="B461" i="115"/>
  <c r="A461" i="115" s="1"/>
  <c r="B462" i="115"/>
  <c r="A462" i="115" s="1"/>
  <c r="B463" i="115"/>
  <c r="A463" i="115" s="1"/>
  <c r="B464" i="115"/>
  <c r="A464" i="115" s="1"/>
  <c r="B465" i="115"/>
  <c r="A465" i="115" s="1"/>
  <c r="B466" i="115"/>
  <c r="A466" i="115" s="1"/>
  <c r="B467" i="115"/>
  <c r="A467" i="115" s="1"/>
  <c r="B468" i="115"/>
  <c r="A468" i="115" s="1"/>
  <c r="B469" i="115"/>
  <c r="A469" i="115" s="1"/>
  <c r="B470" i="115"/>
  <c r="A470" i="115" s="1"/>
  <c r="B471" i="115"/>
  <c r="A471" i="115" s="1"/>
  <c r="B472" i="115"/>
  <c r="A472" i="115" s="1"/>
  <c r="B473" i="115"/>
  <c r="A473" i="115" s="1"/>
  <c r="B474" i="115"/>
  <c r="A474" i="115" s="1"/>
  <c r="B475" i="115"/>
  <c r="A475" i="115" s="1"/>
  <c r="B476" i="115"/>
  <c r="A476" i="115" s="1"/>
  <c r="B477" i="115"/>
  <c r="A477" i="115" s="1"/>
  <c r="B478" i="115"/>
  <c r="A478" i="115" s="1"/>
  <c r="B479" i="115"/>
  <c r="A479" i="115" s="1"/>
  <c r="B480" i="115"/>
  <c r="A480" i="115" s="1"/>
  <c r="B481" i="115"/>
  <c r="A481" i="115" s="1"/>
  <c r="B482" i="115"/>
  <c r="A482" i="115" s="1"/>
  <c r="B483" i="115"/>
  <c r="A483" i="115" s="1"/>
  <c r="B484" i="115"/>
  <c r="A484" i="115" s="1"/>
  <c r="B485" i="115"/>
  <c r="A485" i="115" s="1"/>
  <c r="B486" i="115"/>
  <c r="A486" i="115" s="1"/>
  <c r="B487" i="115"/>
  <c r="A487" i="115" s="1"/>
  <c r="B488" i="115"/>
  <c r="A488" i="115" s="1"/>
  <c r="B489" i="115"/>
  <c r="A489" i="115" s="1"/>
  <c r="B490" i="115"/>
  <c r="A490" i="115" s="1"/>
  <c r="B491" i="115"/>
  <c r="A491" i="115" s="1"/>
  <c r="B492" i="115"/>
  <c r="A492" i="115" s="1"/>
  <c r="B493" i="115"/>
  <c r="A493" i="115" s="1"/>
  <c r="B494" i="115"/>
  <c r="A494" i="115" s="1"/>
  <c r="B495" i="115"/>
  <c r="A495" i="115" s="1"/>
  <c r="B496" i="115"/>
  <c r="A496" i="115" s="1"/>
  <c r="B497" i="115"/>
  <c r="A497" i="115" s="1"/>
  <c r="B498" i="115"/>
  <c r="A498" i="115" s="1"/>
  <c r="B499" i="115"/>
  <c r="A499" i="115" s="1"/>
  <c r="B500" i="115"/>
  <c r="A500" i="115" s="1"/>
  <c r="B501" i="115"/>
  <c r="A501" i="115" s="1"/>
  <c r="B502" i="115"/>
  <c r="A502" i="115" s="1"/>
  <c r="B503" i="115"/>
  <c r="A503" i="115" s="1"/>
  <c r="B504" i="115"/>
  <c r="A504" i="115" s="1"/>
  <c r="B505" i="115"/>
  <c r="A505" i="115" s="1"/>
  <c r="B506" i="115"/>
  <c r="A506" i="115" s="1"/>
  <c r="B507" i="115"/>
  <c r="A507" i="115" s="1"/>
  <c r="B508" i="115"/>
  <c r="A508" i="115" s="1"/>
  <c r="B509" i="115"/>
  <c r="A509" i="115" s="1"/>
  <c r="B510" i="115"/>
  <c r="A510" i="115" s="1"/>
  <c r="B511" i="115"/>
  <c r="A511" i="115" s="1"/>
  <c r="B512" i="115"/>
  <c r="A512" i="115" s="1"/>
  <c r="B513" i="115"/>
  <c r="A513" i="115" s="1"/>
  <c r="B514" i="115"/>
  <c r="A514" i="115" s="1"/>
  <c r="B515" i="115"/>
  <c r="A515" i="115" s="1"/>
  <c r="B516" i="115"/>
  <c r="A516" i="115" s="1"/>
  <c r="B517" i="115"/>
  <c r="A517" i="115" s="1"/>
  <c r="B518" i="115"/>
  <c r="A518" i="115" s="1"/>
  <c r="B519" i="115"/>
  <c r="A519" i="115" s="1"/>
  <c r="B520" i="115"/>
  <c r="A520" i="115" s="1"/>
  <c r="B521" i="115"/>
  <c r="A521" i="115" s="1"/>
  <c r="B522" i="115"/>
  <c r="A522" i="115" s="1"/>
  <c r="B523" i="115"/>
  <c r="A523" i="115" s="1"/>
  <c r="B524" i="115"/>
  <c r="A524" i="115" s="1"/>
  <c r="B525" i="115"/>
  <c r="A525" i="115" s="1"/>
  <c r="B526" i="115"/>
  <c r="A526" i="115" s="1"/>
  <c r="B527" i="115"/>
  <c r="A527" i="115" s="1"/>
  <c r="B528" i="115"/>
  <c r="A528" i="115" s="1"/>
  <c r="B529" i="115"/>
  <c r="A529" i="115" s="1"/>
  <c r="B530" i="115"/>
  <c r="A530" i="115" s="1"/>
  <c r="B531" i="115"/>
  <c r="A531" i="115" s="1"/>
  <c r="B532" i="115"/>
  <c r="A532" i="115" s="1"/>
  <c r="B533" i="115"/>
  <c r="A533" i="115" s="1"/>
  <c r="B534" i="115"/>
  <c r="A534" i="115" s="1"/>
  <c r="B535" i="115"/>
  <c r="A535" i="115" s="1"/>
  <c r="B536" i="115"/>
  <c r="A536" i="115" s="1"/>
  <c r="B537" i="115"/>
  <c r="A537" i="115" s="1"/>
  <c r="B538" i="115"/>
  <c r="A538" i="115" s="1"/>
  <c r="B539" i="115"/>
  <c r="A539" i="115" s="1"/>
  <c r="B540" i="115"/>
  <c r="A540" i="115" s="1"/>
  <c r="B541" i="115"/>
  <c r="A541" i="115" s="1"/>
  <c r="B542" i="115"/>
  <c r="A542" i="115" s="1"/>
  <c r="B543" i="115"/>
  <c r="A543" i="115" s="1"/>
  <c r="B544" i="115"/>
  <c r="A544" i="115" s="1"/>
  <c r="B545" i="115"/>
  <c r="A545" i="115" s="1"/>
  <c r="B546" i="115"/>
  <c r="A546" i="115" s="1"/>
  <c r="B547" i="115"/>
  <c r="A547" i="115" s="1"/>
  <c r="B548" i="115"/>
  <c r="A548" i="115" s="1"/>
  <c r="B549" i="115"/>
  <c r="A549" i="115" s="1"/>
  <c r="B550" i="115"/>
  <c r="A550" i="115" s="1"/>
  <c r="B551" i="115"/>
  <c r="A551" i="115" s="1"/>
  <c r="B552" i="115"/>
  <c r="A552" i="115" s="1"/>
  <c r="B553" i="115"/>
  <c r="A553" i="115" s="1"/>
  <c r="B554" i="115"/>
  <c r="A554" i="115" s="1"/>
  <c r="B555" i="115"/>
  <c r="A555" i="115" s="1"/>
  <c r="B556" i="115"/>
  <c r="A556" i="115" s="1"/>
  <c r="B557" i="115"/>
  <c r="A557" i="115" s="1"/>
  <c r="B558" i="115"/>
  <c r="A558" i="115" s="1"/>
  <c r="B559" i="115"/>
  <c r="A559" i="115" s="1"/>
  <c r="B560" i="115"/>
  <c r="A560" i="115" s="1"/>
  <c r="B561" i="115"/>
  <c r="A561" i="115" s="1"/>
  <c r="B562" i="115"/>
  <c r="A562" i="115" s="1"/>
  <c r="B563" i="115"/>
  <c r="A563" i="115" s="1"/>
  <c r="B564" i="115"/>
  <c r="A564" i="115" s="1"/>
  <c r="B565" i="115"/>
  <c r="A565" i="115" s="1"/>
  <c r="B566" i="115"/>
  <c r="A566" i="115" s="1"/>
  <c r="B567" i="115"/>
  <c r="A567" i="115" s="1"/>
  <c r="B568" i="115"/>
  <c r="A568" i="115" s="1"/>
  <c r="B569" i="115"/>
  <c r="A569" i="115" s="1"/>
  <c r="B570" i="115"/>
  <c r="A570" i="115" s="1"/>
  <c r="B571" i="115"/>
  <c r="A571" i="115" s="1"/>
  <c r="B572" i="115"/>
  <c r="A572" i="115" s="1"/>
  <c r="B573" i="115"/>
  <c r="A573" i="115" s="1"/>
  <c r="B574" i="115"/>
  <c r="A574" i="115" s="1"/>
  <c r="B575" i="115"/>
  <c r="A575" i="115" s="1"/>
  <c r="B576" i="115"/>
  <c r="A576" i="115" s="1"/>
  <c r="B577" i="115"/>
  <c r="A577" i="115" s="1"/>
  <c r="B578" i="115"/>
  <c r="A578" i="115" s="1"/>
  <c r="B579" i="115"/>
  <c r="A579" i="115" s="1"/>
  <c r="B580" i="115"/>
  <c r="A580" i="115" s="1"/>
  <c r="B581" i="115"/>
  <c r="A581" i="115" s="1"/>
  <c r="B582" i="115"/>
  <c r="A582" i="115" s="1"/>
  <c r="B583" i="115"/>
  <c r="A583" i="115" s="1"/>
  <c r="B584" i="115"/>
  <c r="A584" i="115" s="1"/>
  <c r="B585" i="115"/>
  <c r="A585" i="115" s="1"/>
  <c r="B586" i="115"/>
  <c r="A586" i="115" s="1"/>
  <c r="B587" i="115"/>
  <c r="A587" i="115" s="1"/>
  <c r="B588" i="115"/>
  <c r="A588" i="115" s="1"/>
  <c r="B589" i="115"/>
  <c r="A589" i="115" s="1"/>
  <c r="B590" i="115"/>
  <c r="A590" i="115" s="1"/>
  <c r="B591" i="115"/>
  <c r="A591" i="115" s="1"/>
  <c r="B592" i="115"/>
  <c r="A592" i="115" s="1"/>
  <c r="B593" i="115"/>
  <c r="A593" i="115" s="1"/>
  <c r="B594" i="115"/>
  <c r="A594" i="115" s="1"/>
  <c r="B595" i="115"/>
  <c r="A595" i="115" s="1"/>
  <c r="B596" i="115"/>
  <c r="A596" i="115" s="1"/>
  <c r="B597" i="115"/>
  <c r="A597" i="115" s="1"/>
  <c r="B598" i="115"/>
  <c r="A598" i="115" s="1"/>
  <c r="B599" i="115"/>
  <c r="A599" i="115" s="1"/>
  <c r="B600" i="115"/>
  <c r="A600" i="115" s="1"/>
  <c r="B601" i="115"/>
  <c r="A601" i="115" s="1"/>
  <c r="B602" i="115"/>
  <c r="A602" i="115" s="1"/>
  <c r="B603" i="115"/>
  <c r="A603" i="115" s="1"/>
  <c r="B604" i="115"/>
  <c r="A604" i="115" s="1"/>
  <c r="B605" i="115"/>
  <c r="A605" i="115" s="1"/>
  <c r="B606" i="115"/>
  <c r="A606" i="115" s="1"/>
  <c r="B607" i="115"/>
  <c r="A607" i="115" s="1"/>
  <c r="B608" i="115"/>
  <c r="A608" i="115" s="1"/>
  <c r="B609" i="115"/>
  <c r="A609" i="115" s="1"/>
  <c r="B610" i="115"/>
  <c r="A610" i="115" s="1"/>
  <c r="B611" i="115"/>
  <c r="A611" i="115" s="1"/>
  <c r="B612" i="115"/>
  <c r="A612" i="115" s="1"/>
  <c r="B613" i="115"/>
  <c r="A613" i="115" s="1"/>
  <c r="B614" i="115"/>
  <c r="A614" i="115" s="1"/>
  <c r="B615" i="115"/>
  <c r="A615" i="115" s="1"/>
  <c r="B616" i="115"/>
  <c r="A616" i="115" s="1"/>
  <c r="B617" i="115"/>
  <c r="A617" i="115" s="1"/>
  <c r="B618" i="115"/>
  <c r="A618" i="115" s="1"/>
  <c r="B619" i="115"/>
  <c r="A619" i="115" s="1"/>
  <c r="B620" i="115"/>
  <c r="A620" i="115" s="1"/>
  <c r="B621" i="115"/>
  <c r="A621" i="115" s="1"/>
  <c r="B622" i="115"/>
  <c r="A622" i="115" s="1"/>
  <c r="B623" i="115"/>
  <c r="A623" i="115" s="1"/>
  <c r="B624" i="115"/>
  <c r="A624" i="115" s="1"/>
  <c r="B625" i="115"/>
  <c r="A625" i="115" s="1"/>
  <c r="B626" i="115"/>
  <c r="A626" i="115" s="1"/>
  <c r="B627" i="115"/>
  <c r="A627" i="115" s="1"/>
  <c r="B628" i="115"/>
  <c r="A628" i="115" s="1"/>
  <c r="B629" i="115"/>
  <c r="A629" i="115" s="1"/>
  <c r="B630" i="115"/>
  <c r="A630" i="115" s="1"/>
  <c r="B631" i="115"/>
  <c r="A631" i="115" s="1"/>
  <c r="B632" i="115"/>
  <c r="A632" i="115" s="1"/>
  <c r="B633" i="115"/>
  <c r="A633" i="115" s="1"/>
  <c r="B634" i="115"/>
  <c r="A634" i="115" s="1"/>
  <c r="B635" i="115"/>
  <c r="A635" i="115" s="1"/>
  <c r="B636" i="115"/>
  <c r="A636" i="115" s="1"/>
  <c r="B637" i="115"/>
  <c r="A637" i="115" s="1"/>
  <c r="B638" i="115"/>
  <c r="A638" i="115" s="1"/>
  <c r="B639" i="115"/>
  <c r="A639" i="115" s="1"/>
  <c r="B640" i="115"/>
  <c r="A640" i="115" s="1"/>
  <c r="B641" i="115"/>
  <c r="A641" i="115" s="1"/>
  <c r="B642" i="115"/>
  <c r="A642" i="115" s="1"/>
  <c r="B643" i="115"/>
  <c r="A643" i="115" s="1"/>
  <c r="B644" i="115"/>
  <c r="A644" i="115" s="1"/>
  <c r="B645" i="115"/>
  <c r="A645" i="115" s="1"/>
  <c r="B646" i="115"/>
  <c r="A646" i="115" s="1"/>
  <c r="B647" i="115"/>
  <c r="A647" i="115" s="1"/>
  <c r="B648" i="115"/>
  <c r="A648" i="115" s="1"/>
  <c r="B649" i="115"/>
  <c r="A649" i="115" s="1"/>
  <c r="B650" i="115"/>
  <c r="A650" i="115" s="1"/>
  <c r="B651" i="115"/>
  <c r="A651" i="115" s="1"/>
  <c r="B652" i="115"/>
  <c r="A652" i="115" s="1"/>
  <c r="B653" i="115"/>
  <c r="A653" i="115" s="1"/>
  <c r="B654" i="115"/>
  <c r="A654" i="115" s="1"/>
  <c r="B655" i="115"/>
  <c r="A655" i="115" s="1"/>
  <c r="B656" i="115"/>
  <c r="A656" i="115" s="1"/>
  <c r="B657" i="115"/>
  <c r="A657" i="115" s="1"/>
  <c r="B658" i="115"/>
  <c r="A658" i="115" s="1"/>
  <c r="B659" i="115"/>
  <c r="A659" i="115" s="1"/>
  <c r="B660" i="115"/>
  <c r="A660" i="115" s="1"/>
  <c r="B661" i="115"/>
  <c r="A661" i="115" s="1"/>
  <c r="B662" i="115"/>
  <c r="A662" i="115" s="1"/>
  <c r="B663" i="115"/>
  <c r="A663" i="115" s="1"/>
  <c r="B664" i="115"/>
  <c r="A664" i="115" s="1"/>
  <c r="B665" i="115"/>
  <c r="A665" i="115" s="1"/>
  <c r="B666" i="115"/>
  <c r="A666" i="115" s="1"/>
  <c r="B667" i="115"/>
  <c r="A667" i="115" s="1"/>
  <c r="B668" i="115"/>
  <c r="A668" i="115" s="1"/>
  <c r="B669" i="115"/>
  <c r="A669" i="115" s="1"/>
  <c r="B670" i="115"/>
  <c r="A670" i="115" s="1"/>
  <c r="B671" i="115"/>
  <c r="A671" i="115" s="1"/>
  <c r="B672" i="115"/>
  <c r="A672" i="115" s="1"/>
  <c r="B673" i="115"/>
  <c r="A673" i="115" s="1"/>
  <c r="B674" i="115"/>
  <c r="A674" i="115" s="1"/>
  <c r="B675" i="115"/>
  <c r="A675" i="115" s="1"/>
  <c r="B676" i="115"/>
  <c r="A676" i="115" s="1"/>
  <c r="B677" i="115"/>
  <c r="A677" i="115" s="1"/>
  <c r="B678" i="115"/>
  <c r="A678" i="115" s="1"/>
  <c r="B679" i="115"/>
  <c r="A679" i="115" s="1"/>
  <c r="B680" i="115"/>
  <c r="A680" i="115" s="1"/>
  <c r="B681" i="115"/>
  <c r="A681" i="115" s="1"/>
  <c r="B682" i="115"/>
  <c r="A682" i="115" s="1"/>
  <c r="B683" i="115"/>
  <c r="A683" i="115" s="1"/>
  <c r="B684" i="115"/>
  <c r="A684" i="115" s="1"/>
  <c r="B685" i="115"/>
  <c r="A685" i="115" s="1"/>
  <c r="B686" i="115"/>
  <c r="A686" i="115" s="1"/>
  <c r="B687" i="115"/>
  <c r="A687" i="115" s="1"/>
  <c r="B688" i="115"/>
  <c r="A688" i="115" s="1"/>
  <c r="B689" i="115"/>
  <c r="A689" i="115" s="1"/>
  <c r="B690" i="115"/>
  <c r="A690" i="115" s="1"/>
  <c r="B691" i="115"/>
  <c r="A691" i="115" s="1"/>
  <c r="B692" i="115"/>
  <c r="A692" i="115" s="1"/>
  <c r="B693" i="115"/>
  <c r="A693" i="115" s="1"/>
  <c r="B694" i="115"/>
  <c r="A694" i="115" s="1"/>
  <c r="B695" i="115"/>
  <c r="A695" i="115" s="1"/>
  <c r="B696" i="115"/>
  <c r="A696" i="115" s="1"/>
  <c r="B697" i="115"/>
  <c r="A697" i="115" s="1"/>
  <c r="B698" i="115"/>
  <c r="A698" i="115" s="1"/>
  <c r="B699" i="115"/>
  <c r="A699" i="115" s="1"/>
  <c r="B700" i="115"/>
  <c r="A700" i="115" s="1"/>
  <c r="B701" i="115"/>
  <c r="A701" i="115" s="1"/>
  <c r="B702" i="115"/>
  <c r="A702" i="115" s="1"/>
  <c r="B703" i="115"/>
  <c r="A703" i="115" s="1"/>
  <c r="B704" i="115"/>
  <c r="A704" i="115" s="1"/>
  <c r="B705" i="115"/>
  <c r="A705" i="115" s="1"/>
  <c r="B706" i="115"/>
  <c r="A706" i="115" s="1"/>
  <c r="B707" i="115"/>
  <c r="A707" i="115" s="1"/>
  <c r="B708" i="115"/>
  <c r="A708" i="115" s="1"/>
  <c r="B709" i="115"/>
  <c r="A709" i="115" s="1"/>
  <c r="B710" i="115"/>
  <c r="A710" i="115" s="1"/>
  <c r="B711" i="115"/>
  <c r="A711" i="115" s="1"/>
  <c r="B712" i="115"/>
  <c r="A712" i="115" s="1"/>
  <c r="B713" i="115"/>
  <c r="A713" i="115" s="1"/>
  <c r="B714" i="115"/>
  <c r="A714" i="115" s="1"/>
  <c r="B715" i="115"/>
  <c r="A715" i="115" s="1"/>
  <c r="B716" i="115"/>
  <c r="A716" i="115" s="1"/>
  <c r="B717" i="115"/>
  <c r="A717" i="115" s="1"/>
  <c r="B718" i="115"/>
  <c r="A718" i="115" s="1"/>
  <c r="B719" i="115"/>
  <c r="A719" i="115" s="1"/>
  <c r="B720" i="115"/>
  <c r="A720" i="115" s="1"/>
  <c r="B721" i="115"/>
  <c r="A721" i="115" s="1"/>
  <c r="B722" i="115"/>
  <c r="A722" i="115" s="1"/>
  <c r="B723" i="115"/>
  <c r="A723" i="115" s="1"/>
  <c r="B724" i="115"/>
  <c r="A724" i="115" s="1"/>
  <c r="B725" i="115"/>
  <c r="A725" i="115" s="1"/>
  <c r="B726" i="115"/>
  <c r="A726" i="115" s="1"/>
  <c r="B727" i="115"/>
  <c r="A727" i="115" s="1"/>
  <c r="B728" i="115"/>
  <c r="A728" i="115" s="1"/>
  <c r="B729" i="115"/>
  <c r="A729" i="115" s="1"/>
  <c r="B730" i="115"/>
  <c r="A730" i="115" s="1"/>
  <c r="B731" i="115"/>
  <c r="A731" i="115" s="1"/>
  <c r="B732" i="115"/>
  <c r="A732" i="115" s="1"/>
  <c r="B733" i="115"/>
  <c r="A733" i="115" s="1"/>
  <c r="B734" i="115"/>
  <c r="A734" i="115" s="1"/>
  <c r="B735" i="115"/>
  <c r="A735" i="115" s="1"/>
  <c r="B736" i="115"/>
  <c r="A736" i="115" s="1"/>
  <c r="B737" i="115"/>
  <c r="A737" i="115" s="1"/>
  <c r="B738" i="115"/>
  <c r="A738" i="115" s="1"/>
  <c r="B739" i="115"/>
  <c r="A739" i="115" s="1"/>
  <c r="B740" i="115"/>
  <c r="A740" i="115" s="1"/>
  <c r="B741" i="115"/>
  <c r="A741" i="115" s="1"/>
  <c r="B742" i="115"/>
  <c r="A742" i="115" s="1"/>
  <c r="B743" i="115"/>
  <c r="A743" i="115" s="1"/>
  <c r="B744" i="115"/>
  <c r="A744" i="115" s="1"/>
  <c r="B745" i="115"/>
  <c r="A745" i="115" s="1"/>
  <c r="B746" i="115"/>
  <c r="A746" i="115" s="1"/>
  <c r="B747" i="115"/>
  <c r="A747" i="115" s="1"/>
  <c r="B748" i="115"/>
  <c r="A748" i="115" s="1"/>
  <c r="B749" i="115"/>
  <c r="A749" i="115" s="1"/>
  <c r="B750" i="115"/>
  <c r="A750" i="115" s="1"/>
  <c r="B751" i="115"/>
  <c r="A751" i="115" s="1"/>
  <c r="B752" i="115"/>
  <c r="A752" i="115" s="1"/>
  <c r="B753" i="115"/>
  <c r="A753" i="115" s="1"/>
  <c r="B754" i="115"/>
  <c r="A754" i="115" s="1"/>
  <c r="B755" i="115"/>
  <c r="A755" i="115" s="1"/>
  <c r="B756" i="115"/>
  <c r="A756" i="115" s="1"/>
  <c r="B757" i="115"/>
  <c r="A757" i="115" s="1"/>
  <c r="B758" i="115"/>
  <c r="A758" i="115" s="1"/>
  <c r="B759" i="115"/>
  <c r="A759" i="115" s="1"/>
  <c r="B760" i="115"/>
  <c r="A760" i="115" s="1"/>
  <c r="B761" i="115"/>
  <c r="A761" i="115" s="1"/>
  <c r="B762" i="115"/>
  <c r="A762" i="115" s="1"/>
  <c r="B763" i="115"/>
  <c r="A763" i="115" s="1"/>
  <c r="B764" i="115"/>
  <c r="A764" i="115" s="1"/>
  <c r="B765" i="115"/>
  <c r="A765" i="115" s="1"/>
  <c r="B766" i="115"/>
  <c r="A766" i="115" s="1"/>
  <c r="B767" i="115"/>
  <c r="A767" i="115" s="1"/>
  <c r="B768" i="115"/>
  <c r="A768" i="115" s="1"/>
  <c r="B769" i="115"/>
  <c r="A769" i="115" s="1"/>
  <c r="B770" i="115"/>
  <c r="A770" i="115" s="1"/>
  <c r="B771" i="115"/>
  <c r="A771" i="115" s="1"/>
  <c r="B772" i="115"/>
  <c r="A772" i="115" s="1"/>
  <c r="B773" i="115"/>
  <c r="A773" i="115" s="1"/>
  <c r="B774" i="115"/>
  <c r="A774" i="115" s="1"/>
  <c r="B775" i="115"/>
  <c r="A775" i="115" s="1"/>
  <c r="B776" i="115"/>
  <c r="A776" i="115" s="1"/>
  <c r="B777" i="115"/>
  <c r="A777" i="115" s="1"/>
  <c r="B778" i="115"/>
  <c r="A778" i="115" s="1"/>
  <c r="B779" i="115"/>
  <c r="A779" i="115" s="1"/>
  <c r="B780" i="115"/>
  <c r="A780" i="115" s="1"/>
  <c r="B781" i="115"/>
  <c r="A781" i="115" s="1"/>
  <c r="B782" i="115"/>
  <c r="A782" i="115" s="1"/>
  <c r="B783" i="115"/>
  <c r="A783" i="115" s="1"/>
  <c r="B784" i="115"/>
  <c r="A784" i="115" s="1"/>
  <c r="B785" i="115"/>
  <c r="A785" i="115" s="1"/>
  <c r="B786" i="115"/>
  <c r="A786" i="115" s="1"/>
  <c r="B787" i="115"/>
  <c r="A787" i="115" s="1"/>
  <c r="B788" i="115"/>
  <c r="A788" i="115" s="1"/>
  <c r="B789" i="115"/>
  <c r="A789" i="115" s="1"/>
  <c r="B790" i="115"/>
  <c r="A790" i="115" s="1"/>
  <c r="B791" i="115"/>
  <c r="A791" i="115" s="1"/>
  <c r="B792" i="115"/>
  <c r="A792" i="115" s="1"/>
  <c r="B793" i="115"/>
  <c r="A793" i="115" s="1"/>
  <c r="B794" i="115"/>
  <c r="A794" i="115" s="1"/>
  <c r="B795" i="115"/>
  <c r="A795" i="115" s="1"/>
  <c r="B796" i="115"/>
  <c r="A796" i="115" s="1"/>
  <c r="B797" i="115"/>
  <c r="A797" i="115" s="1"/>
  <c r="B798" i="115"/>
  <c r="A798" i="115" s="1"/>
  <c r="B799" i="115"/>
  <c r="A799" i="115" s="1"/>
  <c r="B800" i="115"/>
  <c r="A800" i="115" s="1"/>
  <c r="B801" i="115"/>
  <c r="A801" i="115" s="1"/>
  <c r="B802" i="115"/>
  <c r="A802" i="115" s="1"/>
  <c r="B803" i="115"/>
  <c r="A803" i="115" s="1"/>
  <c r="B804" i="115"/>
  <c r="A804" i="115" s="1"/>
  <c r="B805" i="115"/>
  <c r="A805" i="115" s="1"/>
  <c r="B806" i="115"/>
  <c r="A806" i="115" s="1"/>
  <c r="B807" i="115"/>
  <c r="A807" i="115" s="1"/>
  <c r="B808" i="115"/>
  <c r="A808" i="115" s="1"/>
  <c r="B809" i="115"/>
  <c r="A809" i="115" s="1"/>
  <c r="B810" i="115"/>
  <c r="A810" i="115" s="1"/>
  <c r="B811" i="115"/>
  <c r="A811" i="115" s="1"/>
  <c r="B812" i="115"/>
  <c r="A812" i="115" s="1"/>
  <c r="B813" i="115"/>
  <c r="A813" i="115" s="1"/>
  <c r="B814" i="115"/>
  <c r="A814" i="115" s="1"/>
  <c r="B815" i="115"/>
  <c r="A815" i="115" s="1"/>
  <c r="B816" i="115"/>
  <c r="A816" i="115" s="1"/>
  <c r="B817" i="115"/>
  <c r="A817" i="115" s="1"/>
  <c r="B818" i="115"/>
  <c r="A818" i="115" s="1"/>
  <c r="B819" i="115"/>
  <c r="A819" i="115" s="1"/>
  <c r="B820" i="115"/>
  <c r="A820" i="115" s="1"/>
  <c r="B821" i="115"/>
  <c r="A821" i="115" s="1"/>
  <c r="B822" i="115"/>
  <c r="A822" i="115" s="1"/>
  <c r="B823" i="115"/>
  <c r="A823" i="115" s="1"/>
  <c r="B824" i="115"/>
  <c r="A824" i="115" s="1"/>
  <c r="B825" i="115"/>
  <c r="A825" i="115" s="1"/>
  <c r="B826" i="115"/>
  <c r="A826" i="115" s="1"/>
  <c r="B827" i="115"/>
  <c r="A827" i="115" s="1"/>
  <c r="B828" i="115"/>
  <c r="A828" i="115" s="1"/>
  <c r="B829" i="115"/>
  <c r="A829" i="115" s="1"/>
  <c r="B830" i="115"/>
  <c r="A830" i="115" s="1"/>
  <c r="B831" i="115"/>
  <c r="A831" i="115" s="1"/>
  <c r="B832" i="115"/>
  <c r="A832" i="115" s="1"/>
  <c r="B833" i="115"/>
  <c r="A833" i="115" s="1"/>
  <c r="B834" i="115"/>
  <c r="A834" i="115" s="1"/>
  <c r="B835" i="115"/>
  <c r="A835" i="115" s="1"/>
  <c r="B836" i="115"/>
  <c r="A836" i="115" s="1"/>
  <c r="B837" i="115"/>
  <c r="A837" i="115" s="1"/>
  <c r="B838" i="115"/>
  <c r="A838" i="115" s="1"/>
  <c r="B839" i="115"/>
  <c r="A839" i="115" s="1"/>
  <c r="B840" i="115"/>
  <c r="A840" i="115" s="1"/>
  <c r="B841" i="115"/>
  <c r="A841" i="115" s="1"/>
  <c r="B842" i="115"/>
  <c r="A842" i="115" s="1"/>
  <c r="B843" i="115"/>
  <c r="A843" i="115" s="1"/>
  <c r="B844" i="115"/>
  <c r="A844" i="115" s="1"/>
  <c r="B845" i="115"/>
  <c r="A845" i="115" s="1"/>
  <c r="B846" i="115"/>
  <c r="A846" i="115" s="1"/>
  <c r="B847" i="115"/>
  <c r="A847" i="115" s="1"/>
  <c r="B848" i="115"/>
  <c r="A848" i="115" s="1"/>
  <c r="B849" i="115"/>
  <c r="A849" i="115" s="1"/>
  <c r="B850" i="115"/>
  <c r="A850" i="115" s="1"/>
  <c r="B851" i="115"/>
  <c r="A851" i="115" s="1"/>
  <c r="B852" i="115"/>
  <c r="A852" i="115" s="1"/>
  <c r="B853" i="115"/>
  <c r="A853" i="115" s="1"/>
  <c r="B854" i="115"/>
  <c r="A854" i="115" s="1"/>
  <c r="B855" i="115"/>
  <c r="A855" i="115" s="1"/>
  <c r="B856" i="115"/>
  <c r="A856" i="115" s="1"/>
  <c r="B857" i="115"/>
  <c r="A857" i="115" s="1"/>
  <c r="B858" i="115"/>
  <c r="A858" i="115" s="1"/>
  <c r="B859" i="115"/>
  <c r="A859" i="115" s="1"/>
  <c r="B860" i="115"/>
  <c r="A860" i="115" s="1"/>
  <c r="B861" i="115"/>
  <c r="A861" i="115" s="1"/>
  <c r="B862" i="115"/>
  <c r="A862" i="115" s="1"/>
  <c r="B863" i="115"/>
  <c r="A863" i="115" s="1"/>
  <c r="B864" i="115"/>
  <c r="A864" i="115" s="1"/>
  <c r="B865" i="115"/>
  <c r="A865" i="115" s="1"/>
  <c r="B866" i="115"/>
  <c r="A866" i="115" s="1"/>
  <c r="B867" i="115"/>
  <c r="A867" i="115" s="1"/>
  <c r="B868" i="115"/>
  <c r="A868" i="115" s="1"/>
  <c r="B869" i="115"/>
  <c r="A869" i="115" s="1"/>
  <c r="B870" i="115"/>
  <c r="A870" i="115" s="1"/>
  <c r="B871" i="115"/>
  <c r="A871" i="115" s="1"/>
  <c r="B872" i="115"/>
  <c r="A872" i="115" s="1"/>
  <c r="B873" i="115"/>
  <c r="A873" i="115" s="1"/>
  <c r="B874" i="115"/>
  <c r="A874" i="115" s="1"/>
  <c r="B875" i="115"/>
  <c r="A875" i="115" s="1"/>
  <c r="B876" i="115"/>
  <c r="A876" i="115" s="1"/>
  <c r="B877" i="115"/>
  <c r="A877" i="115" s="1"/>
  <c r="B878" i="115"/>
  <c r="A878" i="115" s="1"/>
  <c r="B879" i="115"/>
  <c r="A879" i="115" s="1"/>
  <c r="B880" i="115"/>
  <c r="A880" i="115" s="1"/>
  <c r="B881" i="115"/>
  <c r="A881" i="115" s="1"/>
  <c r="B882" i="115"/>
  <c r="A882" i="115" s="1"/>
  <c r="B883" i="115"/>
  <c r="A883" i="115" s="1"/>
  <c r="B884" i="115"/>
  <c r="A884" i="115" s="1"/>
  <c r="B885" i="115"/>
  <c r="A885" i="115" s="1"/>
  <c r="B886" i="115"/>
  <c r="A886" i="115" s="1"/>
  <c r="B887" i="115"/>
  <c r="A887" i="115" s="1"/>
  <c r="B888" i="115"/>
  <c r="A888" i="115" s="1"/>
  <c r="B889" i="115"/>
  <c r="A889" i="115" s="1"/>
  <c r="B890" i="115"/>
  <c r="A890" i="115" s="1"/>
  <c r="B891" i="115"/>
  <c r="A891" i="115" s="1"/>
  <c r="B892" i="115"/>
  <c r="A892" i="115" s="1"/>
  <c r="B893" i="115"/>
  <c r="A893" i="115" s="1"/>
  <c r="B894" i="115"/>
  <c r="A894" i="115" s="1"/>
  <c r="B895" i="115"/>
  <c r="A895" i="115" s="1"/>
  <c r="B896" i="115"/>
  <c r="A896" i="115" s="1"/>
  <c r="B897" i="115"/>
  <c r="A897" i="115" s="1"/>
  <c r="B898" i="115"/>
  <c r="A898" i="115" s="1"/>
  <c r="B899" i="115"/>
  <c r="A899" i="115" s="1"/>
  <c r="B900" i="115"/>
  <c r="A900" i="115" s="1"/>
  <c r="B901" i="115"/>
  <c r="A901" i="115" s="1"/>
  <c r="B902" i="115"/>
  <c r="A902" i="115" s="1"/>
  <c r="B903" i="115"/>
  <c r="A903" i="115" s="1"/>
  <c r="B904" i="115"/>
  <c r="A904" i="115" s="1"/>
  <c r="B905" i="115"/>
  <c r="A905" i="115" s="1"/>
  <c r="B906" i="115"/>
  <c r="A906" i="115" s="1"/>
  <c r="B907" i="115"/>
  <c r="A907" i="115" s="1"/>
  <c r="B908" i="115"/>
  <c r="A908" i="115" s="1"/>
  <c r="B909" i="115"/>
  <c r="A909" i="115" s="1"/>
  <c r="B910" i="115"/>
  <c r="A910" i="115" s="1"/>
  <c r="B911" i="115"/>
  <c r="A911" i="115" s="1"/>
  <c r="B912" i="115"/>
  <c r="A912" i="115" s="1"/>
  <c r="B913" i="115"/>
  <c r="A913" i="115" s="1"/>
  <c r="B914" i="115"/>
  <c r="A914" i="115" s="1"/>
  <c r="B915" i="115"/>
  <c r="A915" i="115" s="1"/>
  <c r="B916" i="115"/>
  <c r="A916" i="115" s="1"/>
  <c r="B917" i="115"/>
  <c r="A917" i="115" s="1"/>
  <c r="B918" i="115"/>
  <c r="A918" i="115" s="1"/>
  <c r="B919" i="115"/>
  <c r="A919" i="115" s="1"/>
  <c r="B920" i="115"/>
  <c r="A920" i="115" s="1"/>
  <c r="B921" i="115"/>
  <c r="A921" i="115" s="1"/>
  <c r="B922" i="115"/>
  <c r="A922" i="115" s="1"/>
  <c r="B923" i="115"/>
  <c r="A923" i="115" s="1"/>
  <c r="B924" i="115"/>
  <c r="A924" i="115" s="1"/>
  <c r="B925" i="115"/>
  <c r="A925" i="115" s="1"/>
  <c r="B926" i="115"/>
  <c r="A926" i="115" s="1"/>
  <c r="B927" i="115"/>
  <c r="A927" i="115" s="1"/>
  <c r="B928" i="115"/>
  <c r="A928" i="115" s="1"/>
  <c r="B929" i="115"/>
  <c r="A929" i="115" s="1"/>
  <c r="B930" i="115"/>
  <c r="A930" i="115" s="1"/>
  <c r="B931" i="115"/>
  <c r="A931" i="115" s="1"/>
  <c r="B932" i="115"/>
  <c r="A932" i="115" s="1"/>
  <c r="B933" i="115"/>
  <c r="A933" i="115" s="1"/>
  <c r="B934" i="115"/>
  <c r="A934" i="115" s="1"/>
  <c r="B935" i="115"/>
  <c r="A935" i="115" s="1"/>
  <c r="B936" i="115"/>
  <c r="A936" i="115" s="1"/>
  <c r="B937" i="115"/>
  <c r="A937" i="115" s="1"/>
  <c r="B938" i="115"/>
  <c r="A938" i="115" s="1"/>
  <c r="B939" i="115"/>
  <c r="A939" i="115" s="1"/>
  <c r="B940" i="115"/>
  <c r="A940" i="115" s="1"/>
  <c r="B941" i="115"/>
  <c r="A941" i="115" s="1"/>
  <c r="B942" i="115"/>
  <c r="A942" i="115" s="1"/>
  <c r="B943" i="115"/>
  <c r="A943" i="115" s="1"/>
  <c r="B944" i="115"/>
  <c r="A944" i="115" s="1"/>
  <c r="B945" i="115"/>
  <c r="A945" i="115" s="1"/>
  <c r="B946" i="115"/>
  <c r="A946" i="115" s="1"/>
  <c r="B947" i="115"/>
  <c r="A947" i="115" s="1"/>
  <c r="B948" i="115"/>
  <c r="A948" i="115" s="1"/>
  <c r="B949" i="115"/>
  <c r="A949" i="115" s="1"/>
  <c r="B950" i="115"/>
  <c r="A950" i="115" s="1"/>
  <c r="B951" i="115"/>
  <c r="A951" i="115" s="1"/>
  <c r="B952" i="115"/>
  <c r="A952" i="115" s="1"/>
  <c r="B953" i="115"/>
  <c r="A953" i="115" s="1"/>
  <c r="B954" i="115"/>
  <c r="A954" i="115" s="1"/>
  <c r="B955" i="115"/>
  <c r="A955" i="115" s="1"/>
  <c r="B956" i="115"/>
  <c r="A956" i="115" s="1"/>
  <c r="B957" i="115"/>
  <c r="A957" i="115" s="1"/>
  <c r="B958" i="115"/>
  <c r="A958" i="115" s="1"/>
  <c r="B959" i="115"/>
  <c r="A959" i="115" s="1"/>
  <c r="B960" i="115"/>
  <c r="A960" i="115" s="1"/>
  <c r="B961" i="115"/>
  <c r="A961" i="115" s="1"/>
  <c r="B962" i="115"/>
  <c r="A962" i="115" s="1"/>
  <c r="B963" i="115"/>
  <c r="A963" i="115" s="1"/>
  <c r="B964" i="115"/>
  <c r="A964" i="115" s="1"/>
  <c r="B965" i="115"/>
  <c r="A965" i="115" s="1"/>
  <c r="B966" i="115"/>
  <c r="A966" i="115" s="1"/>
  <c r="B967" i="115"/>
  <c r="A967" i="115" s="1"/>
  <c r="B968" i="115"/>
  <c r="A968" i="115" s="1"/>
  <c r="B969" i="115"/>
  <c r="A969" i="115" s="1"/>
  <c r="B970" i="115"/>
  <c r="A970" i="115" s="1"/>
  <c r="B971" i="115"/>
  <c r="A971" i="115" s="1"/>
  <c r="B972" i="115"/>
  <c r="A972" i="115" s="1"/>
  <c r="B973" i="115"/>
  <c r="A973" i="115" s="1"/>
  <c r="B974" i="115"/>
  <c r="A974" i="115" s="1"/>
  <c r="B975" i="115"/>
  <c r="A975" i="115" s="1"/>
  <c r="B976" i="115"/>
  <c r="A976" i="115" s="1"/>
  <c r="B977" i="115"/>
  <c r="A977" i="115" s="1"/>
  <c r="B978" i="115"/>
  <c r="A978" i="115" s="1"/>
  <c r="B979" i="115"/>
  <c r="A979" i="115" s="1"/>
  <c r="B980" i="115"/>
  <c r="A980" i="115" s="1"/>
  <c r="B981" i="115"/>
  <c r="A981" i="115" s="1"/>
  <c r="B982" i="115"/>
  <c r="A982" i="115" s="1"/>
  <c r="B983" i="115"/>
  <c r="A983" i="115" s="1"/>
  <c r="B984" i="115"/>
  <c r="A984" i="115" s="1"/>
  <c r="B985" i="115"/>
  <c r="A985" i="115" s="1"/>
  <c r="B986" i="115"/>
  <c r="A986" i="115" s="1"/>
  <c r="B987" i="115"/>
  <c r="A987" i="115" s="1"/>
  <c r="B988" i="115"/>
  <c r="A988" i="115" s="1"/>
  <c r="B989" i="115"/>
  <c r="A989" i="115" s="1"/>
  <c r="B990" i="115"/>
  <c r="A990" i="115" s="1"/>
  <c r="B991" i="115"/>
  <c r="A991" i="115" s="1"/>
  <c r="B992" i="115"/>
  <c r="A992" i="115" s="1"/>
  <c r="B993" i="115"/>
  <c r="A993" i="115" s="1"/>
  <c r="B994" i="115"/>
  <c r="A994" i="115" s="1"/>
  <c r="B995" i="115"/>
  <c r="A995" i="115" s="1"/>
  <c r="B996" i="115"/>
  <c r="A996" i="115" s="1"/>
  <c r="B997" i="115"/>
  <c r="A997" i="115" s="1"/>
  <c r="B998" i="115"/>
  <c r="A998" i="115" s="1"/>
  <c r="B999" i="115"/>
  <c r="A999" i="115" s="1"/>
  <c r="B1000" i="115"/>
  <c r="A1000" i="115" s="1"/>
  <c r="B1001" i="115"/>
  <c r="A1001" i="115" s="1"/>
  <c r="A32" i="115" l="1"/>
  <c r="A30" i="115"/>
  <c r="A36" i="115"/>
  <c r="G34" i="142"/>
  <c r="G70" i="142" s="1"/>
  <c r="G106" i="142" s="1"/>
  <c r="G34" i="141"/>
  <c r="G70" i="141" s="1"/>
  <c r="G106" i="141" s="1"/>
  <c r="A42" i="115"/>
  <c r="A41" i="115"/>
  <c r="G15" i="141"/>
  <c r="G51" i="141" s="1"/>
  <c r="G87" i="141" s="1"/>
  <c r="G15" i="142"/>
  <c r="G51" i="142" s="1"/>
  <c r="G87" i="142" s="1"/>
  <c r="G34" i="137"/>
  <c r="G70" i="137" s="1"/>
  <c r="G106" i="137" s="1"/>
  <c r="B18" i="134"/>
  <c r="B18" i="133"/>
  <c r="G15" i="137"/>
  <c r="G51" i="137" s="1"/>
  <c r="G87" i="137" s="1"/>
  <c r="B17" i="133"/>
  <c r="B17" i="134"/>
  <c r="A28" i="115"/>
  <c r="A38" i="115"/>
  <c r="A34" i="115"/>
  <c r="A39" i="115"/>
  <c r="A35" i="115"/>
  <c r="A31" i="115"/>
  <c r="A27" i="115"/>
  <c r="A37" i="115"/>
  <c r="A33" i="115"/>
  <c r="A29" i="115"/>
  <c r="B18" i="124"/>
  <c r="G34" i="130"/>
  <c r="G70" i="130" s="1"/>
  <c r="G106" i="130" s="1"/>
  <c r="G34" i="129"/>
  <c r="G70" i="129" s="1"/>
  <c r="G106" i="129" s="1"/>
  <c r="B18" i="126"/>
  <c r="G15" i="129"/>
  <c r="G51" i="129" s="1"/>
  <c r="G87" i="129" s="1"/>
  <c r="G15" i="130"/>
  <c r="G51" i="130" s="1"/>
  <c r="G87" i="130" s="1"/>
  <c r="B17" i="126"/>
  <c r="B17" i="124"/>
  <c r="B3" i="112"/>
  <c r="G103" i="12"/>
  <c r="G68" i="12"/>
  <c r="B3" i="115"/>
  <c r="A3" i="115" s="1"/>
  <c r="B4" i="115"/>
  <c r="A4" i="115" s="1"/>
  <c r="B5" i="115"/>
  <c r="A5" i="115" s="1"/>
  <c r="B6" i="115"/>
  <c r="A6" i="115" s="1"/>
  <c r="B7" i="115"/>
  <c r="A7" i="115" s="1"/>
  <c r="B8" i="115"/>
  <c r="A8" i="115" s="1"/>
  <c r="B9" i="115"/>
  <c r="A9" i="115" s="1"/>
  <c r="B10" i="115"/>
  <c r="A10" i="115" s="1"/>
  <c r="B11" i="115"/>
  <c r="A11" i="115" s="1"/>
  <c r="B12" i="115"/>
  <c r="A12" i="115" s="1"/>
  <c r="B13" i="115"/>
  <c r="A13" i="115" s="1"/>
  <c r="B14" i="115"/>
  <c r="A14" i="115" s="1"/>
  <c r="B15" i="115"/>
  <c r="A15" i="115" s="1"/>
  <c r="B16" i="115"/>
  <c r="A16" i="115" s="1"/>
  <c r="B17" i="115"/>
  <c r="A17" i="115" s="1"/>
  <c r="B18" i="115"/>
  <c r="A18" i="115" s="1"/>
  <c r="B19" i="115"/>
  <c r="A19" i="115" s="1"/>
  <c r="B20" i="115"/>
  <c r="A20" i="115" s="1"/>
  <c r="B21" i="115"/>
  <c r="A21" i="115" s="1"/>
  <c r="B22" i="115"/>
  <c r="A22" i="115" s="1"/>
  <c r="B23" i="115"/>
  <c r="A23" i="115" s="1"/>
  <c r="B24" i="115"/>
  <c r="A24" i="115" s="1"/>
  <c r="B25" i="115"/>
  <c r="A25" i="115" s="1"/>
  <c r="B26" i="115"/>
  <c r="A26" i="115" s="1"/>
  <c r="B2" i="115"/>
  <c r="A2" i="115" s="1"/>
  <c r="I24" i="115" l="1"/>
  <c r="J24" i="115" s="1"/>
  <c r="I519" i="115"/>
  <c r="J519" i="115" s="1"/>
  <c r="I247" i="115"/>
  <c r="J247" i="115" s="1"/>
  <c r="I661" i="115"/>
  <c r="J661" i="115" s="1"/>
  <c r="I500" i="115"/>
  <c r="J500" i="115" s="1"/>
  <c r="I710" i="115"/>
  <c r="J710" i="115" s="1"/>
  <c r="I849" i="115"/>
  <c r="J849" i="115" s="1"/>
  <c r="I923" i="115"/>
  <c r="J923" i="115" s="1"/>
  <c r="I310" i="115"/>
  <c r="J310" i="115" s="1"/>
  <c r="I896" i="115"/>
  <c r="J896" i="115" s="1"/>
  <c r="I4" i="115"/>
  <c r="J4" i="115" s="1"/>
  <c r="I735" i="115"/>
  <c r="J735" i="115" s="1"/>
  <c r="I223" i="115"/>
  <c r="J223" i="115" s="1"/>
  <c r="I854" i="115"/>
  <c r="J854" i="115" s="1"/>
  <c r="I430" i="115"/>
  <c r="J430" i="115" s="1"/>
  <c r="I174" i="115"/>
  <c r="J174" i="115" s="1"/>
  <c r="I893" i="115"/>
  <c r="J893" i="115" s="1"/>
  <c r="I764" i="115"/>
  <c r="J764" i="115" s="1"/>
  <c r="I381" i="115"/>
  <c r="J381" i="115" s="1"/>
  <c r="I996" i="115"/>
  <c r="J996" i="115" s="1"/>
  <c r="I868" i="115"/>
  <c r="J868" i="115" s="1"/>
  <c r="I460" i="115"/>
  <c r="J460" i="115" s="1"/>
  <c r="I76" i="115"/>
  <c r="J76" i="115" s="1"/>
  <c r="I611" i="115"/>
  <c r="J611" i="115" s="1"/>
  <c r="I419" i="115"/>
  <c r="J419" i="115" s="1"/>
  <c r="I227" i="115"/>
  <c r="J227" i="115" s="1"/>
  <c r="I35" i="115"/>
  <c r="J35" i="115" s="1"/>
  <c r="I610" i="115"/>
  <c r="J610" i="115" s="1"/>
  <c r="I418" i="115"/>
  <c r="J418" i="115" s="1"/>
  <c r="I226" i="115"/>
  <c r="J226" i="115" s="1"/>
  <c r="I34" i="115"/>
  <c r="J34" i="115" s="1"/>
  <c r="I609" i="115"/>
  <c r="J609" i="115" s="1"/>
  <c r="I417" i="115"/>
  <c r="J417" i="115" s="1"/>
  <c r="I289" i="115"/>
  <c r="J289" i="115" s="1"/>
  <c r="I97" i="115"/>
  <c r="J97" i="115" s="1"/>
  <c r="I656" i="115"/>
  <c r="J656" i="115" s="1"/>
  <c r="I464" i="115"/>
  <c r="J464" i="115" s="1"/>
  <c r="I272" i="115"/>
  <c r="J272" i="115" s="1"/>
  <c r="I144" i="115"/>
  <c r="J144" i="115" s="1"/>
  <c r="I883" i="115"/>
  <c r="J883" i="115" s="1"/>
  <c r="I971" i="115"/>
  <c r="J971" i="115" s="1"/>
  <c r="I342" i="115"/>
  <c r="J342" i="115" s="1"/>
  <c r="I872" i="115"/>
  <c r="J872" i="115" s="1"/>
  <c r="I978" i="115"/>
  <c r="J978" i="115" s="1"/>
  <c r="I166" i="115"/>
  <c r="J166" i="115" s="1"/>
  <c r="I389" i="115"/>
  <c r="J389" i="115" s="1"/>
  <c r="I2" i="115"/>
  <c r="J2" i="115" s="1"/>
  <c r="I437" i="115"/>
  <c r="J437" i="115" s="1"/>
  <c r="I484" i="115"/>
  <c r="J484" i="115" s="1"/>
  <c r="I871" i="115"/>
  <c r="J871" i="115" s="1"/>
  <c r="I463" i="115"/>
  <c r="J463" i="115" s="1"/>
  <c r="I974" i="115"/>
  <c r="J974" i="115" s="1"/>
  <c r="I670" i="115"/>
  <c r="J670" i="115" s="1"/>
  <c r="I286" i="115"/>
  <c r="J286" i="115" s="1"/>
  <c r="I885" i="115"/>
  <c r="J885" i="115" s="1"/>
  <c r="I493" i="115"/>
  <c r="J493" i="115" s="1"/>
  <c r="I988" i="115"/>
  <c r="J988" i="115" s="1"/>
  <c r="I700" i="115"/>
  <c r="J700" i="115" s="1"/>
  <c r="I188" i="115"/>
  <c r="J188" i="115" s="1"/>
  <c r="I603" i="115"/>
  <c r="J603" i="115" s="1"/>
  <c r="I347" i="115"/>
  <c r="J347" i="115" s="1"/>
  <c r="I91" i="115"/>
  <c r="J91" i="115" s="1"/>
  <c r="I602" i="115"/>
  <c r="J602" i="115" s="1"/>
  <c r="I346" i="115"/>
  <c r="J346" i="115" s="1"/>
  <c r="I90" i="115"/>
  <c r="J90" i="115" s="1"/>
  <c r="I601" i="115"/>
  <c r="J601" i="115" s="1"/>
  <c r="I345" i="115"/>
  <c r="J345" i="115" s="1"/>
  <c r="I89" i="115"/>
  <c r="J89" i="115" s="1"/>
  <c r="I648" i="115"/>
  <c r="J648" i="115" s="1"/>
  <c r="I392" i="115"/>
  <c r="J392" i="115" s="1"/>
  <c r="I72" i="115"/>
  <c r="J72" i="115" s="1"/>
  <c r="I711" i="115"/>
  <c r="J711" i="115" s="1"/>
  <c r="I599" i="115"/>
  <c r="J599" i="115" s="1"/>
  <c r="I905" i="115"/>
  <c r="J905" i="115" s="1"/>
  <c r="I692" i="115"/>
  <c r="J692" i="115" s="1"/>
  <c r="I834" i="115"/>
  <c r="J834" i="115" s="1"/>
  <c r="I945" i="115"/>
  <c r="J945" i="115" s="1"/>
  <c r="I101" i="115"/>
  <c r="J101" i="115" s="1"/>
  <c r="I662" i="115"/>
  <c r="J662" i="115" s="1"/>
  <c r="I992" i="115"/>
  <c r="J992" i="115" s="1"/>
  <c r="I196" i="115"/>
  <c r="J196" i="115" s="1"/>
  <c r="I799" i="115"/>
  <c r="J799" i="115" s="1"/>
  <c r="I319" i="115"/>
  <c r="J319" i="115" s="1"/>
  <c r="I902" i="115"/>
  <c r="J902" i="115" s="1"/>
  <c r="I526" i="115"/>
  <c r="J526" i="115" s="1"/>
  <c r="I142" i="115"/>
  <c r="J142" i="115" s="1"/>
  <c r="I941" i="115"/>
  <c r="J941" i="115" s="1"/>
  <c r="I733" i="115"/>
  <c r="J733" i="115" s="1"/>
  <c r="I221" i="115"/>
  <c r="J221" i="115" s="1"/>
  <c r="I916" i="115"/>
  <c r="J916" i="115" s="1"/>
  <c r="I556" i="115"/>
  <c r="J556" i="115" s="1"/>
  <c r="I172" i="115"/>
  <c r="J172" i="115" s="1"/>
  <c r="I659" i="115"/>
  <c r="J659" i="115" s="1"/>
  <c r="I467" i="115"/>
  <c r="J467" i="115" s="1"/>
  <c r="I275" i="115"/>
  <c r="J275" i="115" s="1"/>
  <c r="I83" i="115"/>
  <c r="J83" i="115" s="1"/>
  <c r="I658" i="115"/>
  <c r="J658" i="115" s="1"/>
  <c r="I466" i="115"/>
  <c r="J466" i="115" s="1"/>
  <c r="I274" i="115"/>
  <c r="J274" i="115" s="1"/>
  <c r="I82" i="115"/>
  <c r="J82" i="115" s="1"/>
  <c r="I657" i="115"/>
  <c r="J657" i="115" s="1"/>
  <c r="I465" i="115"/>
  <c r="J465" i="115" s="1"/>
  <c r="I273" i="115"/>
  <c r="J273" i="115" s="1"/>
  <c r="I17" i="115"/>
  <c r="J17" i="115" s="1"/>
  <c r="I576" i="115"/>
  <c r="J576" i="115" s="1"/>
  <c r="I384" i="115"/>
  <c r="J384" i="115" s="1"/>
  <c r="I256" i="115"/>
  <c r="J256" i="115" s="1"/>
  <c r="I64" i="115"/>
  <c r="J64" i="115" s="1"/>
  <c r="I679" i="115"/>
  <c r="J679" i="115" s="1"/>
  <c r="I567" i="115"/>
  <c r="J567" i="115" s="1"/>
  <c r="I873" i="115"/>
  <c r="J873" i="115" s="1"/>
  <c r="I660" i="115"/>
  <c r="J660" i="115" s="1"/>
  <c r="I818" i="115"/>
  <c r="J818" i="115" s="1"/>
  <c r="I929" i="115"/>
  <c r="J929" i="115" s="1"/>
  <c r="I69" i="115"/>
  <c r="J69" i="115" s="1"/>
  <c r="I598" i="115"/>
  <c r="J598" i="115" s="1"/>
  <c r="I976" i="115"/>
  <c r="J976" i="115" s="1"/>
  <c r="I164" i="115"/>
  <c r="J164" i="115" s="1"/>
  <c r="I791" i="115"/>
  <c r="J791" i="115" s="1"/>
  <c r="I303" i="115"/>
  <c r="J303" i="115" s="1"/>
  <c r="I894" i="115"/>
  <c r="J894" i="115" s="1"/>
  <c r="I382" i="115"/>
  <c r="J382" i="115" s="1"/>
  <c r="I205" i="115"/>
  <c r="J205" i="115" s="1"/>
  <c r="I963" i="115"/>
  <c r="J963" i="115" s="1"/>
  <c r="I835" i="115"/>
  <c r="J835" i="115" s="1"/>
  <c r="I647" i="115"/>
  <c r="J647" i="115" s="1"/>
  <c r="I391" i="115"/>
  <c r="J391" i="115" s="1"/>
  <c r="I135" i="115"/>
  <c r="J135" i="115" s="1"/>
  <c r="I875" i="115"/>
  <c r="J875" i="115" s="1"/>
  <c r="I503" i="115"/>
  <c r="J503" i="115" s="1"/>
  <c r="I986" i="115"/>
  <c r="J986" i="115" s="1"/>
  <c r="I694" i="115"/>
  <c r="J694" i="115" s="1"/>
  <c r="I150" i="115"/>
  <c r="J150" i="115" s="1"/>
  <c r="I841" i="115"/>
  <c r="J841" i="115" s="1"/>
  <c r="I405" i="115"/>
  <c r="J405" i="115" s="1"/>
  <c r="I968" i="115"/>
  <c r="J968" i="115" s="1"/>
  <c r="I824" i="115"/>
  <c r="J824" i="115" s="1"/>
  <c r="I628" i="115"/>
  <c r="J628" i="115" s="1"/>
  <c r="I372" i="115"/>
  <c r="J372" i="115" s="1"/>
  <c r="I116" i="115"/>
  <c r="J116" i="115" s="1"/>
  <c r="I930" i="115"/>
  <c r="J930" i="115" s="1"/>
  <c r="I802" i="115"/>
  <c r="J802" i="115" s="1"/>
  <c r="I582" i="115"/>
  <c r="J582" i="115" s="1"/>
  <c r="I326" i="115"/>
  <c r="J326" i="115" s="1"/>
  <c r="I70" i="115"/>
  <c r="J70" i="115" s="1"/>
  <c r="I913" i="115"/>
  <c r="J913" i="115" s="1"/>
  <c r="I785" i="115"/>
  <c r="J785" i="115" s="1"/>
  <c r="I549" i="115"/>
  <c r="J549" i="115" s="1"/>
  <c r="I293" i="115"/>
  <c r="J293" i="115" s="1"/>
  <c r="I37" i="115"/>
  <c r="J37" i="115" s="1"/>
  <c r="I795" i="115"/>
  <c r="J795" i="115" s="1"/>
  <c r="I279" i="115"/>
  <c r="J279" i="115" s="1"/>
  <c r="I906" i="115"/>
  <c r="J906" i="115" s="1"/>
  <c r="I566" i="115"/>
  <c r="J566" i="115" s="1"/>
  <c r="I22" i="115"/>
  <c r="J22" i="115" s="1"/>
  <c r="I757" i="115"/>
  <c r="J757" i="115" s="1"/>
  <c r="I245" i="115"/>
  <c r="J245" i="115" s="1"/>
  <c r="I960" i="115"/>
  <c r="J960" i="115" s="1"/>
  <c r="I832" i="115"/>
  <c r="J832" i="115" s="1"/>
  <c r="I644" i="115"/>
  <c r="J644" i="115" s="1"/>
  <c r="I388" i="115"/>
  <c r="J388" i="115" s="1"/>
  <c r="I132" i="115"/>
  <c r="J132" i="115" s="1"/>
  <c r="I975" i="115"/>
  <c r="J975" i="115" s="1"/>
  <c r="I911" i="115"/>
  <c r="J911" i="115" s="1"/>
  <c r="I847" i="115"/>
  <c r="J847" i="115" s="1"/>
  <c r="I783" i="115"/>
  <c r="J783" i="115" s="1"/>
  <c r="I671" i="115"/>
  <c r="J671" i="115" s="1"/>
  <c r="I543" i="115"/>
  <c r="J543" i="115" s="1"/>
  <c r="I415" i="115"/>
  <c r="J415" i="115" s="1"/>
  <c r="I287" i="115"/>
  <c r="J287" i="115" s="1"/>
  <c r="I159" i="115"/>
  <c r="J159" i="115" s="1"/>
  <c r="I31" i="115"/>
  <c r="J31" i="115" s="1"/>
  <c r="I950" i="115"/>
  <c r="J950" i="115" s="1"/>
  <c r="I886" i="115"/>
  <c r="J886" i="115" s="1"/>
  <c r="I822" i="115"/>
  <c r="J822" i="115" s="1"/>
  <c r="I750" i="115"/>
  <c r="J750" i="115" s="1"/>
  <c r="I622" i="115"/>
  <c r="J622" i="115" s="1"/>
  <c r="I494" i="115"/>
  <c r="J494" i="115" s="1"/>
  <c r="I366" i="115"/>
  <c r="J366" i="115" s="1"/>
  <c r="I238" i="115"/>
  <c r="J238" i="115" s="1"/>
  <c r="I110" i="115"/>
  <c r="J110" i="115" s="1"/>
  <c r="I989" i="115"/>
  <c r="J989" i="115" s="1"/>
  <c r="I925" i="115"/>
  <c r="J925" i="115" s="1"/>
  <c r="I861" i="115"/>
  <c r="J861" i="115" s="1"/>
  <c r="I797" i="115"/>
  <c r="J797" i="115" s="1"/>
  <c r="I701" i="115"/>
  <c r="J701" i="115" s="1"/>
  <c r="I573" i="115"/>
  <c r="J573" i="115" s="1"/>
  <c r="I445" i="115"/>
  <c r="J445" i="115" s="1"/>
  <c r="I317" i="115"/>
  <c r="J317" i="115" s="1"/>
  <c r="I189" i="115"/>
  <c r="J189" i="115" s="1"/>
  <c r="I61" i="115"/>
  <c r="J61" i="115" s="1"/>
  <c r="I964" i="115"/>
  <c r="J964" i="115" s="1"/>
  <c r="I900" i="115"/>
  <c r="J900" i="115" s="1"/>
  <c r="I836" i="115"/>
  <c r="J836" i="115" s="1"/>
  <c r="I772" i="115"/>
  <c r="J772" i="115" s="1"/>
  <c r="I652" i="115"/>
  <c r="J652" i="115" s="1"/>
  <c r="I524" i="115"/>
  <c r="J524" i="115" s="1"/>
  <c r="I396" i="115"/>
  <c r="J396" i="115" s="1"/>
  <c r="I268" i="115"/>
  <c r="J268" i="115" s="1"/>
  <c r="I140" i="115"/>
  <c r="J140" i="115" s="1"/>
  <c r="I12" i="115"/>
  <c r="J12" i="115" s="1"/>
  <c r="I707" i="115"/>
  <c r="J707" i="115" s="1"/>
  <c r="I643" i="115"/>
  <c r="J643" i="115" s="1"/>
  <c r="I579" i="115"/>
  <c r="J579" i="115" s="1"/>
  <c r="I515" i="115"/>
  <c r="J515" i="115" s="1"/>
  <c r="I451" i="115"/>
  <c r="J451" i="115" s="1"/>
  <c r="I387" i="115"/>
  <c r="J387" i="115" s="1"/>
  <c r="I323" i="115"/>
  <c r="J323" i="115" s="1"/>
  <c r="I259" i="115"/>
  <c r="J259" i="115" s="1"/>
  <c r="I195" i="115"/>
  <c r="J195" i="115" s="1"/>
  <c r="I131" i="115"/>
  <c r="J131" i="115" s="1"/>
  <c r="I67" i="115"/>
  <c r="J67" i="115" s="1"/>
  <c r="I3" i="115"/>
  <c r="J3" i="115" s="1"/>
  <c r="I706" i="115"/>
  <c r="J706" i="115" s="1"/>
  <c r="I642" i="115"/>
  <c r="J642" i="115" s="1"/>
  <c r="I578" i="115"/>
  <c r="J578" i="115" s="1"/>
  <c r="I514" i="115"/>
  <c r="J514" i="115" s="1"/>
  <c r="I450" i="115"/>
  <c r="J450" i="115" s="1"/>
  <c r="I386" i="115"/>
  <c r="J386" i="115" s="1"/>
  <c r="I322" i="115"/>
  <c r="J322" i="115" s="1"/>
  <c r="I258" i="115"/>
  <c r="J258" i="115" s="1"/>
  <c r="I194" i="115"/>
  <c r="J194" i="115" s="1"/>
  <c r="I130" i="115"/>
  <c r="J130" i="115" s="1"/>
  <c r="I66" i="115"/>
  <c r="J66" i="115" s="1"/>
  <c r="I769" i="115"/>
  <c r="J769" i="115" s="1"/>
  <c r="I705" i="115"/>
  <c r="J705" i="115" s="1"/>
  <c r="I641" i="115"/>
  <c r="J641" i="115" s="1"/>
  <c r="I577" i="115"/>
  <c r="J577" i="115" s="1"/>
  <c r="I513" i="115"/>
  <c r="J513" i="115" s="1"/>
  <c r="I449" i="115"/>
  <c r="J449" i="115" s="1"/>
  <c r="I385" i="115"/>
  <c r="J385" i="115" s="1"/>
  <c r="I321" i="115"/>
  <c r="J321" i="115" s="1"/>
  <c r="I257" i="115"/>
  <c r="J257" i="115" s="1"/>
  <c r="I193" i="115"/>
  <c r="J193" i="115" s="1"/>
  <c r="I129" i="115"/>
  <c r="J129" i="115" s="1"/>
  <c r="I65" i="115"/>
  <c r="J65" i="115" s="1"/>
  <c r="I752" i="115"/>
  <c r="J752" i="115" s="1"/>
  <c r="I688" i="115"/>
  <c r="J688" i="115" s="1"/>
  <c r="I624" i="115"/>
  <c r="J624" i="115" s="1"/>
  <c r="I560" i="115"/>
  <c r="J560" i="115" s="1"/>
  <c r="I496" i="115"/>
  <c r="J496" i="115" s="1"/>
  <c r="I432" i="115"/>
  <c r="J432" i="115" s="1"/>
  <c r="I368" i="115"/>
  <c r="J368" i="115" s="1"/>
  <c r="I304" i="115"/>
  <c r="J304" i="115" s="1"/>
  <c r="I240" i="115"/>
  <c r="J240" i="115" s="1"/>
  <c r="I176" i="115"/>
  <c r="J176" i="115" s="1"/>
  <c r="I112" i="115"/>
  <c r="J112" i="115" s="1"/>
  <c r="I48" i="115"/>
  <c r="J48" i="115" s="1"/>
  <c r="I899" i="115"/>
  <c r="J899" i="115" s="1"/>
  <c r="I7" i="115"/>
  <c r="J7" i="115" s="1"/>
  <c r="I858" i="115"/>
  <c r="J858" i="115" s="1"/>
  <c r="I149" i="115"/>
  <c r="J149" i="115" s="1"/>
  <c r="I244" i="115"/>
  <c r="J244" i="115" s="1"/>
  <c r="I454" i="115"/>
  <c r="J454" i="115" s="1"/>
  <c r="I677" i="115"/>
  <c r="J677" i="115" s="1"/>
  <c r="I535" i="115"/>
  <c r="J535" i="115" s="1"/>
  <c r="I889" i="115"/>
  <c r="J889" i="115" s="1"/>
  <c r="I767" i="115"/>
  <c r="J767" i="115" s="1"/>
  <c r="I943" i="115"/>
  <c r="J943" i="115" s="1"/>
  <c r="I607" i="115"/>
  <c r="J607" i="115" s="1"/>
  <c r="I95" i="115"/>
  <c r="J95" i="115" s="1"/>
  <c r="I686" i="115"/>
  <c r="J686" i="115" s="1"/>
  <c r="I716" i="115"/>
  <c r="J716" i="115" s="1"/>
  <c r="I487" i="115"/>
  <c r="J487" i="115" s="1"/>
  <c r="I183" i="115"/>
  <c r="J183" i="115" s="1"/>
  <c r="I597" i="115"/>
  <c r="J597" i="115" s="1"/>
  <c r="I468" i="115"/>
  <c r="J468" i="115" s="1"/>
  <c r="I850" i="115"/>
  <c r="J850" i="115" s="1"/>
  <c r="I961" i="115"/>
  <c r="J961" i="115" s="1"/>
  <c r="I133" i="115"/>
  <c r="J133" i="115" s="1"/>
  <c r="I726" i="115"/>
  <c r="J726" i="115" s="1"/>
  <c r="I920" i="115"/>
  <c r="J920" i="115" s="1"/>
  <c r="I228" i="115"/>
  <c r="J228" i="115" s="1"/>
  <c r="I807" i="115"/>
  <c r="J807" i="115" s="1"/>
  <c r="I335" i="115"/>
  <c r="J335" i="115" s="1"/>
  <c r="I910" i="115"/>
  <c r="J910" i="115" s="1"/>
  <c r="I542" i="115"/>
  <c r="J542" i="115" s="1"/>
  <c r="I30" i="115"/>
  <c r="J30" i="115" s="1"/>
  <c r="I749" i="115"/>
  <c r="J749" i="115" s="1"/>
  <c r="I237" i="115"/>
  <c r="J237" i="115" s="1"/>
  <c r="I860" i="115"/>
  <c r="J860" i="115" s="1"/>
  <c r="I444" i="115"/>
  <c r="J444" i="115" s="1"/>
  <c r="I731" i="115"/>
  <c r="J731" i="115" s="1"/>
  <c r="I475" i="115"/>
  <c r="J475" i="115" s="1"/>
  <c r="I219" i="115"/>
  <c r="J219" i="115" s="1"/>
  <c r="I730" i="115"/>
  <c r="J730" i="115" s="1"/>
  <c r="I474" i="115"/>
  <c r="J474" i="115" s="1"/>
  <c r="I218" i="115"/>
  <c r="J218" i="115" s="1"/>
  <c r="I729" i="115"/>
  <c r="J729" i="115" s="1"/>
  <c r="I473" i="115"/>
  <c r="J473" i="115" s="1"/>
  <c r="I217" i="115"/>
  <c r="J217" i="115" s="1"/>
  <c r="I712" i="115"/>
  <c r="J712" i="115" s="1"/>
  <c r="I456" i="115"/>
  <c r="J456" i="115" s="1"/>
  <c r="I264" i="115"/>
  <c r="J264" i="115" s="1"/>
  <c r="I8" i="115"/>
  <c r="J8" i="115" s="1"/>
  <c r="I455" i="115"/>
  <c r="J455" i="115" s="1"/>
  <c r="I119" i="115"/>
  <c r="J119" i="115" s="1"/>
  <c r="I533" i="115"/>
  <c r="J533" i="115" s="1"/>
  <c r="I436" i="115"/>
  <c r="J436" i="115" s="1"/>
  <c r="I646" i="115"/>
  <c r="J646" i="115" s="1"/>
  <c r="I817" i="115"/>
  <c r="J817" i="115" s="1"/>
  <c r="I859" i="115"/>
  <c r="J859" i="115" s="1"/>
  <c r="I182" i="115"/>
  <c r="J182" i="115" s="1"/>
  <c r="I864" i="115"/>
  <c r="J864" i="115" s="1"/>
  <c r="I991" i="115"/>
  <c r="J991" i="115" s="1"/>
  <c r="I703" i="115"/>
  <c r="J703" i="115" s="1"/>
  <c r="I191" i="115"/>
  <c r="J191" i="115" s="1"/>
  <c r="I838" i="115"/>
  <c r="J838" i="115" s="1"/>
  <c r="I398" i="115"/>
  <c r="J398" i="115" s="1"/>
  <c r="I14" i="115"/>
  <c r="J14" i="115" s="1"/>
  <c r="I813" i="115"/>
  <c r="J813" i="115" s="1"/>
  <c r="I605" i="115"/>
  <c r="J605" i="115" s="1"/>
  <c r="I93" i="115"/>
  <c r="J93" i="115" s="1"/>
  <c r="I788" i="115"/>
  <c r="J788" i="115" s="1"/>
  <c r="I428" i="115"/>
  <c r="J428" i="115" s="1"/>
  <c r="I44" i="115"/>
  <c r="J44" i="115" s="1"/>
  <c r="I595" i="115"/>
  <c r="J595" i="115" s="1"/>
  <c r="I403" i="115"/>
  <c r="J403" i="115" s="1"/>
  <c r="I211" i="115"/>
  <c r="J211" i="115" s="1"/>
  <c r="I19" i="115"/>
  <c r="J19" i="115" s="1"/>
  <c r="I594" i="115"/>
  <c r="J594" i="115" s="1"/>
  <c r="I402" i="115"/>
  <c r="J402" i="115" s="1"/>
  <c r="I210" i="115"/>
  <c r="J210" i="115" s="1"/>
  <c r="I18" i="115"/>
  <c r="J18" i="115" s="1"/>
  <c r="I593" i="115"/>
  <c r="J593" i="115" s="1"/>
  <c r="I337" i="115"/>
  <c r="J337" i="115" s="1"/>
  <c r="I145" i="115"/>
  <c r="J145" i="115" s="1"/>
  <c r="I704" i="115"/>
  <c r="J704" i="115" s="1"/>
  <c r="I512" i="115"/>
  <c r="J512" i="115" s="1"/>
  <c r="I320" i="115"/>
  <c r="J320" i="115" s="1"/>
  <c r="I128" i="115"/>
  <c r="J128" i="115" s="1"/>
  <c r="I851" i="115"/>
  <c r="J851" i="115" s="1"/>
  <c r="I907" i="115"/>
  <c r="J907" i="115" s="1"/>
  <c r="I214" i="115"/>
  <c r="J214" i="115" s="1"/>
  <c r="I840" i="115"/>
  <c r="J840" i="115" s="1"/>
  <c r="I946" i="115"/>
  <c r="J946" i="115" s="1"/>
  <c r="I102" i="115"/>
  <c r="J102" i="115" s="1"/>
  <c r="I325" i="115"/>
  <c r="J325" i="115" s="1"/>
  <c r="I938" i="115"/>
  <c r="J938" i="115" s="1"/>
  <c r="I309" i="115"/>
  <c r="J309" i="115" s="1"/>
  <c r="I420" i="115"/>
  <c r="J420" i="115" s="1"/>
  <c r="I855" i="115"/>
  <c r="J855" i="115" s="1"/>
  <c r="I431" i="115"/>
  <c r="J431" i="115" s="1"/>
  <c r="I958" i="115"/>
  <c r="J958" i="115" s="1"/>
  <c r="I638" i="115"/>
  <c r="J638" i="115" s="1"/>
  <c r="I126" i="115"/>
  <c r="J126" i="115" s="1"/>
  <c r="I717" i="115"/>
  <c r="J717" i="115" s="1"/>
  <c r="I333" i="115"/>
  <c r="J333" i="115" s="1"/>
  <c r="I908" i="115"/>
  <c r="J908" i="115" s="1"/>
  <c r="I668" i="115"/>
  <c r="J668" i="115" s="1"/>
  <c r="I284" i="115"/>
  <c r="J284" i="115" s="1"/>
  <c r="I715" i="115"/>
  <c r="J715" i="115" s="1"/>
  <c r="I523" i="115"/>
  <c r="J523" i="115" s="1"/>
  <c r="I331" i="115"/>
  <c r="J331" i="115" s="1"/>
  <c r="I139" i="115"/>
  <c r="J139" i="115" s="1"/>
  <c r="I714" i="115"/>
  <c r="J714" i="115" s="1"/>
  <c r="I522" i="115"/>
  <c r="J522" i="115" s="1"/>
  <c r="I330" i="115"/>
  <c r="J330" i="115" s="1"/>
  <c r="I138" i="115"/>
  <c r="J138" i="115" s="1"/>
  <c r="I713" i="115"/>
  <c r="J713" i="115" s="1"/>
  <c r="I585" i="115"/>
  <c r="J585" i="115" s="1"/>
  <c r="I393" i="115"/>
  <c r="J393" i="115" s="1"/>
  <c r="I265" i="115"/>
  <c r="J265" i="115" s="1"/>
  <c r="I73" i="115"/>
  <c r="J73" i="115" s="1"/>
  <c r="I696" i="115"/>
  <c r="J696" i="115" s="1"/>
  <c r="I632" i="115"/>
  <c r="J632" i="115" s="1"/>
  <c r="I568" i="115"/>
  <c r="J568" i="115" s="1"/>
  <c r="I504" i="115"/>
  <c r="J504" i="115" s="1"/>
  <c r="I440" i="115"/>
  <c r="J440" i="115" s="1"/>
  <c r="I376" i="115"/>
  <c r="J376" i="115" s="1"/>
  <c r="I312" i="115"/>
  <c r="J312" i="115" s="1"/>
  <c r="I248" i="115"/>
  <c r="J248" i="115" s="1"/>
  <c r="I56" i="115"/>
  <c r="J56" i="115" s="1"/>
  <c r="I947" i="115"/>
  <c r="J947" i="115" s="1"/>
  <c r="I819" i="115"/>
  <c r="J819" i="115" s="1"/>
  <c r="I615" i="115"/>
  <c r="J615" i="115" s="1"/>
  <c r="I359" i="115"/>
  <c r="J359" i="115" s="1"/>
  <c r="I103" i="115"/>
  <c r="J103" i="115" s="1"/>
  <c r="I843" i="115"/>
  <c r="J843" i="115" s="1"/>
  <c r="I439" i="115"/>
  <c r="J439" i="115" s="1"/>
  <c r="I954" i="115"/>
  <c r="J954" i="115" s="1"/>
  <c r="I630" i="115"/>
  <c r="J630" i="115" s="1"/>
  <c r="I86" i="115"/>
  <c r="J86" i="115" s="1"/>
  <c r="I809" i="115"/>
  <c r="J809" i="115" s="1"/>
  <c r="I341" i="115"/>
  <c r="J341" i="115" s="1"/>
  <c r="I952" i="115"/>
  <c r="J952" i="115" s="1"/>
  <c r="I808" i="115"/>
  <c r="J808" i="115" s="1"/>
  <c r="I596" i="115"/>
  <c r="J596" i="115" s="1"/>
  <c r="I340" i="115"/>
  <c r="J340" i="115" s="1"/>
  <c r="I84" i="115"/>
  <c r="J84" i="115" s="1"/>
  <c r="I914" i="115"/>
  <c r="J914" i="115" s="1"/>
  <c r="I786" i="115"/>
  <c r="J786" i="115" s="1"/>
  <c r="I550" i="115"/>
  <c r="J550" i="115" s="1"/>
  <c r="I294" i="115"/>
  <c r="J294" i="115" s="1"/>
  <c r="I38" i="115"/>
  <c r="J38" i="115" s="1"/>
  <c r="I897" i="115"/>
  <c r="J897" i="115" s="1"/>
  <c r="I768" i="115"/>
  <c r="J768" i="115" s="1"/>
  <c r="I517" i="115"/>
  <c r="J517" i="115" s="1"/>
  <c r="I261" i="115"/>
  <c r="J261" i="115" s="1"/>
  <c r="I5" i="115"/>
  <c r="J5" i="115" s="1"/>
  <c r="I759" i="115"/>
  <c r="J759" i="115" s="1"/>
  <c r="I215" i="115"/>
  <c r="J215" i="115" s="1"/>
  <c r="I874" i="115"/>
  <c r="J874" i="115" s="1"/>
  <c r="I502" i="115"/>
  <c r="J502" i="115" s="1"/>
  <c r="I985" i="115"/>
  <c r="J985" i="115" s="1"/>
  <c r="I693" i="115"/>
  <c r="J693" i="115" s="1"/>
  <c r="I181" i="115"/>
  <c r="J181" i="115" s="1"/>
  <c r="I944" i="115"/>
  <c r="J944" i="115" s="1"/>
  <c r="I816" i="115"/>
  <c r="J816" i="115" s="1"/>
  <c r="I612" i="115"/>
  <c r="J612" i="115" s="1"/>
  <c r="I356" i="115"/>
  <c r="J356" i="115" s="1"/>
  <c r="I100" i="115"/>
  <c r="J100" i="115" s="1"/>
  <c r="I967" i="115"/>
  <c r="J967" i="115" s="1"/>
  <c r="I903" i="115"/>
  <c r="J903" i="115" s="1"/>
  <c r="I839" i="115"/>
  <c r="J839" i="115" s="1"/>
  <c r="I775" i="115"/>
  <c r="J775" i="115" s="1"/>
  <c r="I655" i="115"/>
  <c r="J655" i="115" s="1"/>
  <c r="I527" i="115"/>
  <c r="J527" i="115" s="1"/>
  <c r="I399" i="115"/>
  <c r="J399" i="115" s="1"/>
  <c r="I271" i="115"/>
  <c r="J271" i="115" s="1"/>
  <c r="I143" i="115"/>
  <c r="J143" i="115" s="1"/>
  <c r="I15" i="115"/>
  <c r="J15" i="115" s="1"/>
  <c r="I942" i="115"/>
  <c r="J942" i="115" s="1"/>
  <c r="I878" i="115"/>
  <c r="J878" i="115" s="1"/>
  <c r="I814" i="115"/>
  <c r="J814" i="115" s="1"/>
  <c r="I734" i="115"/>
  <c r="J734" i="115" s="1"/>
  <c r="I606" i="115"/>
  <c r="J606" i="115" s="1"/>
  <c r="I478" i="115"/>
  <c r="J478" i="115" s="1"/>
  <c r="I350" i="115"/>
  <c r="J350" i="115" s="1"/>
  <c r="I222" i="115"/>
  <c r="J222" i="115" s="1"/>
  <c r="I94" i="115"/>
  <c r="J94" i="115" s="1"/>
  <c r="I981" i="115"/>
  <c r="J981" i="115" s="1"/>
  <c r="I917" i="115"/>
  <c r="J917" i="115" s="1"/>
  <c r="I853" i="115"/>
  <c r="J853" i="115" s="1"/>
  <c r="I789" i="115"/>
  <c r="J789" i="115" s="1"/>
  <c r="I685" i="115"/>
  <c r="J685" i="115" s="1"/>
  <c r="I557" i="115"/>
  <c r="J557" i="115" s="1"/>
  <c r="I429" i="115"/>
  <c r="J429" i="115" s="1"/>
  <c r="I301" i="115"/>
  <c r="J301" i="115" s="1"/>
  <c r="I173" i="115"/>
  <c r="J173" i="115" s="1"/>
  <c r="I45" i="115"/>
  <c r="J45" i="115" s="1"/>
  <c r="I956" i="115"/>
  <c r="J956" i="115" s="1"/>
  <c r="I892" i="115"/>
  <c r="J892" i="115" s="1"/>
  <c r="I828" i="115"/>
  <c r="J828" i="115" s="1"/>
  <c r="I760" i="115"/>
  <c r="J760" i="115" s="1"/>
  <c r="I636" i="115"/>
  <c r="J636" i="115" s="1"/>
  <c r="I508" i="115"/>
  <c r="J508" i="115" s="1"/>
  <c r="I380" i="115"/>
  <c r="J380" i="115" s="1"/>
  <c r="I252" i="115"/>
  <c r="J252" i="115" s="1"/>
  <c r="I124" i="115"/>
  <c r="J124" i="115" s="1"/>
  <c r="I763" i="115"/>
  <c r="J763" i="115" s="1"/>
  <c r="I699" i="115"/>
  <c r="J699" i="115" s="1"/>
  <c r="I635" i="115"/>
  <c r="J635" i="115" s="1"/>
  <c r="I571" i="115"/>
  <c r="J571" i="115" s="1"/>
  <c r="I507" i="115"/>
  <c r="J507" i="115" s="1"/>
  <c r="I443" i="115"/>
  <c r="J443" i="115" s="1"/>
  <c r="I379" i="115"/>
  <c r="J379" i="115" s="1"/>
  <c r="I315" i="115"/>
  <c r="J315" i="115" s="1"/>
  <c r="I251" i="115"/>
  <c r="J251" i="115" s="1"/>
  <c r="I187" i="115"/>
  <c r="J187" i="115" s="1"/>
  <c r="I123" i="115"/>
  <c r="J123" i="115" s="1"/>
  <c r="I59" i="115"/>
  <c r="J59" i="115" s="1"/>
  <c r="I762" i="115"/>
  <c r="J762" i="115" s="1"/>
  <c r="I698" i="115"/>
  <c r="J698" i="115" s="1"/>
  <c r="I634" i="115"/>
  <c r="J634" i="115" s="1"/>
  <c r="I570" i="115"/>
  <c r="J570" i="115" s="1"/>
  <c r="I506" i="115"/>
  <c r="J506" i="115" s="1"/>
  <c r="I442" i="115"/>
  <c r="J442" i="115" s="1"/>
  <c r="I378" i="115"/>
  <c r="J378" i="115" s="1"/>
  <c r="I314" i="115"/>
  <c r="J314" i="115" s="1"/>
  <c r="I250" i="115"/>
  <c r="J250" i="115" s="1"/>
  <c r="I186" i="115"/>
  <c r="J186" i="115" s="1"/>
  <c r="I122" i="115"/>
  <c r="J122" i="115" s="1"/>
  <c r="I58" i="115"/>
  <c r="J58" i="115" s="1"/>
  <c r="I761" i="115"/>
  <c r="J761" i="115" s="1"/>
  <c r="I697" i="115"/>
  <c r="J697" i="115" s="1"/>
  <c r="I633" i="115"/>
  <c r="J633" i="115" s="1"/>
  <c r="I569" i="115"/>
  <c r="J569" i="115" s="1"/>
  <c r="I505" i="115"/>
  <c r="J505" i="115" s="1"/>
  <c r="I441" i="115"/>
  <c r="J441" i="115" s="1"/>
  <c r="I377" i="115"/>
  <c r="J377" i="115" s="1"/>
  <c r="I313" i="115"/>
  <c r="J313" i="115" s="1"/>
  <c r="I249" i="115"/>
  <c r="J249" i="115" s="1"/>
  <c r="I185" i="115"/>
  <c r="J185" i="115" s="1"/>
  <c r="I121" i="115"/>
  <c r="J121" i="115" s="1"/>
  <c r="I57" i="115"/>
  <c r="J57" i="115" s="1"/>
  <c r="I744" i="115"/>
  <c r="J744" i="115" s="1"/>
  <c r="I680" i="115"/>
  <c r="J680" i="115" s="1"/>
  <c r="I616" i="115"/>
  <c r="J616" i="115" s="1"/>
  <c r="I552" i="115"/>
  <c r="J552" i="115" s="1"/>
  <c r="I488" i="115"/>
  <c r="J488" i="115" s="1"/>
  <c r="I424" i="115"/>
  <c r="J424" i="115" s="1"/>
  <c r="I360" i="115"/>
  <c r="J360" i="115" s="1"/>
  <c r="I296" i="115"/>
  <c r="J296" i="115" s="1"/>
  <c r="I232" i="115"/>
  <c r="J232" i="115" s="1"/>
  <c r="I168" i="115"/>
  <c r="J168" i="115" s="1"/>
  <c r="I104" i="115"/>
  <c r="J104" i="115" s="1"/>
  <c r="I40" i="115"/>
  <c r="J40" i="115" s="1"/>
  <c r="I771" i="115"/>
  <c r="J771" i="115" s="1"/>
  <c r="I727" i="115"/>
  <c r="J727" i="115" s="1"/>
  <c r="I969" i="115"/>
  <c r="J969" i="115" s="1"/>
  <c r="I756" i="115"/>
  <c r="J756" i="115" s="1"/>
  <c r="I866" i="115"/>
  <c r="J866" i="115" s="1"/>
  <c r="I977" i="115"/>
  <c r="J977" i="115" s="1"/>
  <c r="I165" i="115"/>
  <c r="J165" i="115" s="1"/>
  <c r="I778" i="115"/>
  <c r="J778" i="115" s="1"/>
  <c r="I1000" i="115"/>
  <c r="J1000" i="115" s="1"/>
  <c r="I260" i="115"/>
  <c r="J260" i="115" s="1"/>
  <c r="I815" i="115"/>
  <c r="J815" i="115" s="1"/>
  <c r="I351" i="115"/>
  <c r="J351" i="115" s="1"/>
  <c r="I918" i="115"/>
  <c r="J918" i="115" s="1"/>
  <c r="I558" i="115"/>
  <c r="J558" i="115" s="1"/>
  <c r="I46" i="115"/>
  <c r="J46" i="115" s="1"/>
  <c r="I829" i="115"/>
  <c r="J829" i="115" s="1"/>
  <c r="I509" i="115"/>
  <c r="J509" i="115" s="1"/>
  <c r="I125" i="115"/>
  <c r="J125" i="115" s="1"/>
  <c r="I804" i="115"/>
  <c r="J804" i="115" s="1"/>
  <c r="I332" i="115"/>
  <c r="J332" i="115" s="1"/>
  <c r="I739" i="115"/>
  <c r="J739" i="115" s="1"/>
  <c r="I547" i="115"/>
  <c r="J547" i="115" s="1"/>
  <c r="I355" i="115"/>
  <c r="J355" i="115" s="1"/>
  <c r="I163" i="115"/>
  <c r="J163" i="115" s="1"/>
  <c r="I738" i="115"/>
  <c r="J738" i="115" s="1"/>
  <c r="I546" i="115"/>
  <c r="J546" i="115" s="1"/>
  <c r="I354" i="115"/>
  <c r="J354" i="115" s="1"/>
  <c r="I162" i="115"/>
  <c r="J162" i="115" s="1"/>
  <c r="I737" i="115"/>
  <c r="J737" i="115" s="1"/>
  <c r="I545" i="115"/>
  <c r="J545" i="115" s="1"/>
  <c r="I353" i="115"/>
  <c r="J353" i="115" s="1"/>
  <c r="I161" i="115"/>
  <c r="J161" i="115" s="1"/>
  <c r="I720" i="115"/>
  <c r="J720" i="115" s="1"/>
  <c r="I528" i="115"/>
  <c r="J528" i="115" s="1"/>
  <c r="I336" i="115"/>
  <c r="J336" i="115" s="1"/>
  <c r="I208" i="115"/>
  <c r="J208" i="115" s="1"/>
  <c r="I80" i="115"/>
  <c r="J80" i="115" s="1"/>
  <c r="I231" i="115"/>
  <c r="J231" i="115" s="1"/>
  <c r="I826" i="115"/>
  <c r="J826" i="115" s="1"/>
  <c r="I85" i="115"/>
  <c r="J85" i="115" s="1"/>
  <c r="I212" i="115"/>
  <c r="J212" i="115" s="1"/>
  <c r="I422" i="115"/>
  <c r="J422" i="115" s="1"/>
  <c r="I645" i="115"/>
  <c r="J645" i="115" s="1"/>
  <c r="I471" i="115"/>
  <c r="J471" i="115" s="1"/>
  <c r="I857" i="115"/>
  <c r="J857" i="115" s="1"/>
  <c r="I740" i="115"/>
  <c r="J740" i="115" s="1"/>
  <c r="I935" i="115"/>
  <c r="J935" i="115" s="1"/>
  <c r="I591" i="115"/>
  <c r="J591" i="115" s="1"/>
  <c r="I79" i="115"/>
  <c r="J79" i="115" s="1"/>
  <c r="I782" i="115"/>
  <c r="J782" i="115" s="1"/>
  <c r="I158" i="115"/>
  <c r="J158" i="115" s="1"/>
  <c r="I821" i="115"/>
  <c r="J821" i="115" s="1"/>
  <c r="I365" i="115"/>
  <c r="J365" i="115" s="1"/>
  <c r="I924" i="115"/>
  <c r="J924" i="115" s="1"/>
  <c r="I572" i="115"/>
  <c r="J572" i="115" s="1"/>
  <c r="I60" i="115"/>
  <c r="J60" i="115" s="1"/>
  <c r="I539" i="115"/>
  <c r="J539" i="115" s="1"/>
  <c r="I283" i="115"/>
  <c r="J283" i="115" s="1"/>
  <c r="I27" i="115"/>
  <c r="J27" i="115" s="1"/>
  <c r="I538" i="115"/>
  <c r="J538" i="115" s="1"/>
  <c r="I282" i="115"/>
  <c r="J282" i="115" s="1"/>
  <c r="I26" i="115"/>
  <c r="J26" i="115" s="1"/>
  <c r="I537" i="115"/>
  <c r="J537" i="115" s="1"/>
  <c r="I281" i="115"/>
  <c r="J281" i="115" s="1"/>
  <c r="I25" i="115"/>
  <c r="J25" i="115" s="1"/>
  <c r="I520" i="115"/>
  <c r="J520" i="115" s="1"/>
  <c r="I328" i="115"/>
  <c r="J328" i="115" s="1"/>
  <c r="I136" i="115"/>
  <c r="J136" i="115" s="1"/>
  <c r="I867" i="115"/>
  <c r="J867" i="115" s="1"/>
  <c r="I939" i="115"/>
  <c r="J939" i="115" s="1"/>
  <c r="I278" i="115"/>
  <c r="J278" i="115" s="1"/>
  <c r="I856" i="115"/>
  <c r="J856" i="115" s="1"/>
  <c r="I962" i="115"/>
  <c r="J962" i="115" s="1"/>
  <c r="I134" i="115"/>
  <c r="J134" i="115" s="1"/>
  <c r="I357" i="115"/>
  <c r="J357" i="115" s="1"/>
  <c r="I970" i="115"/>
  <c r="J970" i="115" s="1"/>
  <c r="I373" i="115"/>
  <c r="J373" i="115" s="1"/>
  <c r="I452" i="115"/>
  <c r="J452" i="115" s="1"/>
  <c r="I863" i="115"/>
  <c r="J863" i="115" s="1"/>
  <c r="I447" i="115"/>
  <c r="J447" i="115" s="1"/>
  <c r="I966" i="115"/>
  <c r="J966" i="115" s="1"/>
  <c r="I654" i="115"/>
  <c r="J654" i="115" s="1"/>
  <c r="I349" i="115"/>
  <c r="J349" i="115" s="1"/>
  <c r="I423" i="115"/>
  <c r="J423" i="115" s="1"/>
  <c r="I55" i="115"/>
  <c r="J55" i="115" s="1"/>
  <c r="I469" i="115"/>
  <c r="J469" i="115" s="1"/>
  <c r="I404" i="115"/>
  <c r="J404" i="115" s="1"/>
  <c r="I614" i="115"/>
  <c r="J614" i="115" s="1"/>
  <c r="I801" i="115"/>
  <c r="J801" i="115" s="1"/>
  <c r="I827" i="115"/>
  <c r="J827" i="115" s="1"/>
  <c r="I118" i="115"/>
  <c r="J118" i="115" s="1"/>
  <c r="I848" i="115"/>
  <c r="J848" i="115" s="1"/>
  <c r="I983" i="115"/>
  <c r="J983" i="115" s="1"/>
  <c r="I687" i="115"/>
  <c r="J687" i="115" s="1"/>
  <c r="I175" i="115"/>
  <c r="J175" i="115" s="1"/>
  <c r="I830" i="115"/>
  <c r="J830" i="115" s="1"/>
  <c r="I510" i="115"/>
  <c r="J510" i="115" s="1"/>
  <c r="I997" i="115"/>
  <c r="J997" i="115" s="1"/>
  <c r="I869" i="115"/>
  <c r="J869" i="115" s="1"/>
  <c r="I589" i="115"/>
  <c r="J589" i="115" s="1"/>
  <c r="I972" i="115"/>
  <c r="J972" i="115" s="1"/>
  <c r="I780" i="115"/>
  <c r="J780" i="115" s="1"/>
  <c r="I412" i="115"/>
  <c r="J412" i="115" s="1"/>
  <c r="I28" i="115"/>
  <c r="J28" i="115" s="1"/>
  <c r="I587" i="115"/>
  <c r="J587" i="115" s="1"/>
  <c r="I395" i="115"/>
  <c r="J395" i="115" s="1"/>
  <c r="I203" i="115"/>
  <c r="J203" i="115" s="1"/>
  <c r="I11" i="115"/>
  <c r="J11" i="115" s="1"/>
  <c r="I586" i="115"/>
  <c r="J586" i="115" s="1"/>
  <c r="I394" i="115"/>
  <c r="J394" i="115" s="1"/>
  <c r="I202" i="115"/>
  <c r="J202" i="115" s="1"/>
  <c r="I10" i="115"/>
  <c r="J10" i="115" s="1"/>
  <c r="I521" i="115"/>
  <c r="J521" i="115" s="1"/>
  <c r="I329" i="115"/>
  <c r="J329" i="115" s="1"/>
  <c r="I201" i="115"/>
  <c r="J201" i="115" s="1"/>
  <c r="I9" i="115"/>
  <c r="J9" i="115" s="1"/>
  <c r="I120" i="115"/>
  <c r="J120" i="115" s="1"/>
  <c r="I931" i="115"/>
  <c r="J931" i="115" s="1"/>
  <c r="I803" i="115"/>
  <c r="J803" i="115" s="1"/>
  <c r="I583" i="115"/>
  <c r="J583" i="115" s="1"/>
  <c r="I327" i="115"/>
  <c r="J327" i="115" s="1"/>
  <c r="I71" i="115"/>
  <c r="J71" i="115" s="1"/>
  <c r="I811" i="115"/>
  <c r="J811" i="115" s="1"/>
  <c r="I375" i="115"/>
  <c r="J375" i="115" s="1"/>
  <c r="I922" i="115"/>
  <c r="J922" i="115" s="1"/>
  <c r="I534" i="115"/>
  <c r="J534" i="115" s="1"/>
  <c r="I54" i="115"/>
  <c r="J54" i="115" s="1"/>
  <c r="I777" i="115"/>
  <c r="J777" i="115" s="1"/>
  <c r="I277" i="115"/>
  <c r="J277" i="115" s="1"/>
  <c r="I936" i="115"/>
  <c r="J936" i="115" s="1"/>
  <c r="I792" i="115"/>
  <c r="J792" i="115" s="1"/>
  <c r="I564" i="115"/>
  <c r="J564" i="115" s="1"/>
  <c r="I308" i="115"/>
  <c r="J308" i="115" s="1"/>
  <c r="I52" i="115"/>
  <c r="J52" i="115" s="1"/>
  <c r="I898" i="115"/>
  <c r="J898" i="115" s="1"/>
  <c r="I770" i="115"/>
  <c r="J770" i="115" s="1"/>
  <c r="I518" i="115"/>
  <c r="J518" i="115" s="1"/>
  <c r="I262" i="115"/>
  <c r="J262" i="115" s="1"/>
  <c r="I6" i="115"/>
  <c r="J6" i="115" s="1"/>
  <c r="I881" i="115"/>
  <c r="J881" i="115" s="1"/>
  <c r="I741" i="115"/>
  <c r="J741" i="115" s="1"/>
  <c r="I485" i="115"/>
  <c r="J485" i="115" s="1"/>
  <c r="I229" i="115"/>
  <c r="J229" i="115" s="1"/>
  <c r="I987" i="115"/>
  <c r="J987" i="115" s="1"/>
  <c r="I695" i="115"/>
  <c r="J695" i="115" s="1"/>
  <c r="I151" i="115"/>
  <c r="J151" i="115" s="1"/>
  <c r="I842" i="115"/>
  <c r="J842" i="115" s="1"/>
  <c r="I438" i="115"/>
  <c r="J438" i="115" s="1"/>
  <c r="I953" i="115"/>
  <c r="J953" i="115" s="1"/>
  <c r="I629" i="115"/>
  <c r="J629" i="115" s="1"/>
  <c r="I117" i="115"/>
  <c r="J117" i="115" s="1"/>
  <c r="I928" i="115"/>
  <c r="J928" i="115" s="1"/>
  <c r="I800" i="115"/>
  <c r="J800" i="115" s="1"/>
  <c r="I580" i="115"/>
  <c r="J580" i="115" s="1"/>
  <c r="I324" i="115"/>
  <c r="J324" i="115" s="1"/>
  <c r="I68" i="115"/>
  <c r="J68" i="115" s="1"/>
  <c r="I959" i="115"/>
  <c r="J959" i="115" s="1"/>
  <c r="I895" i="115"/>
  <c r="J895" i="115" s="1"/>
  <c r="I831" i="115"/>
  <c r="J831" i="115" s="1"/>
  <c r="I766" i="115"/>
  <c r="J766" i="115" s="1"/>
  <c r="I639" i="115"/>
  <c r="J639" i="115" s="1"/>
  <c r="I511" i="115"/>
  <c r="J511" i="115" s="1"/>
  <c r="I383" i="115"/>
  <c r="J383" i="115" s="1"/>
  <c r="I255" i="115"/>
  <c r="J255" i="115" s="1"/>
  <c r="I127" i="115"/>
  <c r="J127" i="115" s="1"/>
  <c r="I998" i="115"/>
  <c r="J998" i="115" s="1"/>
  <c r="I934" i="115"/>
  <c r="J934" i="115" s="1"/>
  <c r="I870" i="115"/>
  <c r="J870" i="115" s="1"/>
  <c r="I806" i="115"/>
  <c r="J806" i="115" s="1"/>
  <c r="I718" i="115"/>
  <c r="J718" i="115" s="1"/>
  <c r="I590" i="115"/>
  <c r="J590" i="115" s="1"/>
  <c r="I462" i="115"/>
  <c r="J462" i="115" s="1"/>
  <c r="I334" i="115"/>
  <c r="J334" i="115" s="1"/>
  <c r="I206" i="115"/>
  <c r="J206" i="115" s="1"/>
  <c r="I78" i="115"/>
  <c r="J78" i="115" s="1"/>
  <c r="I973" i="115"/>
  <c r="J973" i="115" s="1"/>
  <c r="I909" i="115"/>
  <c r="J909" i="115" s="1"/>
  <c r="I845" i="115"/>
  <c r="J845" i="115" s="1"/>
  <c r="I781" i="115"/>
  <c r="J781" i="115" s="1"/>
  <c r="I669" i="115"/>
  <c r="J669" i="115" s="1"/>
  <c r="I541" i="115"/>
  <c r="J541" i="115" s="1"/>
  <c r="I413" i="115"/>
  <c r="J413" i="115" s="1"/>
  <c r="I285" i="115"/>
  <c r="J285" i="115" s="1"/>
  <c r="I157" i="115"/>
  <c r="J157" i="115" s="1"/>
  <c r="I29" i="115"/>
  <c r="J29" i="115" s="1"/>
  <c r="I948" i="115"/>
  <c r="J948" i="115" s="1"/>
  <c r="I884" i="115"/>
  <c r="J884" i="115" s="1"/>
  <c r="I820" i="115"/>
  <c r="J820" i="115" s="1"/>
  <c r="I748" i="115"/>
  <c r="J748" i="115" s="1"/>
  <c r="I620" i="115"/>
  <c r="J620" i="115" s="1"/>
  <c r="I492" i="115"/>
  <c r="J492" i="115" s="1"/>
  <c r="I364" i="115"/>
  <c r="J364" i="115" s="1"/>
  <c r="I236" i="115"/>
  <c r="J236" i="115" s="1"/>
  <c r="I108" i="115"/>
  <c r="J108" i="115" s="1"/>
  <c r="I755" i="115"/>
  <c r="J755" i="115" s="1"/>
  <c r="I691" i="115"/>
  <c r="J691" i="115" s="1"/>
  <c r="I627" i="115"/>
  <c r="J627" i="115" s="1"/>
  <c r="I563" i="115"/>
  <c r="J563" i="115" s="1"/>
  <c r="I499" i="115"/>
  <c r="J499" i="115" s="1"/>
  <c r="I435" i="115"/>
  <c r="J435" i="115" s="1"/>
  <c r="I371" i="115"/>
  <c r="J371" i="115" s="1"/>
  <c r="I307" i="115"/>
  <c r="J307" i="115" s="1"/>
  <c r="I243" i="115"/>
  <c r="J243" i="115" s="1"/>
  <c r="I179" i="115"/>
  <c r="J179" i="115" s="1"/>
  <c r="I115" i="115"/>
  <c r="J115" i="115" s="1"/>
  <c r="I51" i="115"/>
  <c r="J51" i="115" s="1"/>
  <c r="I754" i="115"/>
  <c r="J754" i="115" s="1"/>
  <c r="I690" i="115"/>
  <c r="J690" i="115" s="1"/>
  <c r="I626" i="115"/>
  <c r="J626" i="115" s="1"/>
  <c r="I562" i="115"/>
  <c r="J562" i="115" s="1"/>
  <c r="I498" i="115"/>
  <c r="J498" i="115" s="1"/>
  <c r="I434" i="115"/>
  <c r="J434" i="115" s="1"/>
  <c r="I370" i="115"/>
  <c r="J370" i="115" s="1"/>
  <c r="I306" i="115"/>
  <c r="J306" i="115" s="1"/>
  <c r="I242" i="115"/>
  <c r="J242" i="115" s="1"/>
  <c r="I178" i="115"/>
  <c r="J178" i="115" s="1"/>
  <c r="I114" i="115"/>
  <c r="J114" i="115" s="1"/>
  <c r="I50" i="115"/>
  <c r="J50" i="115" s="1"/>
  <c r="I753" i="115"/>
  <c r="J753" i="115" s="1"/>
  <c r="I689" i="115"/>
  <c r="J689" i="115" s="1"/>
  <c r="I625" i="115"/>
  <c r="J625" i="115" s="1"/>
  <c r="I561" i="115"/>
  <c r="J561" i="115" s="1"/>
  <c r="I497" i="115"/>
  <c r="J497" i="115" s="1"/>
  <c r="I433" i="115"/>
  <c r="J433" i="115" s="1"/>
  <c r="I369" i="115"/>
  <c r="J369" i="115" s="1"/>
  <c r="I305" i="115"/>
  <c r="J305" i="115" s="1"/>
  <c r="I241" i="115"/>
  <c r="J241" i="115" s="1"/>
  <c r="I177" i="115"/>
  <c r="J177" i="115" s="1"/>
  <c r="I113" i="115"/>
  <c r="J113" i="115" s="1"/>
  <c r="I49" i="115"/>
  <c r="J49" i="115" s="1"/>
  <c r="I736" i="115"/>
  <c r="J736" i="115" s="1"/>
  <c r="I672" i="115"/>
  <c r="J672" i="115" s="1"/>
  <c r="I608" i="115"/>
  <c r="J608" i="115" s="1"/>
  <c r="I544" i="115"/>
  <c r="J544" i="115" s="1"/>
  <c r="I480" i="115"/>
  <c r="J480" i="115" s="1"/>
  <c r="I416" i="115"/>
  <c r="J416" i="115" s="1"/>
  <c r="I352" i="115"/>
  <c r="J352" i="115" s="1"/>
  <c r="I288" i="115"/>
  <c r="J288" i="115" s="1"/>
  <c r="I224" i="115"/>
  <c r="J224" i="115" s="1"/>
  <c r="I160" i="115"/>
  <c r="J160" i="115" s="1"/>
  <c r="I96" i="115"/>
  <c r="J96" i="115" s="1"/>
  <c r="I32" i="115"/>
  <c r="J32" i="115" s="1"/>
  <c r="I263" i="115"/>
  <c r="J263" i="115" s="1"/>
  <c r="I406" i="115"/>
  <c r="J406" i="115" s="1"/>
  <c r="I888" i="115"/>
  <c r="J888" i="115" s="1"/>
  <c r="I994" i="115"/>
  <c r="J994" i="115" s="1"/>
  <c r="I198" i="115"/>
  <c r="J198" i="115" s="1"/>
  <c r="I421" i="115"/>
  <c r="J421" i="115" s="1"/>
  <c r="I23" i="115"/>
  <c r="J23" i="115" s="1"/>
  <c r="I501" i="115"/>
  <c r="J501" i="115" s="1"/>
  <c r="I516" i="115"/>
  <c r="J516" i="115" s="1"/>
  <c r="I879" i="115"/>
  <c r="J879" i="115" s="1"/>
  <c r="I479" i="115"/>
  <c r="J479" i="115" s="1"/>
  <c r="I982" i="115"/>
  <c r="J982" i="115" s="1"/>
  <c r="I790" i="115"/>
  <c r="J790" i="115" s="1"/>
  <c r="I302" i="115"/>
  <c r="J302" i="115" s="1"/>
  <c r="I957" i="115"/>
  <c r="J957" i="115" s="1"/>
  <c r="I637" i="115"/>
  <c r="J637" i="115" s="1"/>
  <c r="I253" i="115"/>
  <c r="J253" i="115" s="1"/>
  <c r="I932" i="115"/>
  <c r="J932" i="115" s="1"/>
  <c r="I588" i="115"/>
  <c r="J588" i="115" s="1"/>
  <c r="I204" i="115"/>
  <c r="J204" i="115" s="1"/>
  <c r="I675" i="115"/>
  <c r="J675" i="115" s="1"/>
  <c r="I483" i="115"/>
  <c r="J483" i="115" s="1"/>
  <c r="I291" i="115"/>
  <c r="J291" i="115" s="1"/>
  <c r="I99" i="115"/>
  <c r="J99" i="115" s="1"/>
  <c r="I674" i="115"/>
  <c r="J674" i="115" s="1"/>
  <c r="I482" i="115"/>
  <c r="J482" i="115" s="1"/>
  <c r="I290" i="115"/>
  <c r="J290" i="115" s="1"/>
  <c r="I98" i="115"/>
  <c r="J98" i="115" s="1"/>
  <c r="I673" i="115"/>
  <c r="J673" i="115" s="1"/>
  <c r="I481" i="115"/>
  <c r="J481" i="115" s="1"/>
  <c r="I225" i="115"/>
  <c r="J225" i="115" s="1"/>
  <c r="I33" i="115"/>
  <c r="J33" i="115" s="1"/>
  <c r="I592" i="115"/>
  <c r="J592" i="115" s="1"/>
  <c r="I400" i="115"/>
  <c r="J400" i="115" s="1"/>
  <c r="I16" i="115"/>
  <c r="J16" i="115" s="1"/>
  <c r="I743" i="115"/>
  <c r="J743" i="115" s="1"/>
  <c r="I663" i="115"/>
  <c r="J663" i="115" s="1"/>
  <c r="I937" i="115"/>
  <c r="J937" i="115" s="1"/>
  <c r="I724" i="115"/>
  <c r="J724" i="115" s="1"/>
  <c r="I678" i="115"/>
  <c r="J678" i="115" s="1"/>
  <c r="I833" i="115"/>
  <c r="J833" i="115" s="1"/>
  <c r="I891" i="115"/>
  <c r="J891" i="115" s="1"/>
  <c r="I246" i="115"/>
  <c r="J246" i="115" s="1"/>
  <c r="I880" i="115"/>
  <c r="J880" i="115" s="1"/>
  <c r="I999" i="115"/>
  <c r="J999" i="115" s="1"/>
  <c r="I719" i="115"/>
  <c r="J719" i="115" s="1"/>
  <c r="I207" i="115"/>
  <c r="J207" i="115" s="1"/>
  <c r="I846" i="115"/>
  <c r="J846" i="115" s="1"/>
  <c r="I414" i="115"/>
  <c r="J414" i="115" s="1"/>
  <c r="I949" i="115"/>
  <c r="J949" i="115" s="1"/>
  <c r="I621" i="115"/>
  <c r="J621" i="115" s="1"/>
  <c r="I109" i="115"/>
  <c r="J109" i="115" s="1"/>
  <c r="I796" i="115"/>
  <c r="J796" i="115" s="1"/>
  <c r="I316" i="115"/>
  <c r="J316" i="115" s="1"/>
  <c r="I667" i="115"/>
  <c r="J667" i="115" s="1"/>
  <c r="I411" i="115"/>
  <c r="J411" i="115" s="1"/>
  <c r="I155" i="115"/>
  <c r="J155" i="115" s="1"/>
  <c r="I666" i="115"/>
  <c r="J666" i="115" s="1"/>
  <c r="I410" i="115"/>
  <c r="J410" i="115" s="1"/>
  <c r="I154" i="115"/>
  <c r="J154" i="115" s="1"/>
  <c r="I665" i="115"/>
  <c r="J665" i="115" s="1"/>
  <c r="I409" i="115"/>
  <c r="J409" i="115" s="1"/>
  <c r="I153" i="115"/>
  <c r="J153" i="115" s="1"/>
  <c r="I584" i="115"/>
  <c r="J584" i="115" s="1"/>
  <c r="I200" i="115"/>
  <c r="J200" i="115" s="1"/>
  <c r="I995" i="115"/>
  <c r="J995" i="115" s="1"/>
  <c r="I199" i="115"/>
  <c r="J199" i="115" s="1"/>
  <c r="I794" i="115"/>
  <c r="J794" i="115" s="1"/>
  <c r="I53" i="115"/>
  <c r="J53" i="115" s="1"/>
  <c r="I180" i="115"/>
  <c r="J180" i="115" s="1"/>
  <c r="I390" i="115"/>
  <c r="J390" i="115" s="1"/>
  <c r="I613" i="115"/>
  <c r="J613" i="115" s="1"/>
  <c r="I407" i="115"/>
  <c r="J407" i="115" s="1"/>
  <c r="I825" i="115"/>
  <c r="J825" i="115" s="1"/>
  <c r="I708" i="115"/>
  <c r="J708" i="115" s="1"/>
  <c r="I927" i="115"/>
  <c r="J927" i="115" s="1"/>
  <c r="I575" i="115"/>
  <c r="J575" i="115" s="1"/>
  <c r="I63" i="115"/>
  <c r="J63" i="115" s="1"/>
  <c r="I774" i="115"/>
  <c r="J774" i="115" s="1"/>
  <c r="I270" i="115"/>
  <c r="J270" i="115" s="1"/>
  <c r="I877" i="115"/>
  <c r="J877" i="115" s="1"/>
  <c r="I477" i="115"/>
  <c r="J477" i="115" s="1"/>
  <c r="I980" i="115"/>
  <c r="J980" i="115" s="1"/>
  <c r="I852" i="115"/>
  <c r="J852" i="115" s="1"/>
  <c r="I684" i="115"/>
  <c r="J684" i="115" s="1"/>
  <c r="I300" i="115"/>
  <c r="J300" i="115" s="1"/>
  <c r="I723" i="115"/>
  <c r="J723" i="115" s="1"/>
  <c r="I531" i="115"/>
  <c r="J531" i="115" s="1"/>
  <c r="I339" i="115"/>
  <c r="J339" i="115" s="1"/>
  <c r="I147" i="115"/>
  <c r="J147" i="115" s="1"/>
  <c r="I722" i="115"/>
  <c r="J722" i="115" s="1"/>
  <c r="I530" i="115"/>
  <c r="J530" i="115" s="1"/>
  <c r="I338" i="115"/>
  <c r="J338" i="115" s="1"/>
  <c r="I146" i="115"/>
  <c r="J146" i="115" s="1"/>
  <c r="I721" i="115"/>
  <c r="J721" i="115" s="1"/>
  <c r="I529" i="115"/>
  <c r="J529" i="115" s="1"/>
  <c r="I401" i="115"/>
  <c r="J401" i="115" s="1"/>
  <c r="I209" i="115"/>
  <c r="J209" i="115" s="1"/>
  <c r="I81" i="115"/>
  <c r="J81" i="115" s="1"/>
  <c r="I640" i="115"/>
  <c r="J640" i="115" s="1"/>
  <c r="I448" i="115"/>
  <c r="J448" i="115" s="1"/>
  <c r="I192" i="115"/>
  <c r="J192" i="115" s="1"/>
  <c r="I979" i="115"/>
  <c r="J979" i="115" s="1"/>
  <c r="I167" i="115"/>
  <c r="J167" i="115" s="1"/>
  <c r="I758" i="115"/>
  <c r="J758" i="115" s="1"/>
  <c r="I984" i="115"/>
  <c r="J984" i="115" s="1"/>
  <c r="I148" i="115"/>
  <c r="J148" i="115" s="1"/>
  <c r="I358" i="115"/>
  <c r="J358" i="115" s="1"/>
  <c r="I581" i="115"/>
  <c r="J581" i="115" s="1"/>
  <c r="I343" i="115"/>
  <c r="J343" i="115" s="1"/>
  <c r="I793" i="115"/>
  <c r="J793" i="115" s="1"/>
  <c r="I676" i="115"/>
  <c r="J676" i="115" s="1"/>
  <c r="I919" i="115"/>
  <c r="J919" i="115" s="1"/>
  <c r="I559" i="115"/>
  <c r="J559" i="115" s="1"/>
  <c r="I47" i="115"/>
  <c r="J47" i="115" s="1"/>
  <c r="I765" i="115"/>
  <c r="J765" i="115" s="1"/>
  <c r="I254" i="115"/>
  <c r="J254" i="115" s="1"/>
  <c r="I933" i="115"/>
  <c r="J933" i="115" s="1"/>
  <c r="I805" i="115"/>
  <c r="J805" i="115" s="1"/>
  <c r="I461" i="115"/>
  <c r="J461" i="115" s="1"/>
  <c r="I77" i="115"/>
  <c r="J77" i="115" s="1"/>
  <c r="I844" i="115"/>
  <c r="J844" i="115" s="1"/>
  <c r="I540" i="115"/>
  <c r="J540" i="115" s="1"/>
  <c r="I156" i="115"/>
  <c r="J156" i="115" s="1"/>
  <c r="I651" i="115"/>
  <c r="J651" i="115" s="1"/>
  <c r="I459" i="115"/>
  <c r="J459" i="115" s="1"/>
  <c r="I267" i="115"/>
  <c r="J267" i="115" s="1"/>
  <c r="I75" i="115"/>
  <c r="J75" i="115" s="1"/>
  <c r="I650" i="115"/>
  <c r="J650" i="115" s="1"/>
  <c r="I458" i="115"/>
  <c r="J458" i="115" s="1"/>
  <c r="I266" i="115"/>
  <c r="J266" i="115" s="1"/>
  <c r="I74" i="115"/>
  <c r="J74" i="115" s="1"/>
  <c r="I649" i="115"/>
  <c r="J649" i="115" s="1"/>
  <c r="I457" i="115"/>
  <c r="J457" i="115" s="1"/>
  <c r="I137" i="115"/>
  <c r="J137" i="115" s="1"/>
  <c r="I184" i="115"/>
  <c r="J184" i="115" s="1"/>
  <c r="I915" i="115"/>
  <c r="J915" i="115" s="1"/>
  <c r="I787" i="115"/>
  <c r="J787" i="115" s="1"/>
  <c r="I551" i="115"/>
  <c r="J551" i="115" s="1"/>
  <c r="I295" i="115"/>
  <c r="J295" i="115" s="1"/>
  <c r="I39" i="115"/>
  <c r="J39" i="115" s="1"/>
  <c r="I779" i="115"/>
  <c r="J779" i="115" s="1"/>
  <c r="I311" i="115"/>
  <c r="J311" i="115" s="1"/>
  <c r="I890" i="115"/>
  <c r="J890" i="115" s="1"/>
  <c r="I470" i="115"/>
  <c r="J470" i="115" s="1"/>
  <c r="I1001" i="115"/>
  <c r="J1001" i="115" s="1"/>
  <c r="I725" i="115"/>
  <c r="J725" i="115" s="1"/>
  <c r="I213" i="115"/>
  <c r="J213" i="115" s="1"/>
  <c r="I904" i="115"/>
  <c r="J904" i="115" s="1"/>
  <c r="I776" i="115"/>
  <c r="J776" i="115" s="1"/>
  <c r="I532" i="115"/>
  <c r="J532" i="115" s="1"/>
  <c r="I276" i="115"/>
  <c r="J276" i="115" s="1"/>
  <c r="I20" i="115"/>
  <c r="J20" i="115" s="1"/>
  <c r="I882" i="115"/>
  <c r="J882" i="115" s="1"/>
  <c r="I742" i="115"/>
  <c r="J742" i="115" s="1"/>
  <c r="I486" i="115"/>
  <c r="J486" i="115" s="1"/>
  <c r="I230" i="115"/>
  <c r="J230" i="115" s="1"/>
  <c r="I993" i="115"/>
  <c r="J993" i="115" s="1"/>
  <c r="I865" i="115"/>
  <c r="J865" i="115" s="1"/>
  <c r="I709" i="115"/>
  <c r="J709" i="115" s="1"/>
  <c r="I453" i="115"/>
  <c r="J453" i="115" s="1"/>
  <c r="I197" i="115"/>
  <c r="J197" i="115" s="1"/>
  <c r="I955" i="115"/>
  <c r="J955" i="115" s="1"/>
  <c r="I631" i="115"/>
  <c r="J631" i="115" s="1"/>
  <c r="I87" i="115"/>
  <c r="J87" i="115" s="1"/>
  <c r="I810" i="115"/>
  <c r="J810" i="115" s="1"/>
  <c r="I374" i="115"/>
  <c r="J374" i="115" s="1"/>
  <c r="I921" i="115"/>
  <c r="J921" i="115" s="1"/>
  <c r="I565" i="115"/>
  <c r="J565" i="115" s="1"/>
  <c r="I21" i="115"/>
  <c r="J21" i="115" s="1"/>
  <c r="I912" i="115"/>
  <c r="J912" i="115" s="1"/>
  <c r="I784" i="115"/>
  <c r="J784" i="115" s="1"/>
  <c r="I548" i="115"/>
  <c r="J548" i="115" s="1"/>
  <c r="I292" i="115"/>
  <c r="J292" i="115" s="1"/>
  <c r="I36" i="115"/>
  <c r="J36" i="115" s="1"/>
  <c r="I951" i="115"/>
  <c r="J951" i="115" s="1"/>
  <c r="I887" i="115"/>
  <c r="J887" i="115" s="1"/>
  <c r="I823" i="115"/>
  <c r="J823" i="115" s="1"/>
  <c r="I751" i="115"/>
  <c r="J751" i="115" s="1"/>
  <c r="I623" i="115"/>
  <c r="J623" i="115" s="1"/>
  <c r="I495" i="115"/>
  <c r="J495" i="115" s="1"/>
  <c r="I367" i="115"/>
  <c r="J367" i="115" s="1"/>
  <c r="I239" i="115"/>
  <c r="J239" i="115" s="1"/>
  <c r="I111" i="115"/>
  <c r="J111" i="115" s="1"/>
  <c r="I990" i="115"/>
  <c r="J990" i="115" s="1"/>
  <c r="I926" i="115"/>
  <c r="J926" i="115" s="1"/>
  <c r="I862" i="115"/>
  <c r="J862" i="115" s="1"/>
  <c r="I798" i="115"/>
  <c r="J798" i="115" s="1"/>
  <c r="I702" i="115"/>
  <c r="J702" i="115" s="1"/>
  <c r="I574" i="115"/>
  <c r="J574" i="115" s="1"/>
  <c r="I446" i="115"/>
  <c r="J446" i="115" s="1"/>
  <c r="I318" i="115"/>
  <c r="J318" i="115" s="1"/>
  <c r="I190" i="115"/>
  <c r="J190" i="115" s="1"/>
  <c r="I62" i="115"/>
  <c r="J62" i="115" s="1"/>
  <c r="I965" i="115"/>
  <c r="J965" i="115" s="1"/>
  <c r="I901" i="115"/>
  <c r="J901" i="115" s="1"/>
  <c r="I837" i="115"/>
  <c r="J837" i="115" s="1"/>
  <c r="I773" i="115"/>
  <c r="J773" i="115" s="1"/>
  <c r="I653" i="115"/>
  <c r="J653" i="115" s="1"/>
  <c r="I525" i="115"/>
  <c r="J525" i="115" s="1"/>
  <c r="I397" i="115"/>
  <c r="J397" i="115" s="1"/>
  <c r="I269" i="115"/>
  <c r="J269" i="115" s="1"/>
  <c r="I141" i="115"/>
  <c r="J141" i="115" s="1"/>
  <c r="I13" i="115"/>
  <c r="J13" i="115" s="1"/>
  <c r="I940" i="115"/>
  <c r="J940" i="115" s="1"/>
  <c r="I876" i="115"/>
  <c r="J876" i="115" s="1"/>
  <c r="I812" i="115"/>
  <c r="J812" i="115" s="1"/>
  <c r="I732" i="115"/>
  <c r="J732" i="115" s="1"/>
  <c r="I604" i="115"/>
  <c r="J604" i="115" s="1"/>
  <c r="I476" i="115"/>
  <c r="J476" i="115" s="1"/>
  <c r="I348" i="115"/>
  <c r="J348" i="115" s="1"/>
  <c r="I220" i="115"/>
  <c r="J220" i="115" s="1"/>
  <c r="I92" i="115"/>
  <c r="J92" i="115" s="1"/>
  <c r="I747" i="115"/>
  <c r="J747" i="115" s="1"/>
  <c r="I683" i="115"/>
  <c r="J683" i="115" s="1"/>
  <c r="I619" i="115"/>
  <c r="J619" i="115" s="1"/>
  <c r="I555" i="115"/>
  <c r="J555" i="115" s="1"/>
  <c r="I491" i="115"/>
  <c r="J491" i="115" s="1"/>
  <c r="I427" i="115"/>
  <c r="J427" i="115" s="1"/>
  <c r="I363" i="115"/>
  <c r="J363" i="115" s="1"/>
  <c r="I299" i="115"/>
  <c r="J299" i="115" s="1"/>
  <c r="I235" i="115"/>
  <c r="J235" i="115" s="1"/>
  <c r="I171" i="115"/>
  <c r="J171" i="115" s="1"/>
  <c r="I107" i="115"/>
  <c r="J107" i="115" s="1"/>
  <c r="I43" i="115"/>
  <c r="J43" i="115" s="1"/>
  <c r="I746" i="115"/>
  <c r="J746" i="115" s="1"/>
  <c r="I682" i="115"/>
  <c r="J682" i="115" s="1"/>
  <c r="I618" i="115"/>
  <c r="J618" i="115" s="1"/>
  <c r="I554" i="115"/>
  <c r="J554" i="115" s="1"/>
  <c r="I490" i="115"/>
  <c r="J490" i="115" s="1"/>
  <c r="I426" i="115"/>
  <c r="J426" i="115" s="1"/>
  <c r="I362" i="115"/>
  <c r="J362" i="115" s="1"/>
  <c r="I298" i="115"/>
  <c r="J298" i="115" s="1"/>
  <c r="I234" i="115"/>
  <c r="J234" i="115" s="1"/>
  <c r="I170" i="115"/>
  <c r="J170" i="115" s="1"/>
  <c r="I106" i="115"/>
  <c r="J106" i="115" s="1"/>
  <c r="I42" i="115"/>
  <c r="J42" i="115" s="1"/>
  <c r="I745" i="115"/>
  <c r="J745" i="115" s="1"/>
  <c r="I681" i="115"/>
  <c r="J681" i="115" s="1"/>
  <c r="I617" i="115"/>
  <c r="J617" i="115" s="1"/>
  <c r="I553" i="115"/>
  <c r="J553" i="115" s="1"/>
  <c r="I489" i="115"/>
  <c r="J489" i="115" s="1"/>
  <c r="I425" i="115"/>
  <c r="J425" i="115" s="1"/>
  <c r="I361" i="115"/>
  <c r="J361" i="115" s="1"/>
  <c r="I297" i="115"/>
  <c r="J297" i="115" s="1"/>
  <c r="I233" i="115"/>
  <c r="J233" i="115" s="1"/>
  <c r="I169" i="115"/>
  <c r="J169" i="115" s="1"/>
  <c r="I105" i="115"/>
  <c r="J105" i="115" s="1"/>
  <c r="I41" i="115"/>
  <c r="J41" i="115" s="1"/>
  <c r="I728" i="115"/>
  <c r="J728" i="115" s="1"/>
  <c r="I664" i="115"/>
  <c r="J664" i="115" s="1"/>
  <c r="I600" i="115"/>
  <c r="J600" i="115" s="1"/>
  <c r="I536" i="115"/>
  <c r="J536" i="115" s="1"/>
  <c r="I472" i="115"/>
  <c r="J472" i="115" s="1"/>
  <c r="I408" i="115"/>
  <c r="J408" i="115" s="1"/>
  <c r="I344" i="115"/>
  <c r="J344" i="115" s="1"/>
  <c r="I280" i="115"/>
  <c r="J280" i="115" s="1"/>
  <c r="I216" i="115"/>
  <c r="J216" i="115" s="1"/>
  <c r="I152" i="115"/>
  <c r="J152" i="115" s="1"/>
  <c r="I88" i="115"/>
  <c r="J88" i="115" s="1"/>
  <c r="K5" i="115" l="1"/>
  <c r="K2" i="115"/>
  <c r="R2" i="115" s="1"/>
  <c r="F17" i="144" s="1"/>
  <c r="K3" i="115"/>
  <c r="R3" i="115" s="1"/>
  <c r="F18" i="144" s="1"/>
  <c r="K7" i="115"/>
  <c r="P7" i="115" s="1"/>
  <c r="B22" i="144" s="1"/>
  <c r="K11" i="115"/>
  <c r="R11" i="115" s="1"/>
  <c r="F26" i="144" s="1"/>
  <c r="K15" i="115"/>
  <c r="P15" i="115" s="1"/>
  <c r="B53" i="144" s="1"/>
  <c r="K19" i="115"/>
  <c r="L19" i="115" s="1"/>
  <c r="K23" i="115"/>
  <c r="R23" i="115" s="1"/>
  <c r="K27" i="115"/>
  <c r="K31" i="115"/>
  <c r="S31" i="115" s="1"/>
  <c r="K35" i="115"/>
  <c r="L35" i="115" s="1"/>
  <c r="K39" i="115"/>
  <c r="P39" i="115" s="1"/>
  <c r="N39" i="115" s="1"/>
  <c r="K43" i="115"/>
  <c r="K47" i="115"/>
  <c r="R47" i="115" s="1"/>
  <c r="K51" i="115"/>
  <c r="L51" i="115" s="1"/>
  <c r="K55" i="115"/>
  <c r="S55" i="115" s="1"/>
  <c r="K59" i="115"/>
  <c r="K63" i="115"/>
  <c r="P63" i="115" s="1"/>
  <c r="N63" i="115" s="1"/>
  <c r="K67" i="115"/>
  <c r="R67" i="115" s="1"/>
  <c r="K71" i="115"/>
  <c r="S71" i="115" s="1"/>
  <c r="K75" i="115"/>
  <c r="S75" i="115" s="1"/>
  <c r="K79" i="115"/>
  <c r="K83" i="115"/>
  <c r="R83" i="115" s="1"/>
  <c r="K87" i="115"/>
  <c r="S87" i="115" s="1"/>
  <c r="K91" i="115"/>
  <c r="K95" i="115"/>
  <c r="R95" i="115" s="1"/>
  <c r="K99" i="115"/>
  <c r="P99" i="115" s="1"/>
  <c r="N99" i="115" s="1"/>
  <c r="K103" i="115"/>
  <c r="S103" i="115" s="1"/>
  <c r="K107" i="115"/>
  <c r="K111" i="115"/>
  <c r="K115" i="115"/>
  <c r="R115" i="115" s="1"/>
  <c r="K119" i="115"/>
  <c r="R119" i="115" s="1"/>
  <c r="K123" i="115"/>
  <c r="K127" i="115"/>
  <c r="S127" i="115" s="1"/>
  <c r="K131" i="115"/>
  <c r="R131" i="115" s="1"/>
  <c r="K135" i="115"/>
  <c r="R135" i="115" s="1"/>
  <c r="K139" i="115"/>
  <c r="R139" i="115" s="1"/>
  <c r="K143" i="115"/>
  <c r="S143" i="115" s="1"/>
  <c r="K147" i="115"/>
  <c r="S147" i="115" s="1"/>
  <c r="K151" i="115"/>
  <c r="R151" i="115" s="1"/>
  <c r="K155" i="115"/>
  <c r="S155" i="115" s="1"/>
  <c r="K159" i="115"/>
  <c r="P159" i="115" s="1"/>
  <c r="N159" i="115" s="1"/>
  <c r="K163" i="115"/>
  <c r="S163" i="115" s="1"/>
  <c r="K167" i="115"/>
  <c r="P167" i="115" s="1"/>
  <c r="N167" i="115" s="1"/>
  <c r="K171" i="115"/>
  <c r="K175" i="115"/>
  <c r="S175" i="115" s="1"/>
  <c r="K179" i="115"/>
  <c r="S179" i="115" s="1"/>
  <c r="K183" i="115"/>
  <c r="R183" i="115" s="1"/>
  <c r="K187" i="115"/>
  <c r="K191" i="115"/>
  <c r="S191" i="115" s="1"/>
  <c r="K195" i="115"/>
  <c r="S195" i="115" s="1"/>
  <c r="K199" i="115"/>
  <c r="R199" i="115" s="1"/>
  <c r="K203" i="115"/>
  <c r="K207" i="115"/>
  <c r="S207" i="115" s="1"/>
  <c r="K211" i="115"/>
  <c r="L211" i="115" s="1"/>
  <c r="K215" i="115"/>
  <c r="S215" i="115" s="1"/>
  <c r="K219" i="115"/>
  <c r="K223" i="115"/>
  <c r="L223" i="115" s="1"/>
  <c r="K227" i="115"/>
  <c r="R227" i="115" s="1"/>
  <c r="K231" i="115"/>
  <c r="S231" i="115" s="1"/>
  <c r="K235" i="115"/>
  <c r="K239" i="115"/>
  <c r="L239" i="115" s="1"/>
  <c r="K243" i="115"/>
  <c r="L243" i="115" s="1"/>
  <c r="K247" i="115"/>
  <c r="S247" i="115" s="1"/>
  <c r="K251" i="115"/>
  <c r="K255" i="115"/>
  <c r="R255" i="115" s="1"/>
  <c r="K259" i="115"/>
  <c r="L259" i="115" s="1"/>
  <c r="K263" i="115"/>
  <c r="S263" i="115" s="1"/>
  <c r="K267" i="115"/>
  <c r="K271" i="115"/>
  <c r="P271" i="115" s="1"/>
  <c r="N271" i="115" s="1"/>
  <c r="K275" i="115"/>
  <c r="S275" i="115" s="1"/>
  <c r="K279" i="115"/>
  <c r="R279" i="115" s="1"/>
  <c r="K283" i="115"/>
  <c r="K287" i="115"/>
  <c r="K291" i="115"/>
  <c r="S291" i="115" s="1"/>
  <c r="K295" i="115"/>
  <c r="R295" i="115" s="1"/>
  <c r="K299" i="115"/>
  <c r="K303" i="115"/>
  <c r="S303" i="115" s="1"/>
  <c r="K9" i="115"/>
  <c r="S9" i="115" s="1"/>
  <c r="K13" i="115"/>
  <c r="P13" i="115" s="1"/>
  <c r="B28" i="144" s="1"/>
  <c r="K17" i="115"/>
  <c r="K21" i="115"/>
  <c r="S21" i="115" s="1"/>
  <c r="K25" i="115"/>
  <c r="L25" i="115" s="1"/>
  <c r="K29" i="115"/>
  <c r="P29" i="115" s="1"/>
  <c r="K33" i="115"/>
  <c r="K37" i="115"/>
  <c r="L37" i="115" s="1"/>
  <c r="K41" i="115"/>
  <c r="L41" i="115" s="1"/>
  <c r="K45" i="115"/>
  <c r="S45" i="115" s="1"/>
  <c r="K49" i="115"/>
  <c r="S49" i="115" s="1"/>
  <c r="K53" i="115"/>
  <c r="K57" i="115"/>
  <c r="R57" i="115" s="1"/>
  <c r="K61" i="115"/>
  <c r="L61" i="115" s="1"/>
  <c r="K65" i="115"/>
  <c r="K69" i="115"/>
  <c r="P69" i="115" s="1"/>
  <c r="N69" i="115" s="1"/>
  <c r="K73" i="115"/>
  <c r="K77" i="115"/>
  <c r="S77" i="115" s="1"/>
  <c r="K81" i="115"/>
  <c r="S81" i="115" s="1"/>
  <c r="K85" i="115"/>
  <c r="P85" i="115" s="1"/>
  <c r="N85" i="115" s="1"/>
  <c r="K89" i="115"/>
  <c r="L89" i="115" s="1"/>
  <c r="K93" i="115"/>
  <c r="P93" i="115" s="1"/>
  <c r="N93" i="115" s="1"/>
  <c r="K97" i="115"/>
  <c r="R97" i="115" s="1"/>
  <c r="K101" i="115"/>
  <c r="S101" i="115" s="1"/>
  <c r="K105" i="115"/>
  <c r="K109" i="115"/>
  <c r="P109" i="115" s="1"/>
  <c r="N109" i="115" s="1"/>
  <c r="K113" i="115"/>
  <c r="K117" i="115"/>
  <c r="S117" i="115" s="1"/>
  <c r="K121" i="115"/>
  <c r="R121" i="115" s="1"/>
  <c r="K125" i="115"/>
  <c r="R125" i="115" s="1"/>
  <c r="K129" i="115"/>
  <c r="S129" i="115" s="1"/>
  <c r="K133" i="115"/>
  <c r="S133" i="115" s="1"/>
  <c r="K137" i="115"/>
  <c r="L137" i="115" s="1"/>
  <c r="K141" i="115"/>
  <c r="S141" i="115" s="1"/>
  <c r="K145" i="115"/>
  <c r="K149" i="115"/>
  <c r="S149" i="115" s="1"/>
  <c r="K153" i="115"/>
  <c r="P153" i="115" s="1"/>
  <c r="N153" i="115" s="1"/>
  <c r="K157" i="115"/>
  <c r="P157" i="115" s="1"/>
  <c r="N157" i="115" s="1"/>
  <c r="K161" i="115"/>
  <c r="K165" i="115"/>
  <c r="K169" i="115"/>
  <c r="P169" i="115" s="1"/>
  <c r="N169" i="115" s="1"/>
  <c r="K173" i="115"/>
  <c r="S173" i="115" s="1"/>
  <c r="K177" i="115"/>
  <c r="S177" i="115" s="1"/>
  <c r="K181" i="115"/>
  <c r="L181" i="115" s="1"/>
  <c r="K185" i="115"/>
  <c r="P185" i="115" s="1"/>
  <c r="N185" i="115" s="1"/>
  <c r="K189" i="115"/>
  <c r="L189" i="115" s="1"/>
  <c r="K193" i="115"/>
  <c r="S193" i="115" s="1"/>
  <c r="K197" i="115"/>
  <c r="L197" i="115" s="1"/>
  <c r="K201" i="115"/>
  <c r="S201" i="115" s="1"/>
  <c r="K205" i="115"/>
  <c r="L205" i="115" s="1"/>
  <c r="K209" i="115"/>
  <c r="S209" i="115" s="1"/>
  <c r="K213" i="115"/>
  <c r="L213" i="115" s="1"/>
  <c r="K217" i="115"/>
  <c r="K221" i="115"/>
  <c r="P221" i="115" s="1"/>
  <c r="N221" i="115" s="1"/>
  <c r="K225" i="115"/>
  <c r="K229" i="115"/>
  <c r="P229" i="115" s="1"/>
  <c r="N229" i="115" s="1"/>
  <c r="K233" i="115"/>
  <c r="L233" i="115" s="1"/>
  <c r="K237" i="115"/>
  <c r="S237" i="115" s="1"/>
  <c r="K241" i="115"/>
  <c r="K245" i="115"/>
  <c r="L245" i="115" s="1"/>
  <c r="K249" i="115"/>
  <c r="K253" i="115"/>
  <c r="K257" i="115"/>
  <c r="K261" i="115"/>
  <c r="S261" i="115" s="1"/>
  <c r="K265" i="115"/>
  <c r="L265" i="115" s="1"/>
  <c r="K269" i="115"/>
  <c r="P269" i="115" s="1"/>
  <c r="N269" i="115" s="1"/>
  <c r="K273" i="115"/>
  <c r="R273" i="115" s="1"/>
  <c r="K277" i="115"/>
  <c r="R277" i="115" s="1"/>
  <c r="K281" i="115"/>
  <c r="S281" i="115" s="1"/>
  <c r="K285" i="115"/>
  <c r="K289" i="115"/>
  <c r="K293" i="115"/>
  <c r="K297" i="115"/>
  <c r="K301" i="115"/>
  <c r="P301" i="115" s="1"/>
  <c r="N301" i="115" s="1"/>
  <c r="K305" i="115"/>
  <c r="S305" i="115" s="1"/>
  <c r="K6" i="115"/>
  <c r="R6" i="115" s="1"/>
  <c r="F21" i="144" s="1"/>
  <c r="K10" i="115"/>
  <c r="L10" i="115" s="1"/>
  <c r="K14" i="115"/>
  <c r="P14" i="115" s="1"/>
  <c r="B52" i="144" s="1"/>
  <c r="K18" i="115"/>
  <c r="R18" i="115" s="1"/>
  <c r="K22" i="115"/>
  <c r="L22" i="115" s="1"/>
  <c r="K26" i="115"/>
  <c r="P26" i="115" s="1"/>
  <c r="K30" i="115"/>
  <c r="R30" i="115" s="1"/>
  <c r="K34" i="115"/>
  <c r="K38" i="115"/>
  <c r="S38" i="115" s="1"/>
  <c r="K42" i="115"/>
  <c r="R42" i="115" s="1"/>
  <c r="K46" i="115"/>
  <c r="K50" i="115"/>
  <c r="K54" i="115"/>
  <c r="K58" i="115"/>
  <c r="R58" i="115" s="1"/>
  <c r="K62" i="115"/>
  <c r="R62" i="115" s="1"/>
  <c r="K66" i="115"/>
  <c r="K70" i="115"/>
  <c r="K74" i="115"/>
  <c r="K78" i="115"/>
  <c r="K82" i="115"/>
  <c r="K86" i="115"/>
  <c r="L86" i="115" s="1"/>
  <c r="K90" i="115"/>
  <c r="R90" i="115" s="1"/>
  <c r="K94" i="115"/>
  <c r="S94" i="115" s="1"/>
  <c r="K98" i="115"/>
  <c r="S98" i="115" s="1"/>
  <c r="K102" i="115"/>
  <c r="K106" i="115"/>
  <c r="K110" i="115"/>
  <c r="R110" i="115" s="1"/>
  <c r="K114" i="115"/>
  <c r="R114" i="115" s="1"/>
  <c r="K118" i="115"/>
  <c r="L118" i="115" s="1"/>
  <c r="K122" i="115"/>
  <c r="K126" i="115"/>
  <c r="P126" i="115" s="1"/>
  <c r="N126" i="115" s="1"/>
  <c r="K130" i="115"/>
  <c r="K134" i="115"/>
  <c r="R134" i="115" s="1"/>
  <c r="K138" i="115"/>
  <c r="L138" i="115" s="1"/>
  <c r="K142" i="115"/>
  <c r="R142" i="115" s="1"/>
  <c r="K146" i="115"/>
  <c r="K150" i="115"/>
  <c r="P150" i="115" s="1"/>
  <c r="N150" i="115" s="1"/>
  <c r="K154" i="115"/>
  <c r="P154" i="115" s="1"/>
  <c r="N154" i="115" s="1"/>
  <c r="K158" i="115"/>
  <c r="L158" i="115" s="1"/>
  <c r="K162" i="115"/>
  <c r="K166" i="115"/>
  <c r="P166" i="115" s="1"/>
  <c r="N166" i="115" s="1"/>
  <c r="K170" i="115"/>
  <c r="P170" i="115" s="1"/>
  <c r="N170" i="115" s="1"/>
  <c r="K174" i="115"/>
  <c r="P174" i="115" s="1"/>
  <c r="N174" i="115" s="1"/>
  <c r="K178" i="115"/>
  <c r="K182" i="115"/>
  <c r="L182" i="115" s="1"/>
  <c r="K186" i="115"/>
  <c r="P186" i="115" s="1"/>
  <c r="N186" i="115" s="1"/>
  <c r="K190" i="115"/>
  <c r="R190" i="115" s="1"/>
  <c r="K194" i="115"/>
  <c r="R194" i="115" s="1"/>
  <c r="K198" i="115"/>
  <c r="L198" i="115" s="1"/>
  <c r="K202" i="115"/>
  <c r="K206" i="115"/>
  <c r="P206" i="115" s="1"/>
  <c r="N206" i="115" s="1"/>
  <c r="K210" i="115"/>
  <c r="K214" i="115"/>
  <c r="P214" i="115" s="1"/>
  <c r="N214" i="115" s="1"/>
  <c r="K218" i="115"/>
  <c r="P218" i="115" s="1"/>
  <c r="N218" i="115" s="1"/>
  <c r="K222" i="115"/>
  <c r="L222" i="115" s="1"/>
  <c r="K226" i="115"/>
  <c r="K230" i="115"/>
  <c r="K234" i="115"/>
  <c r="S234" i="115" s="1"/>
  <c r="K238" i="115"/>
  <c r="R238" i="115" s="1"/>
  <c r="K242" i="115"/>
  <c r="K246" i="115"/>
  <c r="R246" i="115" s="1"/>
  <c r="K250" i="115"/>
  <c r="L250" i="115" s="1"/>
  <c r="K254" i="115"/>
  <c r="K258" i="115"/>
  <c r="R258" i="115" s="1"/>
  <c r="K262" i="115"/>
  <c r="K266" i="115"/>
  <c r="P266" i="115" s="1"/>
  <c r="N266" i="115" s="1"/>
  <c r="K270" i="115"/>
  <c r="P270" i="115" s="1"/>
  <c r="N270" i="115" s="1"/>
  <c r="K274" i="115"/>
  <c r="K278" i="115"/>
  <c r="K282" i="115"/>
  <c r="L282" i="115" s="1"/>
  <c r="K286" i="115"/>
  <c r="R286" i="115" s="1"/>
  <c r="K290" i="115"/>
  <c r="K294" i="115"/>
  <c r="K298" i="115"/>
  <c r="P298" i="115" s="1"/>
  <c r="N298" i="115" s="1"/>
  <c r="K302" i="115"/>
  <c r="R302" i="115" s="1"/>
  <c r="K306" i="115"/>
  <c r="K310" i="115"/>
  <c r="K314" i="115"/>
  <c r="S314" i="115" s="1"/>
  <c r="K318" i="115"/>
  <c r="P318" i="115" s="1"/>
  <c r="N318" i="115" s="1"/>
  <c r="K322" i="115"/>
  <c r="K326" i="115"/>
  <c r="L326" i="115" s="1"/>
  <c r="K330" i="115"/>
  <c r="S330" i="115" s="1"/>
  <c r="K334" i="115"/>
  <c r="R334" i="115" s="1"/>
  <c r="K338" i="115"/>
  <c r="K342" i="115"/>
  <c r="K4" i="115"/>
  <c r="R4" i="115" s="1"/>
  <c r="F19" i="144" s="1"/>
  <c r="K20" i="115"/>
  <c r="R20" i="115" s="1"/>
  <c r="K36" i="115"/>
  <c r="K52" i="115"/>
  <c r="P52" i="115" s="1"/>
  <c r="N52" i="115" s="1"/>
  <c r="K68" i="115"/>
  <c r="S68" i="115" s="1"/>
  <c r="K84" i="115"/>
  <c r="P84" i="115" s="1"/>
  <c r="N84" i="115" s="1"/>
  <c r="K100" i="115"/>
  <c r="K116" i="115"/>
  <c r="L116" i="115" s="1"/>
  <c r="K132" i="115"/>
  <c r="R132" i="115" s="1"/>
  <c r="K148" i="115"/>
  <c r="P148" i="115" s="1"/>
  <c r="N148" i="115" s="1"/>
  <c r="K164" i="115"/>
  <c r="R164" i="115" s="1"/>
  <c r="K180" i="115"/>
  <c r="P180" i="115" s="1"/>
  <c r="N180" i="115" s="1"/>
  <c r="K196" i="115"/>
  <c r="K212" i="115"/>
  <c r="L212" i="115" s="1"/>
  <c r="K228" i="115"/>
  <c r="K244" i="115"/>
  <c r="K260" i="115"/>
  <c r="S260" i="115" s="1"/>
  <c r="K276" i="115"/>
  <c r="S276" i="115" s="1"/>
  <c r="K292" i="115"/>
  <c r="R292" i="115" s="1"/>
  <c r="K307" i="115"/>
  <c r="K312" i="115"/>
  <c r="P312" i="115" s="1"/>
  <c r="N312" i="115" s="1"/>
  <c r="K317" i="115"/>
  <c r="P317" i="115" s="1"/>
  <c r="N317" i="115" s="1"/>
  <c r="K323" i="115"/>
  <c r="K328" i="115"/>
  <c r="P328" i="115" s="1"/>
  <c r="N328" i="115" s="1"/>
  <c r="K333" i="115"/>
  <c r="L333" i="115" s="1"/>
  <c r="K339" i="115"/>
  <c r="L339" i="115" s="1"/>
  <c r="K344" i="115"/>
  <c r="R344" i="115" s="1"/>
  <c r="K348" i="115"/>
  <c r="R348" i="115" s="1"/>
  <c r="K352" i="115"/>
  <c r="P352" i="115" s="1"/>
  <c r="N352" i="115" s="1"/>
  <c r="K356" i="115"/>
  <c r="P356" i="115" s="1"/>
  <c r="N356" i="115" s="1"/>
  <c r="K360" i="115"/>
  <c r="K364" i="115"/>
  <c r="R364" i="115" s="1"/>
  <c r="K368" i="115"/>
  <c r="K372" i="115"/>
  <c r="L372" i="115" s="1"/>
  <c r="K376" i="115"/>
  <c r="S376" i="115" s="1"/>
  <c r="K380" i="115"/>
  <c r="L380" i="115" s="1"/>
  <c r="K384" i="115"/>
  <c r="L384" i="115" s="1"/>
  <c r="K388" i="115"/>
  <c r="P388" i="115" s="1"/>
  <c r="N388" i="115" s="1"/>
  <c r="K392" i="115"/>
  <c r="R392" i="115" s="1"/>
  <c r="K396" i="115"/>
  <c r="R396" i="115" s="1"/>
  <c r="K400" i="115"/>
  <c r="S400" i="115" s="1"/>
  <c r="K404" i="115"/>
  <c r="S404" i="115" s="1"/>
  <c r="K408" i="115"/>
  <c r="K412" i="115"/>
  <c r="K416" i="115"/>
  <c r="S416" i="115" s="1"/>
  <c r="K420" i="115"/>
  <c r="S420" i="115" s="1"/>
  <c r="K424" i="115"/>
  <c r="K428" i="115"/>
  <c r="P428" i="115" s="1"/>
  <c r="N428" i="115" s="1"/>
  <c r="K432" i="115"/>
  <c r="P432" i="115" s="1"/>
  <c r="N432" i="115" s="1"/>
  <c r="K436" i="115"/>
  <c r="L436" i="115" s="1"/>
  <c r="K440" i="115"/>
  <c r="K444" i="115"/>
  <c r="L444" i="115" s="1"/>
  <c r="K448" i="115"/>
  <c r="K452" i="115"/>
  <c r="P452" i="115" s="1"/>
  <c r="N452" i="115" s="1"/>
  <c r="K456" i="115"/>
  <c r="R456" i="115" s="1"/>
  <c r="K460" i="115"/>
  <c r="K464" i="115"/>
  <c r="R464" i="115" s="1"/>
  <c r="K468" i="115"/>
  <c r="P468" i="115" s="1"/>
  <c r="N468" i="115" s="1"/>
  <c r="K472" i="115"/>
  <c r="K476" i="115"/>
  <c r="L476" i="115" s="1"/>
  <c r="K480" i="115"/>
  <c r="R480" i="115" s="1"/>
  <c r="K484" i="115"/>
  <c r="P484" i="115" s="1"/>
  <c r="N484" i="115" s="1"/>
  <c r="K488" i="115"/>
  <c r="R488" i="115" s="1"/>
  <c r="K492" i="115"/>
  <c r="K496" i="115"/>
  <c r="P496" i="115" s="1"/>
  <c r="N496" i="115" s="1"/>
  <c r="K500" i="115"/>
  <c r="K504" i="115"/>
  <c r="P504" i="115" s="1"/>
  <c r="N504" i="115" s="1"/>
  <c r="K508" i="115"/>
  <c r="R508" i="115" s="1"/>
  <c r="K512" i="115"/>
  <c r="S512" i="115" s="1"/>
  <c r="K516" i="115"/>
  <c r="L516" i="115" s="1"/>
  <c r="K520" i="115"/>
  <c r="R520" i="115" s="1"/>
  <c r="K524" i="115"/>
  <c r="P524" i="115" s="1"/>
  <c r="N524" i="115" s="1"/>
  <c r="K528" i="115"/>
  <c r="S528" i="115" s="1"/>
  <c r="K532" i="115"/>
  <c r="R532" i="115" s="1"/>
  <c r="K536" i="115"/>
  <c r="K540" i="115"/>
  <c r="R540" i="115" s="1"/>
  <c r="K544" i="115"/>
  <c r="L544" i="115" s="1"/>
  <c r="K548" i="115"/>
  <c r="K552" i="115"/>
  <c r="K556" i="115"/>
  <c r="S556" i="115" s="1"/>
  <c r="K560" i="115"/>
  <c r="L560" i="115" s="1"/>
  <c r="K564" i="115"/>
  <c r="P564" i="115" s="1"/>
  <c r="N564" i="115" s="1"/>
  <c r="K568" i="115"/>
  <c r="R568" i="115" s="1"/>
  <c r="K572" i="115"/>
  <c r="K576" i="115"/>
  <c r="S576" i="115" s="1"/>
  <c r="K8" i="115"/>
  <c r="P8" i="115" s="1"/>
  <c r="B23" i="144" s="1"/>
  <c r="K24" i="115"/>
  <c r="L24" i="115" s="1"/>
  <c r="K40" i="115"/>
  <c r="P40" i="115" s="1"/>
  <c r="N40" i="115" s="1"/>
  <c r="K56" i="115"/>
  <c r="P56" i="115" s="1"/>
  <c r="N56" i="115" s="1"/>
  <c r="K72" i="115"/>
  <c r="P72" i="115" s="1"/>
  <c r="N72" i="115" s="1"/>
  <c r="K88" i="115"/>
  <c r="K104" i="115"/>
  <c r="P104" i="115" s="1"/>
  <c r="N104" i="115" s="1"/>
  <c r="K120" i="115"/>
  <c r="L120" i="115" s="1"/>
  <c r="K136" i="115"/>
  <c r="P136" i="115" s="1"/>
  <c r="N136" i="115" s="1"/>
  <c r="K152" i="115"/>
  <c r="R152" i="115" s="1"/>
  <c r="K168" i="115"/>
  <c r="L168" i="115" s="1"/>
  <c r="K184" i="115"/>
  <c r="K200" i="115"/>
  <c r="P200" i="115" s="1"/>
  <c r="N200" i="115" s="1"/>
  <c r="K216" i="115"/>
  <c r="P216" i="115" s="1"/>
  <c r="N216" i="115" s="1"/>
  <c r="K232" i="115"/>
  <c r="L232" i="115" s="1"/>
  <c r="K248" i="115"/>
  <c r="P248" i="115" s="1"/>
  <c r="N248" i="115" s="1"/>
  <c r="K264" i="115"/>
  <c r="P264" i="115" s="1"/>
  <c r="N264" i="115" s="1"/>
  <c r="K280" i="115"/>
  <c r="P280" i="115" s="1"/>
  <c r="N280" i="115" s="1"/>
  <c r="K296" i="115"/>
  <c r="R296" i="115" s="1"/>
  <c r="K308" i="115"/>
  <c r="P308" i="115" s="1"/>
  <c r="N308" i="115" s="1"/>
  <c r="K313" i="115"/>
  <c r="R313" i="115" s="1"/>
  <c r="K319" i="115"/>
  <c r="S319" i="115" s="1"/>
  <c r="K324" i="115"/>
  <c r="P324" i="115" s="1"/>
  <c r="N324" i="115" s="1"/>
  <c r="K329" i="115"/>
  <c r="K335" i="115"/>
  <c r="K340" i="115"/>
  <c r="P340" i="115" s="1"/>
  <c r="N340" i="115" s="1"/>
  <c r="K345" i="115"/>
  <c r="K349" i="115"/>
  <c r="L349" i="115" s="1"/>
  <c r="K353" i="115"/>
  <c r="P353" i="115" s="1"/>
  <c r="N353" i="115" s="1"/>
  <c r="K357" i="115"/>
  <c r="R357" i="115" s="1"/>
  <c r="K361" i="115"/>
  <c r="L361" i="115" s="1"/>
  <c r="K365" i="115"/>
  <c r="L365" i="115" s="1"/>
  <c r="K369" i="115"/>
  <c r="L369" i="115" s="1"/>
  <c r="K373" i="115"/>
  <c r="S373" i="115" s="1"/>
  <c r="K377" i="115"/>
  <c r="P377" i="115" s="1"/>
  <c r="N377" i="115" s="1"/>
  <c r="K381" i="115"/>
  <c r="L381" i="115" s="1"/>
  <c r="K385" i="115"/>
  <c r="S385" i="115" s="1"/>
  <c r="K389" i="115"/>
  <c r="P389" i="115" s="1"/>
  <c r="N389" i="115" s="1"/>
  <c r="K393" i="115"/>
  <c r="L393" i="115" s="1"/>
  <c r="K397" i="115"/>
  <c r="P397" i="115" s="1"/>
  <c r="N397" i="115" s="1"/>
  <c r="K401" i="115"/>
  <c r="L401" i="115" s="1"/>
  <c r="K405" i="115"/>
  <c r="P405" i="115" s="1"/>
  <c r="N405" i="115" s="1"/>
  <c r="K409" i="115"/>
  <c r="P409" i="115" s="1"/>
  <c r="N409" i="115" s="1"/>
  <c r="K413" i="115"/>
  <c r="S413" i="115" s="1"/>
  <c r="K417" i="115"/>
  <c r="P417" i="115" s="1"/>
  <c r="N417" i="115" s="1"/>
  <c r="K421" i="115"/>
  <c r="K425" i="115"/>
  <c r="S425" i="115" s="1"/>
  <c r="K429" i="115"/>
  <c r="R429" i="115" s="1"/>
  <c r="K433" i="115"/>
  <c r="R433" i="115" s="1"/>
  <c r="K437" i="115"/>
  <c r="R437" i="115" s="1"/>
  <c r="K441" i="115"/>
  <c r="K445" i="115"/>
  <c r="K449" i="115"/>
  <c r="P449" i="115" s="1"/>
  <c r="N449" i="115" s="1"/>
  <c r="K453" i="115"/>
  <c r="P453" i="115" s="1"/>
  <c r="N453" i="115" s="1"/>
  <c r="K457" i="115"/>
  <c r="L457" i="115" s="1"/>
  <c r="K461" i="115"/>
  <c r="P461" i="115" s="1"/>
  <c r="N461" i="115" s="1"/>
  <c r="K465" i="115"/>
  <c r="P465" i="115" s="1"/>
  <c r="N465" i="115" s="1"/>
  <c r="K469" i="115"/>
  <c r="L469" i="115" s="1"/>
  <c r="K473" i="115"/>
  <c r="R473" i="115" s="1"/>
  <c r="K477" i="115"/>
  <c r="S477" i="115" s="1"/>
  <c r="K481" i="115"/>
  <c r="K485" i="115"/>
  <c r="K489" i="115"/>
  <c r="S489" i="115" s="1"/>
  <c r="K493" i="115"/>
  <c r="K497" i="115"/>
  <c r="L497" i="115" s="1"/>
  <c r="K501" i="115"/>
  <c r="L501" i="115" s="1"/>
  <c r="K505" i="115"/>
  <c r="R505" i="115" s="1"/>
  <c r="K509" i="115"/>
  <c r="L509" i="115" s="1"/>
  <c r="K513" i="115"/>
  <c r="K517" i="115"/>
  <c r="P517" i="115" s="1"/>
  <c r="N517" i="115" s="1"/>
  <c r="K521" i="115"/>
  <c r="K525" i="115"/>
  <c r="R525" i="115" s="1"/>
  <c r="K529" i="115"/>
  <c r="S529" i="115" s="1"/>
  <c r="K533" i="115"/>
  <c r="K537" i="115"/>
  <c r="L537" i="115" s="1"/>
  <c r="K541" i="115"/>
  <c r="K545" i="115"/>
  <c r="S545" i="115" s="1"/>
  <c r="K549" i="115"/>
  <c r="S549" i="115" s="1"/>
  <c r="K553" i="115"/>
  <c r="K557" i="115"/>
  <c r="L557" i="115" s="1"/>
  <c r="K16" i="115"/>
  <c r="S16" i="115" s="1"/>
  <c r="K32" i="115"/>
  <c r="L32" i="115" s="1"/>
  <c r="K48" i="115"/>
  <c r="P48" i="115" s="1"/>
  <c r="N48" i="115" s="1"/>
  <c r="K64" i="115"/>
  <c r="K80" i="115"/>
  <c r="R80" i="115" s="1"/>
  <c r="K96" i="115"/>
  <c r="L96" i="115" s="1"/>
  <c r="K112" i="115"/>
  <c r="R112" i="115" s="1"/>
  <c r="K128" i="115"/>
  <c r="P128" i="115" s="1"/>
  <c r="N128" i="115" s="1"/>
  <c r="K144" i="115"/>
  <c r="S144" i="115" s="1"/>
  <c r="K160" i="115"/>
  <c r="K176" i="115"/>
  <c r="R176" i="115" s="1"/>
  <c r="K192" i="115"/>
  <c r="R192" i="115" s="1"/>
  <c r="K208" i="115"/>
  <c r="R208" i="115" s="1"/>
  <c r="K224" i="115"/>
  <c r="K240" i="115"/>
  <c r="S240" i="115" s="1"/>
  <c r="K256" i="115"/>
  <c r="P256" i="115" s="1"/>
  <c r="N256" i="115" s="1"/>
  <c r="K272" i="115"/>
  <c r="P272" i="115" s="1"/>
  <c r="N272" i="115" s="1"/>
  <c r="K288" i="115"/>
  <c r="K304" i="115"/>
  <c r="R304" i="115" s="1"/>
  <c r="K311" i="115"/>
  <c r="S311" i="115" s="1"/>
  <c r="K316" i="115"/>
  <c r="L316" i="115" s="1"/>
  <c r="K321" i="115"/>
  <c r="K327" i="115"/>
  <c r="R327" i="115" s="1"/>
  <c r="K332" i="115"/>
  <c r="S332" i="115" s="1"/>
  <c r="K337" i="115"/>
  <c r="S337" i="115" s="1"/>
  <c r="K343" i="115"/>
  <c r="R343" i="115" s="1"/>
  <c r="K347" i="115"/>
  <c r="S347" i="115" s="1"/>
  <c r="K351" i="115"/>
  <c r="R351" i="115" s="1"/>
  <c r="K355" i="115"/>
  <c r="K359" i="115"/>
  <c r="K363" i="115"/>
  <c r="P363" i="115" s="1"/>
  <c r="N363" i="115" s="1"/>
  <c r="K367" i="115"/>
  <c r="P367" i="115" s="1"/>
  <c r="N367" i="115" s="1"/>
  <c r="K371" i="115"/>
  <c r="S371" i="115" s="1"/>
  <c r="K375" i="115"/>
  <c r="K379" i="115"/>
  <c r="K383" i="115"/>
  <c r="K387" i="115"/>
  <c r="S387" i="115" s="1"/>
  <c r="K391" i="115"/>
  <c r="S391" i="115" s="1"/>
  <c r="K395" i="115"/>
  <c r="P395" i="115" s="1"/>
  <c r="N395" i="115" s="1"/>
  <c r="K12" i="115"/>
  <c r="S12" i="115" s="1"/>
  <c r="K76" i="115"/>
  <c r="P76" i="115" s="1"/>
  <c r="N76" i="115" s="1"/>
  <c r="K140" i="115"/>
  <c r="R140" i="115" s="1"/>
  <c r="K204" i="115"/>
  <c r="K268" i="115"/>
  <c r="R268" i="115" s="1"/>
  <c r="K315" i="115"/>
  <c r="S315" i="115" s="1"/>
  <c r="K336" i="115"/>
  <c r="K354" i="115"/>
  <c r="P354" i="115" s="1"/>
  <c r="N354" i="115" s="1"/>
  <c r="K370" i="115"/>
  <c r="K386" i="115"/>
  <c r="S386" i="115" s="1"/>
  <c r="K399" i="115"/>
  <c r="P399" i="115" s="1"/>
  <c r="N399" i="115" s="1"/>
  <c r="K407" i="115"/>
  <c r="P407" i="115" s="1"/>
  <c r="N407" i="115" s="1"/>
  <c r="K415" i="115"/>
  <c r="R415" i="115" s="1"/>
  <c r="K423" i="115"/>
  <c r="S423" i="115" s="1"/>
  <c r="K431" i="115"/>
  <c r="P431" i="115" s="1"/>
  <c r="N431" i="115" s="1"/>
  <c r="K439" i="115"/>
  <c r="K447" i="115"/>
  <c r="L447" i="115" s="1"/>
  <c r="K455" i="115"/>
  <c r="R455" i="115" s="1"/>
  <c r="K463" i="115"/>
  <c r="K471" i="115"/>
  <c r="R471" i="115" s="1"/>
  <c r="K479" i="115"/>
  <c r="P479" i="115" s="1"/>
  <c r="N479" i="115" s="1"/>
  <c r="K487" i="115"/>
  <c r="L487" i="115" s="1"/>
  <c r="K495" i="115"/>
  <c r="K503" i="115"/>
  <c r="L503" i="115" s="1"/>
  <c r="K511" i="115"/>
  <c r="R511" i="115" s="1"/>
  <c r="K519" i="115"/>
  <c r="K527" i="115"/>
  <c r="L527" i="115" s="1"/>
  <c r="K535" i="115"/>
  <c r="L535" i="115" s="1"/>
  <c r="K543" i="115"/>
  <c r="K551" i="115"/>
  <c r="P551" i="115" s="1"/>
  <c r="N551" i="115" s="1"/>
  <c r="K559" i="115"/>
  <c r="P559" i="115" s="1"/>
  <c r="N559" i="115" s="1"/>
  <c r="K565" i="115"/>
  <c r="P565" i="115" s="1"/>
  <c r="N565" i="115" s="1"/>
  <c r="K570" i="115"/>
  <c r="S570" i="115" s="1"/>
  <c r="K575" i="115"/>
  <c r="K580" i="115"/>
  <c r="P580" i="115" s="1"/>
  <c r="N580" i="115" s="1"/>
  <c r="K584" i="115"/>
  <c r="L584" i="115" s="1"/>
  <c r="K588" i="115"/>
  <c r="K592" i="115"/>
  <c r="R592" i="115" s="1"/>
  <c r="K596" i="115"/>
  <c r="S596" i="115" s="1"/>
  <c r="K600" i="115"/>
  <c r="K604" i="115"/>
  <c r="S604" i="115" s="1"/>
  <c r="K608" i="115"/>
  <c r="L608" i="115" s="1"/>
  <c r="K612" i="115"/>
  <c r="L612" i="115" s="1"/>
  <c r="K616" i="115"/>
  <c r="K620" i="115"/>
  <c r="R620" i="115" s="1"/>
  <c r="K624" i="115"/>
  <c r="S624" i="115" s="1"/>
  <c r="K628" i="115"/>
  <c r="L628" i="115" s="1"/>
  <c r="K632" i="115"/>
  <c r="R632" i="115" s="1"/>
  <c r="K636" i="115"/>
  <c r="S636" i="115" s="1"/>
  <c r="K640" i="115"/>
  <c r="R640" i="115" s="1"/>
  <c r="K644" i="115"/>
  <c r="L644" i="115" s="1"/>
  <c r="K648" i="115"/>
  <c r="S648" i="115" s="1"/>
  <c r="K652" i="115"/>
  <c r="S652" i="115" s="1"/>
  <c r="K656" i="115"/>
  <c r="S656" i="115" s="1"/>
  <c r="K660" i="115"/>
  <c r="K664" i="115"/>
  <c r="L664" i="115" s="1"/>
  <c r="K668" i="115"/>
  <c r="R668" i="115" s="1"/>
  <c r="K672" i="115"/>
  <c r="L672" i="115" s="1"/>
  <c r="K676" i="115"/>
  <c r="P676" i="115" s="1"/>
  <c r="N676" i="115" s="1"/>
  <c r="K680" i="115"/>
  <c r="K684" i="115"/>
  <c r="L684" i="115" s="1"/>
  <c r="K688" i="115"/>
  <c r="R688" i="115" s="1"/>
  <c r="K692" i="115"/>
  <c r="P692" i="115" s="1"/>
  <c r="N692" i="115" s="1"/>
  <c r="K696" i="115"/>
  <c r="L696" i="115" s="1"/>
  <c r="K700" i="115"/>
  <c r="P700" i="115" s="1"/>
  <c r="N700" i="115" s="1"/>
  <c r="K704" i="115"/>
  <c r="R704" i="115" s="1"/>
  <c r="K708" i="115"/>
  <c r="P708" i="115" s="1"/>
  <c r="N708" i="115" s="1"/>
  <c r="K712" i="115"/>
  <c r="R712" i="115" s="1"/>
  <c r="K716" i="115"/>
  <c r="P716" i="115" s="1"/>
  <c r="N716" i="115" s="1"/>
  <c r="K720" i="115"/>
  <c r="K724" i="115"/>
  <c r="L724" i="115" s="1"/>
  <c r="K728" i="115"/>
  <c r="S728" i="115" s="1"/>
  <c r="K732" i="115"/>
  <c r="R732" i="115" s="1"/>
  <c r="K736" i="115"/>
  <c r="K740" i="115"/>
  <c r="P740" i="115" s="1"/>
  <c r="N740" i="115" s="1"/>
  <c r="K744" i="115"/>
  <c r="S744" i="115" s="1"/>
  <c r="K748" i="115"/>
  <c r="K752" i="115"/>
  <c r="S752" i="115" s="1"/>
  <c r="K756" i="115"/>
  <c r="P756" i="115" s="1"/>
  <c r="N756" i="115" s="1"/>
  <c r="K760" i="115"/>
  <c r="P760" i="115" s="1"/>
  <c r="N760" i="115" s="1"/>
  <c r="K764" i="115"/>
  <c r="R764" i="115" s="1"/>
  <c r="K768" i="115"/>
  <c r="S768" i="115" s="1"/>
  <c r="K772" i="115"/>
  <c r="P772" i="115" s="1"/>
  <c r="N772" i="115" s="1"/>
  <c r="K776" i="115"/>
  <c r="S776" i="115" s="1"/>
  <c r="K780" i="115"/>
  <c r="R780" i="115" s="1"/>
  <c r="K784" i="115"/>
  <c r="R784" i="115" s="1"/>
  <c r="K788" i="115"/>
  <c r="P788" i="115" s="1"/>
  <c r="N788" i="115" s="1"/>
  <c r="K792" i="115"/>
  <c r="L792" i="115" s="1"/>
  <c r="K796" i="115"/>
  <c r="L796" i="115" s="1"/>
  <c r="K800" i="115"/>
  <c r="S800" i="115" s="1"/>
  <c r="K804" i="115"/>
  <c r="P804" i="115" s="1"/>
  <c r="N804" i="115" s="1"/>
  <c r="K808" i="115"/>
  <c r="K812" i="115"/>
  <c r="R812" i="115" s="1"/>
  <c r="K816" i="115"/>
  <c r="K820" i="115"/>
  <c r="S820" i="115" s="1"/>
  <c r="K824" i="115"/>
  <c r="K828" i="115"/>
  <c r="R828" i="115" s="1"/>
  <c r="K832" i="115"/>
  <c r="S832" i="115" s="1"/>
  <c r="K836" i="115"/>
  <c r="S836" i="115" s="1"/>
  <c r="K840" i="115"/>
  <c r="L840" i="115" s="1"/>
  <c r="K844" i="115"/>
  <c r="L844" i="115" s="1"/>
  <c r="K848" i="115"/>
  <c r="S848" i="115" s="1"/>
  <c r="K852" i="115"/>
  <c r="K856" i="115"/>
  <c r="S856" i="115" s="1"/>
  <c r="K860" i="115"/>
  <c r="R860" i="115" s="1"/>
  <c r="K864" i="115"/>
  <c r="R864" i="115" s="1"/>
  <c r="K868" i="115"/>
  <c r="R868" i="115" s="1"/>
  <c r="K872" i="115"/>
  <c r="L872" i="115" s="1"/>
  <c r="K876" i="115"/>
  <c r="L876" i="115" s="1"/>
  <c r="K880" i="115"/>
  <c r="R880" i="115" s="1"/>
  <c r="K884" i="115"/>
  <c r="P884" i="115" s="1"/>
  <c r="N884" i="115" s="1"/>
  <c r="K888" i="115"/>
  <c r="S888" i="115" s="1"/>
  <c r="K892" i="115"/>
  <c r="L892" i="115" s="1"/>
  <c r="K896" i="115"/>
  <c r="R896" i="115" s="1"/>
  <c r="K900" i="115"/>
  <c r="K904" i="115"/>
  <c r="R904" i="115" s="1"/>
  <c r="K908" i="115"/>
  <c r="K912" i="115"/>
  <c r="S912" i="115" s="1"/>
  <c r="K916" i="115"/>
  <c r="L916" i="115" s="1"/>
  <c r="K920" i="115"/>
  <c r="P920" i="115" s="1"/>
  <c r="N920" i="115" s="1"/>
  <c r="K924" i="115"/>
  <c r="R924" i="115" s="1"/>
  <c r="K928" i="115"/>
  <c r="R928" i="115" s="1"/>
  <c r="K932" i="115"/>
  <c r="P932" i="115" s="1"/>
  <c r="N932" i="115" s="1"/>
  <c r="K936" i="115"/>
  <c r="S936" i="115" s="1"/>
  <c r="K940" i="115"/>
  <c r="S940" i="115" s="1"/>
  <c r="K944" i="115"/>
  <c r="R944" i="115" s="1"/>
  <c r="K948" i="115"/>
  <c r="S948" i="115" s="1"/>
  <c r="K952" i="115"/>
  <c r="L952" i="115" s="1"/>
  <c r="K956" i="115"/>
  <c r="P956" i="115" s="1"/>
  <c r="N956" i="115" s="1"/>
  <c r="K960" i="115"/>
  <c r="R960" i="115" s="1"/>
  <c r="K964" i="115"/>
  <c r="L964" i="115" s="1"/>
  <c r="K968" i="115"/>
  <c r="P968" i="115" s="1"/>
  <c r="N968" i="115" s="1"/>
  <c r="K972" i="115"/>
  <c r="K976" i="115"/>
  <c r="R976" i="115" s="1"/>
  <c r="K980" i="115"/>
  <c r="L980" i="115" s="1"/>
  <c r="K984" i="115"/>
  <c r="S984" i="115" s="1"/>
  <c r="K988" i="115"/>
  <c r="P988" i="115" s="1"/>
  <c r="N988" i="115" s="1"/>
  <c r="K992" i="115"/>
  <c r="S992" i="115" s="1"/>
  <c r="K996" i="115"/>
  <c r="R996" i="115" s="1"/>
  <c r="K1000" i="115"/>
  <c r="P1000" i="115" s="1"/>
  <c r="N1000" i="115" s="1"/>
  <c r="K60" i="115"/>
  <c r="R60" i="115" s="1"/>
  <c r="K124" i="115"/>
  <c r="R124" i="115" s="1"/>
  <c r="K188" i="115"/>
  <c r="S188" i="115" s="1"/>
  <c r="K252" i="115"/>
  <c r="L252" i="115" s="1"/>
  <c r="K309" i="115"/>
  <c r="S309" i="115" s="1"/>
  <c r="K331" i="115"/>
  <c r="R331" i="115" s="1"/>
  <c r="K350" i="115"/>
  <c r="K366" i="115"/>
  <c r="P366" i="115" s="1"/>
  <c r="N366" i="115" s="1"/>
  <c r="K382" i="115"/>
  <c r="R382" i="115" s="1"/>
  <c r="K398" i="115"/>
  <c r="R398" i="115" s="1"/>
  <c r="K406" i="115"/>
  <c r="P406" i="115" s="1"/>
  <c r="N406" i="115" s="1"/>
  <c r="K414" i="115"/>
  <c r="P414" i="115" s="1"/>
  <c r="N414" i="115" s="1"/>
  <c r="K422" i="115"/>
  <c r="L422" i="115" s="1"/>
  <c r="K430" i="115"/>
  <c r="S430" i="115" s="1"/>
  <c r="K438" i="115"/>
  <c r="L438" i="115" s="1"/>
  <c r="K446" i="115"/>
  <c r="P446" i="115" s="1"/>
  <c r="N446" i="115" s="1"/>
  <c r="K454" i="115"/>
  <c r="R454" i="115" s="1"/>
  <c r="K462" i="115"/>
  <c r="S462" i="115" s="1"/>
  <c r="K470" i="115"/>
  <c r="K478" i="115"/>
  <c r="K486" i="115"/>
  <c r="K494" i="115"/>
  <c r="P494" i="115" s="1"/>
  <c r="N494" i="115" s="1"/>
  <c r="K502" i="115"/>
  <c r="S502" i="115" s="1"/>
  <c r="K510" i="115"/>
  <c r="K518" i="115"/>
  <c r="P518" i="115" s="1"/>
  <c r="N518" i="115" s="1"/>
  <c r="K526" i="115"/>
  <c r="K534" i="115"/>
  <c r="S534" i="115" s="1"/>
  <c r="K542" i="115"/>
  <c r="P542" i="115" s="1"/>
  <c r="N542" i="115" s="1"/>
  <c r="K550" i="115"/>
  <c r="P550" i="115" s="1"/>
  <c r="N550" i="115" s="1"/>
  <c r="K558" i="115"/>
  <c r="R558" i="115" s="1"/>
  <c r="K563" i="115"/>
  <c r="P563" i="115" s="1"/>
  <c r="N563" i="115" s="1"/>
  <c r="K569" i="115"/>
  <c r="R569" i="115" s="1"/>
  <c r="K574" i="115"/>
  <c r="L574" i="115" s="1"/>
  <c r="K579" i="115"/>
  <c r="K583" i="115"/>
  <c r="K587" i="115"/>
  <c r="P587" i="115" s="1"/>
  <c r="N587" i="115" s="1"/>
  <c r="K591" i="115"/>
  <c r="K595" i="115"/>
  <c r="K599" i="115"/>
  <c r="P599" i="115" s="1"/>
  <c r="N599" i="115" s="1"/>
  <c r="K603" i="115"/>
  <c r="K607" i="115"/>
  <c r="P607" i="115" s="1"/>
  <c r="N607" i="115" s="1"/>
  <c r="K611" i="115"/>
  <c r="S611" i="115" s="1"/>
  <c r="K615" i="115"/>
  <c r="S615" i="115" s="1"/>
  <c r="K619" i="115"/>
  <c r="K623" i="115"/>
  <c r="K627" i="115"/>
  <c r="S627" i="115" s="1"/>
  <c r="K631" i="115"/>
  <c r="P631" i="115" s="1"/>
  <c r="N631" i="115" s="1"/>
  <c r="K635" i="115"/>
  <c r="L635" i="115" s="1"/>
  <c r="K639" i="115"/>
  <c r="S639" i="115" s="1"/>
  <c r="K643" i="115"/>
  <c r="L643" i="115" s="1"/>
  <c r="K647" i="115"/>
  <c r="L647" i="115" s="1"/>
  <c r="K651" i="115"/>
  <c r="P651" i="115" s="1"/>
  <c r="N651" i="115" s="1"/>
  <c r="K655" i="115"/>
  <c r="S655" i="115" s="1"/>
  <c r="K659" i="115"/>
  <c r="R659" i="115" s="1"/>
  <c r="K663" i="115"/>
  <c r="L663" i="115" s="1"/>
  <c r="K667" i="115"/>
  <c r="L667" i="115" s="1"/>
  <c r="K671" i="115"/>
  <c r="L671" i="115" s="1"/>
  <c r="K675" i="115"/>
  <c r="K679" i="115"/>
  <c r="R679" i="115" s="1"/>
  <c r="K683" i="115"/>
  <c r="L683" i="115" s="1"/>
  <c r="K687" i="115"/>
  <c r="S687" i="115" s="1"/>
  <c r="K691" i="115"/>
  <c r="R691" i="115" s="1"/>
  <c r="K695" i="115"/>
  <c r="P695" i="115" s="1"/>
  <c r="N695" i="115" s="1"/>
  <c r="K699" i="115"/>
  <c r="L699" i="115" s="1"/>
  <c r="K703" i="115"/>
  <c r="S703" i="115" s="1"/>
  <c r="K707" i="115"/>
  <c r="R707" i="115" s="1"/>
  <c r="K711" i="115"/>
  <c r="P711" i="115" s="1"/>
  <c r="N711" i="115" s="1"/>
  <c r="K715" i="115"/>
  <c r="L715" i="115" s="1"/>
  <c r="K719" i="115"/>
  <c r="R719" i="115" s="1"/>
  <c r="K723" i="115"/>
  <c r="R723" i="115" s="1"/>
  <c r="K727" i="115"/>
  <c r="L727" i="115" s="1"/>
  <c r="K731" i="115"/>
  <c r="R731" i="115" s="1"/>
  <c r="K735" i="115"/>
  <c r="P735" i="115" s="1"/>
  <c r="N735" i="115" s="1"/>
  <c r="K739" i="115"/>
  <c r="R739" i="115" s="1"/>
  <c r="K743" i="115"/>
  <c r="P743" i="115" s="1"/>
  <c r="N743" i="115" s="1"/>
  <c r="K747" i="115"/>
  <c r="R747" i="115" s="1"/>
  <c r="K751" i="115"/>
  <c r="P751" i="115" s="1"/>
  <c r="N751" i="115" s="1"/>
  <c r="K755" i="115"/>
  <c r="K759" i="115"/>
  <c r="P759" i="115" s="1"/>
  <c r="N759" i="115" s="1"/>
  <c r="K763" i="115"/>
  <c r="L763" i="115" s="1"/>
  <c r="K767" i="115"/>
  <c r="S767" i="115" s="1"/>
  <c r="K771" i="115"/>
  <c r="K775" i="115"/>
  <c r="S775" i="115" s="1"/>
  <c r="K779" i="115"/>
  <c r="L779" i="115" s="1"/>
  <c r="K783" i="115"/>
  <c r="R783" i="115" s="1"/>
  <c r="K787" i="115"/>
  <c r="R787" i="115" s="1"/>
  <c r="K791" i="115"/>
  <c r="L791" i="115" s="1"/>
  <c r="K795" i="115"/>
  <c r="S795" i="115" s="1"/>
  <c r="K799" i="115"/>
  <c r="K803" i="115"/>
  <c r="K807" i="115"/>
  <c r="S807" i="115" s="1"/>
  <c r="K811" i="115"/>
  <c r="K815" i="115"/>
  <c r="R815" i="115" s="1"/>
  <c r="K819" i="115"/>
  <c r="S819" i="115" s="1"/>
  <c r="K823" i="115"/>
  <c r="L823" i="115" s="1"/>
  <c r="K827" i="115"/>
  <c r="K831" i="115"/>
  <c r="L831" i="115" s="1"/>
  <c r="K835" i="115"/>
  <c r="S835" i="115" s="1"/>
  <c r="K839" i="115"/>
  <c r="P839" i="115" s="1"/>
  <c r="N839" i="115" s="1"/>
  <c r="K843" i="115"/>
  <c r="R843" i="115" s="1"/>
  <c r="K847" i="115"/>
  <c r="R847" i="115" s="1"/>
  <c r="K851" i="115"/>
  <c r="K855" i="115"/>
  <c r="S855" i="115" s="1"/>
  <c r="K859" i="115"/>
  <c r="P859" i="115" s="1"/>
  <c r="N859" i="115" s="1"/>
  <c r="K863" i="115"/>
  <c r="P863" i="115" s="1"/>
  <c r="N863" i="115" s="1"/>
  <c r="K867" i="115"/>
  <c r="S867" i="115" s="1"/>
  <c r="K871" i="115"/>
  <c r="K875" i="115"/>
  <c r="K879" i="115"/>
  <c r="L879" i="115" s="1"/>
  <c r="K883" i="115"/>
  <c r="S883" i="115" s="1"/>
  <c r="K887" i="115"/>
  <c r="K891" i="115"/>
  <c r="R891" i="115" s="1"/>
  <c r="K895" i="115"/>
  <c r="S895" i="115" s="1"/>
  <c r="K899" i="115"/>
  <c r="R899" i="115" s="1"/>
  <c r="K903" i="115"/>
  <c r="R903" i="115" s="1"/>
  <c r="K907" i="115"/>
  <c r="K911" i="115"/>
  <c r="P911" i="115" s="1"/>
  <c r="N911" i="115" s="1"/>
  <c r="K915" i="115"/>
  <c r="R915" i="115" s="1"/>
  <c r="K919" i="115"/>
  <c r="K923" i="115"/>
  <c r="R923" i="115" s="1"/>
  <c r="K927" i="115"/>
  <c r="S927" i="115" s="1"/>
  <c r="K931" i="115"/>
  <c r="S931" i="115" s="1"/>
  <c r="K935" i="115"/>
  <c r="L935" i="115" s="1"/>
  <c r="K939" i="115"/>
  <c r="K943" i="115"/>
  <c r="P943" i="115" s="1"/>
  <c r="N943" i="115" s="1"/>
  <c r="K947" i="115"/>
  <c r="R947" i="115" s="1"/>
  <c r="K951" i="115"/>
  <c r="P951" i="115" s="1"/>
  <c r="N951" i="115" s="1"/>
  <c r="K955" i="115"/>
  <c r="S955" i="115" s="1"/>
  <c r="K959" i="115"/>
  <c r="L959" i="115" s="1"/>
  <c r="K963" i="115"/>
  <c r="P963" i="115" s="1"/>
  <c r="N963" i="115" s="1"/>
  <c r="K967" i="115"/>
  <c r="S967" i="115" s="1"/>
  <c r="K971" i="115"/>
  <c r="L971" i="115" s="1"/>
  <c r="K975" i="115"/>
  <c r="K979" i="115"/>
  <c r="R979" i="115" s="1"/>
  <c r="K983" i="115"/>
  <c r="S983" i="115" s="1"/>
  <c r="K987" i="115"/>
  <c r="K991" i="115"/>
  <c r="K995" i="115"/>
  <c r="S995" i="115" s="1"/>
  <c r="K999" i="115"/>
  <c r="K28" i="115"/>
  <c r="R28" i="115" s="1"/>
  <c r="K156" i="115"/>
  <c r="S156" i="115" s="1"/>
  <c r="K284" i="115"/>
  <c r="S284" i="115" s="1"/>
  <c r="K341" i="115"/>
  <c r="L341" i="115" s="1"/>
  <c r="K374" i="115"/>
  <c r="L374" i="115" s="1"/>
  <c r="K402" i="115"/>
  <c r="K418" i="115"/>
  <c r="R418" i="115" s="1"/>
  <c r="K434" i="115"/>
  <c r="S434" i="115" s="1"/>
  <c r="K450" i="115"/>
  <c r="K466" i="115"/>
  <c r="K482" i="115"/>
  <c r="R482" i="115" s="1"/>
  <c r="K498" i="115"/>
  <c r="L498" i="115" s="1"/>
  <c r="K514" i="115"/>
  <c r="K530" i="115"/>
  <c r="S530" i="115" s="1"/>
  <c r="K546" i="115"/>
  <c r="S546" i="115" s="1"/>
  <c r="K561" i="115"/>
  <c r="P561" i="115" s="1"/>
  <c r="N561" i="115" s="1"/>
  <c r="K571" i="115"/>
  <c r="R571" i="115" s="1"/>
  <c r="K581" i="115"/>
  <c r="P581" i="115" s="1"/>
  <c r="N581" i="115" s="1"/>
  <c r="K589" i="115"/>
  <c r="S589" i="115" s="1"/>
  <c r="K597" i="115"/>
  <c r="L597" i="115" s="1"/>
  <c r="K605" i="115"/>
  <c r="P605" i="115" s="1"/>
  <c r="N605" i="115" s="1"/>
  <c r="K613" i="115"/>
  <c r="R613" i="115" s="1"/>
  <c r="K621" i="115"/>
  <c r="S621" i="115" s="1"/>
  <c r="K629" i="115"/>
  <c r="P629" i="115" s="1"/>
  <c r="N629" i="115" s="1"/>
  <c r="K637" i="115"/>
  <c r="L637" i="115" s="1"/>
  <c r="K645" i="115"/>
  <c r="K653" i="115"/>
  <c r="S653" i="115" s="1"/>
  <c r="K661" i="115"/>
  <c r="L661" i="115" s="1"/>
  <c r="K669" i="115"/>
  <c r="P669" i="115" s="1"/>
  <c r="N669" i="115" s="1"/>
  <c r="K677" i="115"/>
  <c r="S677" i="115" s="1"/>
  <c r="K685" i="115"/>
  <c r="R685" i="115" s="1"/>
  <c r="K693" i="115"/>
  <c r="S693" i="115" s="1"/>
  <c r="K701" i="115"/>
  <c r="P701" i="115" s="1"/>
  <c r="N701" i="115" s="1"/>
  <c r="K709" i="115"/>
  <c r="R709" i="115" s="1"/>
  <c r="K717" i="115"/>
  <c r="R717" i="115" s="1"/>
  <c r="K725" i="115"/>
  <c r="S725" i="115" s="1"/>
  <c r="K733" i="115"/>
  <c r="P733" i="115" s="1"/>
  <c r="N733" i="115" s="1"/>
  <c r="K741" i="115"/>
  <c r="K749" i="115"/>
  <c r="R749" i="115" s="1"/>
  <c r="K757" i="115"/>
  <c r="L757" i="115" s="1"/>
  <c r="K765" i="115"/>
  <c r="L765" i="115" s="1"/>
  <c r="K773" i="115"/>
  <c r="K781" i="115"/>
  <c r="K789" i="115"/>
  <c r="K797" i="115"/>
  <c r="L797" i="115" s="1"/>
  <c r="K805" i="115"/>
  <c r="K813" i="115"/>
  <c r="R813" i="115" s="1"/>
  <c r="K821" i="115"/>
  <c r="P821" i="115" s="1"/>
  <c r="N821" i="115" s="1"/>
  <c r="K829" i="115"/>
  <c r="R829" i="115" s="1"/>
  <c r="K837" i="115"/>
  <c r="K845" i="115"/>
  <c r="R845" i="115" s="1"/>
  <c r="K853" i="115"/>
  <c r="S853" i="115" s="1"/>
  <c r="K861" i="115"/>
  <c r="P861" i="115" s="1"/>
  <c r="N861" i="115" s="1"/>
  <c r="K869" i="115"/>
  <c r="R869" i="115" s="1"/>
  <c r="K877" i="115"/>
  <c r="R877" i="115" s="1"/>
  <c r="K885" i="115"/>
  <c r="S885" i="115" s="1"/>
  <c r="K893" i="115"/>
  <c r="L893" i="115" s="1"/>
  <c r="K901" i="115"/>
  <c r="R901" i="115" s="1"/>
  <c r="K909" i="115"/>
  <c r="S909" i="115" s="1"/>
  <c r="K917" i="115"/>
  <c r="K925" i="115"/>
  <c r="R925" i="115" s="1"/>
  <c r="K933" i="115"/>
  <c r="K92" i="115"/>
  <c r="K220" i="115"/>
  <c r="P220" i="115" s="1"/>
  <c r="N220" i="115" s="1"/>
  <c r="K320" i="115"/>
  <c r="K358" i="115"/>
  <c r="S358" i="115" s="1"/>
  <c r="K390" i="115"/>
  <c r="R390" i="115" s="1"/>
  <c r="K410" i="115"/>
  <c r="S410" i="115" s="1"/>
  <c r="K426" i="115"/>
  <c r="S426" i="115" s="1"/>
  <c r="K442" i="115"/>
  <c r="S442" i="115" s="1"/>
  <c r="K458" i="115"/>
  <c r="R458" i="115" s="1"/>
  <c r="K474" i="115"/>
  <c r="P474" i="115" s="1"/>
  <c r="N474" i="115" s="1"/>
  <c r="K490" i="115"/>
  <c r="L490" i="115" s="1"/>
  <c r="K506" i="115"/>
  <c r="S506" i="115" s="1"/>
  <c r="K522" i="115"/>
  <c r="S522" i="115" s="1"/>
  <c r="K538" i="115"/>
  <c r="R538" i="115" s="1"/>
  <c r="K554" i="115"/>
  <c r="K566" i="115"/>
  <c r="K577" i="115"/>
  <c r="S577" i="115" s="1"/>
  <c r="K585" i="115"/>
  <c r="K593" i="115"/>
  <c r="L593" i="115" s="1"/>
  <c r="K601" i="115"/>
  <c r="S601" i="115" s="1"/>
  <c r="K609" i="115"/>
  <c r="S609" i="115" s="1"/>
  <c r="K617" i="115"/>
  <c r="R617" i="115" s="1"/>
  <c r="K625" i="115"/>
  <c r="S625" i="115" s="1"/>
  <c r="K633" i="115"/>
  <c r="S633" i="115" s="1"/>
  <c r="K641" i="115"/>
  <c r="S641" i="115" s="1"/>
  <c r="K649" i="115"/>
  <c r="K657" i="115"/>
  <c r="K665" i="115"/>
  <c r="R665" i="115" s="1"/>
  <c r="K673" i="115"/>
  <c r="L673" i="115" s="1"/>
  <c r="K681" i="115"/>
  <c r="P681" i="115" s="1"/>
  <c r="N681" i="115" s="1"/>
  <c r="K689" i="115"/>
  <c r="R689" i="115" s="1"/>
  <c r="K697" i="115"/>
  <c r="P697" i="115" s="1"/>
  <c r="N697" i="115" s="1"/>
  <c r="K705" i="115"/>
  <c r="P705" i="115" s="1"/>
  <c r="N705" i="115" s="1"/>
  <c r="K713" i="115"/>
  <c r="S713" i="115" s="1"/>
  <c r="K721" i="115"/>
  <c r="K729" i="115"/>
  <c r="P729" i="115" s="1"/>
  <c r="N729" i="115" s="1"/>
  <c r="K737" i="115"/>
  <c r="R737" i="115" s="1"/>
  <c r="K745" i="115"/>
  <c r="P745" i="115" s="1"/>
  <c r="N745" i="115" s="1"/>
  <c r="K753" i="115"/>
  <c r="L753" i="115" s="1"/>
  <c r="K761" i="115"/>
  <c r="K769" i="115"/>
  <c r="K777" i="115"/>
  <c r="P777" i="115" s="1"/>
  <c r="N777" i="115" s="1"/>
  <c r="K785" i="115"/>
  <c r="K793" i="115"/>
  <c r="R793" i="115" s="1"/>
  <c r="K801" i="115"/>
  <c r="P801" i="115" s="1"/>
  <c r="N801" i="115" s="1"/>
  <c r="K809" i="115"/>
  <c r="P809" i="115" s="1"/>
  <c r="N809" i="115" s="1"/>
  <c r="K817" i="115"/>
  <c r="K825" i="115"/>
  <c r="S825" i="115" s="1"/>
  <c r="K833" i="115"/>
  <c r="P833" i="115" s="1"/>
  <c r="N833" i="115" s="1"/>
  <c r="K841" i="115"/>
  <c r="S841" i="115" s="1"/>
  <c r="K849" i="115"/>
  <c r="R849" i="115" s="1"/>
  <c r="K857" i="115"/>
  <c r="K865" i="115"/>
  <c r="S865" i="115" s="1"/>
  <c r="K873" i="115"/>
  <c r="S873" i="115" s="1"/>
  <c r="K881" i="115"/>
  <c r="R881" i="115" s="1"/>
  <c r="K889" i="115"/>
  <c r="S889" i="115" s="1"/>
  <c r="K897" i="115"/>
  <c r="S897" i="115" s="1"/>
  <c r="K905" i="115"/>
  <c r="S905" i="115" s="1"/>
  <c r="K913" i="115"/>
  <c r="K921" i="115"/>
  <c r="S921" i="115" s="1"/>
  <c r="K929" i="115"/>
  <c r="S929" i="115" s="1"/>
  <c r="K937" i="115"/>
  <c r="S937" i="115" s="1"/>
  <c r="K945" i="115"/>
  <c r="S945" i="115" s="1"/>
  <c r="K953" i="115"/>
  <c r="P953" i="115" s="1"/>
  <c r="N953" i="115" s="1"/>
  <c r="K961" i="115"/>
  <c r="R961" i="115" s="1"/>
  <c r="K969" i="115"/>
  <c r="R969" i="115" s="1"/>
  <c r="K977" i="115"/>
  <c r="K985" i="115"/>
  <c r="K993" i="115"/>
  <c r="K1001" i="115"/>
  <c r="R1001" i="115" s="1"/>
  <c r="K44" i="115"/>
  <c r="K300" i="115"/>
  <c r="K378" i="115"/>
  <c r="R378" i="115" s="1"/>
  <c r="K419" i="115"/>
  <c r="K451" i="115"/>
  <c r="R451" i="115" s="1"/>
  <c r="K483" i="115"/>
  <c r="S483" i="115" s="1"/>
  <c r="K515" i="115"/>
  <c r="S515" i="115" s="1"/>
  <c r="K547" i="115"/>
  <c r="P547" i="115" s="1"/>
  <c r="N547" i="115" s="1"/>
  <c r="K573" i="115"/>
  <c r="P573" i="115" s="1"/>
  <c r="N573" i="115" s="1"/>
  <c r="K590" i="115"/>
  <c r="S590" i="115" s="1"/>
  <c r="K606" i="115"/>
  <c r="R606" i="115" s="1"/>
  <c r="K622" i="115"/>
  <c r="K638" i="115"/>
  <c r="L638" i="115" s="1"/>
  <c r="K654" i="115"/>
  <c r="S654" i="115" s="1"/>
  <c r="K670" i="115"/>
  <c r="R670" i="115" s="1"/>
  <c r="K686" i="115"/>
  <c r="R686" i="115" s="1"/>
  <c r="K702" i="115"/>
  <c r="P702" i="115" s="1"/>
  <c r="N702" i="115" s="1"/>
  <c r="K718" i="115"/>
  <c r="S718" i="115" s="1"/>
  <c r="K734" i="115"/>
  <c r="R734" i="115" s="1"/>
  <c r="K750" i="115"/>
  <c r="P750" i="115" s="1"/>
  <c r="N750" i="115" s="1"/>
  <c r="K766" i="115"/>
  <c r="P766" i="115" s="1"/>
  <c r="N766" i="115" s="1"/>
  <c r="K782" i="115"/>
  <c r="K798" i="115"/>
  <c r="R798" i="115" s="1"/>
  <c r="K814" i="115"/>
  <c r="P814" i="115" s="1"/>
  <c r="N814" i="115" s="1"/>
  <c r="K830" i="115"/>
  <c r="P830" i="115" s="1"/>
  <c r="N830" i="115" s="1"/>
  <c r="K846" i="115"/>
  <c r="R846" i="115" s="1"/>
  <c r="K862" i="115"/>
  <c r="S862" i="115" s="1"/>
  <c r="K878" i="115"/>
  <c r="P878" i="115" s="1"/>
  <c r="N878" i="115" s="1"/>
  <c r="K894" i="115"/>
  <c r="K910" i="115"/>
  <c r="R910" i="115" s="1"/>
  <c r="K926" i="115"/>
  <c r="S926" i="115" s="1"/>
  <c r="K941" i="115"/>
  <c r="R941" i="115" s="1"/>
  <c r="K950" i="115"/>
  <c r="S950" i="115" s="1"/>
  <c r="K962" i="115"/>
  <c r="R962" i="115" s="1"/>
  <c r="K973" i="115"/>
  <c r="K982" i="115"/>
  <c r="R982" i="115" s="1"/>
  <c r="K994" i="115"/>
  <c r="K236" i="115"/>
  <c r="R236" i="115" s="1"/>
  <c r="K362" i="115"/>
  <c r="K411" i="115"/>
  <c r="P411" i="115" s="1"/>
  <c r="N411" i="115" s="1"/>
  <c r="K443" i="115"/>
  <c r="K475" i="115"/>
  <c r="R475" i="115" s="1"/>
  <c r="K507" i="115"/>
  <c r="L507" i="115" s="1"/>
  <c r="K539" i="115"/>
  <c r="S539" i="115" s="1"/>
  <c r="K567" i="115"/>
  <c r="S567" i="115" s="1"/>
  <c r="K586" i="115"/>
  <c r="K602" i="115"/>
  <c r="R602" i="115" s="1"/>
  <c r="K618" i="115"/>
  <c r="P618" i="115" s="1"/>
  <c r="N618" i="115" s="1"/>
  <c r="K634" i="115"/>
  <c r="S634" i="115" s="1"/>
  <c r="K650" i="115"/>
  <c r="R650" i="115" s="1"/>
  <c r="K666" i="115"/>
  <c r="S666" i="115" s="1"/>
  <c r="K682" i="115"/>
  <c r="S682" i="115" s="1"/>
  <c r="K698" i="115"/>
  <c r="S698" i="115" s="1"/>
  <c r="K714" i="115"/>
  <c r="K730" i="115"/>
  <c r="L730" i="115" s="1"/>
  <c r="K746" i="115"/>
  <c r="S746" i="115" s="1"/>
  <c r="K762" i="115"/>
  <c r="R762" i="115" s="1"/>
  <c r="K778" i="115"/>
  <c r="S778" i="115" s="1"/>
  <c r="K794" i="115"/>
  <c r="P794" i="115" s="1"/>
  <c r="N794" i="115" s="1"/>
  <c r="K810" i="115"/>
  <c r="R810" i="115" s="1"/>
  <c r="K826" i="115"/>
  <c r="L826" i="115" s="1"/>
  <c r="K842" i="115"/>
  <c r="L842" i="115" s="1"/>
  <c r="K858" i="115"/>
  <c r="S858" i="115" s="1"/>
  <c r="K874" i="115"/>
  <c r="R874" i="115" s="1"/>
  <c r="K890" i="115"/>
  <c r="S890" i="115" s="1"/>
  <c r="K906" i="115"/>
  <c r="K922" i="115"/>
  <c r="L922" i="115" s="1"/>
  <c r="K938" i="115"/>
  <c r="R938" i="115" s="1"/>
  <c r="K949" i="115"/>
  <c r="P949" i="115" s="1"/>
  <c r="N949" i="115" s="1"/>
  <c r="K958" i="115"/>
  <c r="S958" i="115" s="1"/>
  <c r="K970" i="115"/>
  <c r="L970" i="115" s="1"/>
  <c r="K981" i="115"/>
  <c r="S981" i="115" s="1"/>
  <c r="K990" i="115"/>
  <c r="P990" i="115" s="1"/>
  <c r="N990" i="115" s="1"/>
  <c r="K108" i="115"/>
  <c r="K394" i="115"/>
  <c r="S394" i="115" s="1"/>
  <c r="K459" i="115"/>
  <c r="R459" i="115" s="1"/>
  <c r="K523" i="115"/>
  <c r="K578" i="115"/>
  <c r="S578" i="115" s="1"/>
  <c r="K610" i="115"/>
  <c r="R610" i="115" s="1"/>
  <c r="K642" i="115"/>
  <c r="S642" i="115" s="1"/>
  <c r="K674" i="115"/>
  <c r="L674" i="115" s="1"/>
  <c r="K706" i="115"/>
  <c r="R706" i="115" s="1"/>
  <c r="K738" i="115"/>
  <c r="R738" i="115" s="1"/>
  <c r="K770" i="115"/>
  <c r="R770" i="115" s="1"/>
  <c r="K802" i="115"/>
  <c r="S802" i="115" s="1"/>
  <c r="K834" i="115"/>
  <c r="R834" i="115" s="1"/>
  <c r="K866" i="115"/>
  <c r="P866" i="115" s="1"/>
  <c r="N866" i="115" s="1"/>
  <c r="K898" i="115"/>
  <c r="P898" i="115" s="1"/>
  <c r="N898" i="115" s="1"/>
  <c r="K930" i="115"/>
  <c r="S930" i="115" s="1"/>
  <c r="K954" i="115"/>
  <c r="S954" i="115" s="1"/>
  <c r="K974" i="115"/>
  <c r="S974" i="115" s="1"/>
  <c r="K997" i="115"/>
  <c r="R997" i="115" s="1"/>
  <c r="K172" i="115"/>
  <c r="K582" i="115"/>
  <c r="S582" i="115" s="1"/>
  <c r="K646" i="115"/>
  <c r="S646" i="115" s="1"/>
  <c r="K742" i="115"/>
  <c r="R742" i="115" s="1"/>
  <c r="K806" i="115"/>
  <c r="S806" i="115" s="1"/>
  <c r="K902" i="115"/>
  <c r="R902" i="115" s="1"/>
  <c r="K957" i="115"/>
  <c r="S957" i="115" s="1"/>
  <c r="K998" i="115"/>
  <c r="P998" i="115" s="1"/>
  <c r="N998" i="115" s="1"/>
  <c r="K491" i="115"/>
  <c r="S491" i="115" s="1"/>
  <c r="K626" i="115"/>
  <c r="K722" i="115"/>
  <c r="R722" i="115" s="1"/>
  <c r="K818" i="115"/>
  <c r="K882" i="115"/>
  <c r="S882" i="115" s="1"/>
  <c r="K965" i="115"/>
  <c r="K467" i="115"/>
  <c r="R467" i="115" s="1"/>
  <c r="K678" i="115"/>
  <c r="R678" i="115" s="1"/>
  <c r="K838" i="115"/>
  <c r="S838" i="115" s="1"/>
  <c r="K978" i="115"/>
  <c r="S978" i="115" s="1"/>
  <c r="K427" i="115"/>
  <c r="L427" i="115" s="1"/>
  <c r="K555" i="115"/>
  <c r="R555" i="115" s="1"/>
  <c r="K658" i="115"/>
  <c r="K754" i="115"/>
  <c r="K850" i="115"/>
  <c r="S850" i="115" s="1"/>
  <c r="K942" i="115"/>
  <c r="S942" i="115" s="1"/>
  <c r="K346" i="115"/>
  <c r="K435" i="115"/>
  <c r="S435" i="115" s="1"/>
  <c r="K499" i="115"/>
  <c r="P499" i="115" s="1"/>
  <c r="N499" i="115" s="1"/>
  <c r="K562" i="115"/>
  <c r="R562" i="115" s="1"/>
  <c r="K598" i="115"/>
  <c r="S598" i="115" s="1"/>
  <c r="K630" i="115"/>
  <c r="S630" i="115" s="1"/>
  <c r="K662" i="115"/>
  <c r="R662" i="115" s="1"/>
  <c r="K694" i="115"/>
  <c r="R694" i="115" s="1"/>
  <c r="K726" i="115"/>
  <c r="R726" i="115" s="1"/>
  <c r="K758" i="115"/>
  <c r="R758" i="115" s="1"/>
  <c r="K790" i="115"/>
  <c r="K822" i="115"/>
  <c r="S822" i="115" s="1"/>
  <c r="K854" i="115"/>
  <c r="S854" i="115" s="1"/>
  <c r="K886" i="115"/>
  <c r="S886" i="115" s="1"/>
  <c r="K918" i="115"/>
  <c r="R918" i="115" s="1"/>
  <c r="K946" i="115"/>
  <c r="P946" i="115" s="1"/>
  <c r="N946" i="115" s="1"/>
  <c r="K966" i="115"/>
  <c r="K989" i="115"/>
  <c r="R989" i="115" s="1"/>
  <c r="K403" i="115"/>
  <c r="S403" i="115" s="1"/>
  <c r="K531" i="115"/>
  <c r="L531" i="115" s="1"/>
  <c r="K614" i="115"/>
  <c r="K710" i="115"/>
  <c r="R710" i="115" s="1"/>
  <c r="K774" i="115"/>
  <c r="S774" i="115" s="1"/>
  <c r="K870" i="115"/>
  <c r="R870" i="115" s="1"/>
  <c r="K934" i="115"/>
  <c r="K325" i="115"/>
  <c r="S325" i="115" s="1"/>
  <c r="K594" i="115"/>
  <c r="K690" i="115"/>
  <c r="R690" i="115" s="1"/>
  <c r="K786" i="115"/>
  <c r="P786" i="115" s="1"/>
  <c r="N786" i="115" s="1"/>
  <c r="K914" i="115"/>
  <c r="L914" i="115" s="1"/>
  <c r="K986" i="115"/>
  <c r="R986" i="115" s="1"/>
  <c r="P24" i="115"/>
  <c r="R240" i="115"/>
  <c r="R99" i="115"/>
  <c r="R305" i="115"/>
  <c r="S97" i="115"/>
  <c r="S235" i="115"/>
  <c r="R155" i="115"/>
  <c r="R193" i="115"/>
  <c r="R5" i="115"/>
  <c r="F20" i="144" s="1"/>
  <c r="S5" i="115"/>
  <c r="R81" i="115"/>
  <c r="S11" i="115"/>
  <c r="P203" i="115"/>
  <c r="N203" i="115" s="1"/>
  <c r="L187" i="115"/>
  <c r="P242" i="115"/>
  <c r="N242" i="115" s="1"/>
  <c r="P440" i="115"/>
  <c r="N440" i="115" s="1"/>
  <c r="L70" i="115"/>
  <c r="L280" i="115"/>
  <c r="P43" i="115"/>
  <c r="N43" i="115" s="1"/>
  <c r="L43" i="115"/>
  <c r="P27" i="115"/>
  <c r="P123" i="115"/>
  <c r="N123" i="115" s="1"/>
  <c r="L123" i="115"/>
  <c r="P100" i="115"/>
  <c r="N100" i="115" s="1"/>
  <c r="P322" i="115"/>
  <c r="N322" i="115" s="1"/>
  <c r="P408" i="115"/>
  <c r="N408" i="115" s="1"/>
  <c r="P171" i="115"/>
  <c r="N171" i="115" s="1"/>
  <c r="L171" i="115"/>
  <c r="P267" i="115"/>
  <c r="N267" i="115" s="1"/>
  <c r="P225" i="115"/>
  <c r="N225" i="115" s="1"/>
  <c r="P96" i="115"/>
  <c r="N96" i="115" s="1"/>
  <c r="L399" i="115"/>
  <c r="P139" i="115"/>
  <c r="N139" i="115" s="1"/>
  <c r="L139" i="115"/>
  <c r="P210" i="115"/>
  <c r="N210" i="115" s="1"/>
  <c r="P274" i="115"/>
  <c r="N274" i="115" s="1"/>
  <c r="L274" i="115"/>
  <c r="L97" i="115"/>
  <c r="P97" i="115"/>
  <c r="N97" i="115" s="1"/>
  <c r="P421" i="115"/>
  <c r="N421" i="115" s="1"/>
  <c r="P178" i="115"/>
  <c r="N178" i="115" s="1"/>
  <c r="L178" i="115"/>
  <c r="P161" i="115"/>
  <c r="N161" i="115" s="1"/>
  <c r="L161" i="115"/>
  <c r="P552" i="115"/>
  <c r="N552" i="115" s="1"/>
  <c r="P88" i="115"/>
  <c r="N88" i="115" s="1"/>
  <c r="P852" i="115"/>
  <c r="N852" i="115" s="1"/>
  <c r="L98" i="115"/>
  <c r="P98" i="115"/>
  <c r="N98" i="115" s="1"/>
  <c r="P288" i="115"/>
  <c r="N288" i="115" s="1"/>
  <c r="L288" i="115"/>
  <c r="P49" i="115"/>
  <c r="N49" i="115" s="1"/>
  <c r="P306" i="115"/>
  <c r="N306" i="115" s="1"/>
  <c r="P485" i="115"/>
  <c r="N485" i="115" s="1"/>
  <c r="L485" i="115"/>
  <c r="L441" i="115"/>
  <c r="P321" i="115"/>
  <c r="N321" i="115" s="1"/>
  <c r="L321" i="115"/>
  <c r="L66" i="115"/>
  <c r="P323" i="115"/>
  <c r="N323" i="115" s="1"/>
  <c r="P140" i="115"/>
  <c r="N140" i="115" s="1"/>
  <c r="L140" i="115"/>
  <c r="P660" i="115"/>
  <c r="N660" i="115" s="1"/>
  <c r="L660" i="115"/>
  <c r="P17" i="115"/>
  <c r="B55" i="144" s="1"/>
  <c r="L17" i="115"/>
  <c r="P437" i="115"/>
  <c r="N437" i="115" s="1"/>
  <c r="L437" i="115"/>
  <c r="P336" i="115"/>
  <c r="N336" i="115" s="1"/>
  <c r="L336" i="115"/>
  <c r="L258" i="115"/>
  <c r="P258" i="115"/>
  <c r="N258" i="115" s="1"/>
  <c r="P245" i="115"/>
  <c r="N245" i="115" s="1"/>
  <c r="P344" i="115"/>
  <c r="N344" i="115" s="1"/>
  <c r="L344" i="115"/>
  <c r="P107" i="115"/>
  <c r="N107" i="115" s="1"/>
  <c r="L107" i="115"/>
  <c r="P75" i="115"/>
  <c r="N75" i="115" s="1"/>
  <c r="L75" i="115"/>
  <c r="P33" i="115"/>
  <c r="L33" i="115"/>
  <c r="P32" i="115"/>
  <c r="L596" i="115"/>
  <c r="P18" i="115"/>
  <c r="L18" i="115"/>
  <c r="P82" i="115"/>
  <c r="N82" i="115" s="1"/>
  <c r="L82" i="115"/>
  <c r="P724" i="115"/>
  <c r="N724" i="115" s="1"/>
  <c r="P114" i="115"/>
  <c r="N114" i="115" s="1"/>
  <c r="L114" i="115"/>
  <c r="P488" i="115"/>
  <c r="N488" i="115" s="1"/>
  <c r="P251" i="115"/>
  <c r="N251" i="115" s="1"/>
  <c r="L251" i="115"/>
  <c r="L129" i="115"/>
  <c r="P129" i="115"/>
  <c r="N129" i="115" s="1"/>
  <c r="L692" i="115"/>
  <c r="P527" i="115"/>
  <c r="N527" i="115" s="1"/>
  <c r="P193" i="115"/>
  <c r="N193" i="115" s="1"/>
  <c r="L193" i="115"/>
  <c r="P289" i="115"/>
  <c r="N289" i="115" s="1"/>
  <c r="L289" i="115"/>
  <c r="L152" i="115"/>
  <c r="P540" i="115"/>
  <c r="N540" i="115" s="1"/>
  <c r="P47" i="115"/>
  <c r="N47" i="115" s="1"/>
  <c r="P81" i="115"/>
  <c r="N81" i="115" s="1"/>
  <c r="L81" i="115"/>
  <c r="L708" i="115"/>
  <c r="P290" i="115"/>
  <c r="N290" i="115" s="1"/>
  <c r="L290" i="115"/>
  <c r="P113" i="115"/>
  <c r="N113" i="115" s="1"/>
  <c r="L113" i="115"/>
  <c r="P373" i="115"/>
  <c r="N373" i="115" s="1"/>
  <c r="P181" i="115"/>
  <c r="N181" i="115" s="1"/>
  <c r="P86" i="115"/>
  <c r="N86" i="115" s="1"/>
  <c r="P568" i="115"/>
  <c r="N568" i="115" s="1"/>
  <c r="L431" i="115"/>
  <c r="P145" i="115"/>
  <c r="N145" i="115" s="1"/>
  <c r="L145" i="115"/>
  <c r="P182" i="115"/>
  <c r="N182" i="115" s="1"/>
  <c r="L130" i="115"/>
  <c r="P130" i="115"/>
  <c r="N130" i="115" s="1"/>
  <c r="P391" i="115"/>
  <c r="N391" i="115" s="1"/>
  <c r="L391" i="115"/>
  <c r="P273" i="115"/>
  <c r="N273" i="115" s="1"/>
  <c r="L273" i="115"/>
  <c r="P34" i="115"/>
  <c r="B95" i="144" s="1"/>
  <c r="L34" i="115"/>
  <c r="P155" i="115"/>
  <c r="N155" i="115" s="1"/>
  <c r="L155" i="115"/>
  <c r="L804" i="115"/>
  <c r="L143" i="115"/>
  <c r="L340" i="115"/>
  <c r="P456" i="115"/>
  <c r="N456" i="115" s="1"/>
  <c r="P95" i="115"/>
  <c r="N95" i="115" s="1"/>
  <c r="L166" i="115"/>
  <c r="P223" i="115"/>
  <c r="N223" i="115" s="1"/>
  <c r="P305" i="115"/>
  <c r="N305" i="115" s="1"/>
  <c r="L305" i="115"/>
  <c r="P549" i="115"/>
  <c r="N549" i="115" s="1"/>
  <c r="L549" i="115"/>
  <c r="P239" i="115"/>
  <c r="N239" i="115" s="1"/>
  <c r="L428" i="115"/>
  <c r="P22" i="115"/>
  <c r="L556" i="115"/>
  <c r="L188" i="115"/>
  <c r="P292" i="115"/>
  <c r="N292" i="115" s="1"/>
  <c r="L292" i="115"/>
  <c r="P343" i="115"/>
  <c r="N343" i="115" s="1"/>
  <c r="L343" i="115"/>
  <c r="L63" i="115"/>
  <c r="P364" i="115"/>
  <c r="N364" i="115" s="1"/>
  <c r="L85" i="115"/>
  <c r="P612" i="115"/>
  <c r="N612" i="115" s="1"/>
  <c r="P444" i="115"/>
  <c r="N444" i="115" s="1"/>
  <c r="P21" i="115"/>
  <c r="L21" i="115"/>
  <c r="P209" i="115"/>
  <c r="N209" i="115" s="1"/>
  <c r="L209" i="115"/>
  <c r="L406" i="115"/>
  <c r="P177" i="115"/>
  <c r="N177" i="115" s="1"/>
  <c r="L177" i="115"/>
  <c r="L820" i="115"/>
  <c r="P255" i="115"/>
  <c r="N255" i="115" s="1"/>
  <c r="L255" i="115"/>
  <c r="P375" i="115"/>
  <c r="N375" i="115" s="1"/>
  <c r="L375" i="115"/>
  <c r="P11" i="115"/>
  <c r="B26" i="144" s="1"/>
  <c r="L11" i="115"/>
  <c r="P162" i="115"/>
  <c r="N162" i="115" s="1"/>
  <c r="L162" i="115"/>
  <c r="P59" i="115"/>
  <c r="N59" i="115" s="1"/>
  <c r="L59" i="115"/>
  <c r="L214" i="115"/>
  <c r="P133" i="115"/>
  <c r="N133" i="115" s="1"/>
  <c r="L176" i="115"/>
  <c r="P194" i="115"/>
  <c r="N194" i="115" s="1"/>
  <c r="L194" i="115"/>
  <c r="L396" i="115"/>
  <c r="P37" i="115"/>
  <c r="B98" i="144" s="1"/>
  <c r="P164" i="115"/>
  <c r="N164" i="115" s="1"/>
  <c r="L164" i="115"/>
  <c r="P91" i="115"/>
  <c r="N91" i="115" s="1"/>
  <c r="L91" i="115"/>
  <c r="P226" i="115"/>
  <c r="N226" i="115" s="1"/>
  <c r="L226" i="115"/>
  <c r="P460" i="115"/>
  <c r="N460" i="115" s="1"/>
  <c r="L460" i="115"/>
  <c r="P820" i="115" l="1"/>
  <c r="N820" i="115" s="1"/>
  <c r="P188" i="115"/>
  <c r="N188" i="115" s="1"/>
  <c r="P980" i="115"/>
  <c r="N980" i="115" s="1"/>
  <c r="L740" i="115"/>
  <c r="L788" i="115"/>
  <c r="L389" i="115"/>
  <c r="L392" i="115"/>
  <c r="P647" i="115"/>
  <c r="N647" i="115" s="1"/>
  <c r="L996" i="115"/>
  <c r="L520" i="115"/>
  <c r="L676" i="115"/>
  <c r="P152" i="115"/>
  <c r="N152" i="115" s="1"/>
  <c r="P596" i="115"/>
  <c r="N596" i="115" s="1"/>
  <c r="L884" i="115"/>
  <c r="P644" i="115"/>
  <c r="N644" i="115" s="1"/>
  <c r="P916" i="115"/>
  <c r="N916" i="115" s="1"/>
  <c r="L376" i="115"/>
  <c r="L517" i="115"/>
  <c r="L756" i="115"/>
  <c r="L932" i="115"/>
  <c r="L559" i="115"/>
  <c r="L216" i="115"/>
  <c r="L405" i="115"/>
  <c r="P392" i="115"/>
  <c r="N392" i="115" s="1"/>
  <c r="P996" i="115"/>
  <c r="N996" i="115" s="1"/>
  <c r="P520" i="115"/>
  <c r="N520" i="115" s="1"/>
  <c r="L456" i="115"/>
  <c r="L568" i="115"/>
  <c r="L373" i="115"/>
  <c r="L488" i="115"/>
  <c r="P964" i="115"/>
  <c r="N964" i="115" s="1"/>
  <c r="P615" i="115"/>
  <c r="N615" i="115" s="1"/>
  <c r="P469" i="115"/>
  <c r="N469" i="115" s="1"/>
  <c r="P628" i="115"/>
  <c r="N628" i="115" s="1"/>
  <c r="P319" i="115"/>
  <c r="N319" i="115" s="1"/>
  <c r="L76" i="115"/>
  <c r="P535" i="115"/>
  <c r="N535" i="115" s="1"/>
  <c r="P396" i="115"/>
  <c r="N396" i="115" s="1"/>
  <c r="P176" i="115"/>
  <c r="N176" i="115" s="1"/>
  <c r="L15" i="115"/>
  <c r="B62" i="14" s="1"/>
  <c r="P296" i="115"/>
  <c r="N296" i="115" s="1"/>
  <c r="P556" i="115"/>
  <c r="N556" i="115" s="1"/>
  <c r="P101" i="115"/>
  <c r="N101" i="115" s="1"/>
  <c r="L133" i="115"/>
  <c r="P632" i="115"/>
  <c r="N632" i="115" s="1"/>
  <c r="L471" i="115"/>
  <c r="P197" i="115"/>
  <c r="N197" i="115" s="1"/>
  <c r="P476" i="115"/>
  <c r="N476" i="115" s="1"/>
  <c r="L364" i="115"/>
  <c r="L95" i="115"/>
  <c r="P2" i="115"/>
  <c r="B6" i="139" s="1"/>
  <c r="P261" i="115"/>
  <c r="N261" i="115" s="1"/>
  <c r="P505" i="115"/>
  <c r="N505" i="115" s="1"/>
  <c r="P127" i="115"/>
  <c r="N127" i="115" s="1"/>
  <c r="L47" i="115"/>
  <c r="P348" i="115"/>
  <c r="N348" i="115" s="1"/>
  <c r="L159" i="115"/>
  <c r="P38" i="115"/>
  <c r="N38" i="115" s="1"/>
  <c r="L271" i="115"/>
  <c r="L347" i="115"/>
  <c r="L303" i="115"/>
  <c r="S95" i="115"/>
  <c r="P489" i="115"/>
  <c r="N489" i="115" s="1"/>
  <c r="P246" i="115"/>
  <c r="N246" i="115" s="1"/>
  <c r="L425" i="115"/>
  <c r="P327" i="115"/>
  <c r="N327" i="115" s="1"/>
  <c r="P303" i="115"/>
  <c r="N303" i="115" s="1"/>
  <c r="P118" i="115"/>
  <c r="N118" i="115" s="1"/>
  <c r="L277" i="115"/>
  <c r="S396" i="115"/>
  <c r="S2" i="115"/>
  <c r="R303" i="115"/>
  <c r="L101" i="115"/>
  <c r="P143" i="115"/>
  <c r="N143" i="115" s="1"/>
  <c r="L2" i="115"/>
  <c r="L261" i="115"/>
  <c r="P508" i="115"/>
  <c r="N508" i="115" s="1"/>
  <c r="L127" i="115"/>
  <c r="L348" i="115"/>
  <c r="L328" i="115"/>
  <c r="L52" i="115"/>
  <c r="L150" i="115"/>
  <c r="R21" i="115"/>
  <c r="F59" i="12" s="1"/>
  <c r="F59" i="119" s="1"/>
  <c r="F59" i="118" s="1"/>
  <c r="L632" i="115"/>
  <c r="L296" i="115"/>
  <c r="P984" i="115"/>
  <c r="N984" i="115" s="1"/>
  <c r="L304" i="115"/>
  <c r="P232" i="115"/>
  <c r="N232" i="115" s="1"/>
  <c r="P664" i="115"/>
  <c r="N664" i="115" s="1"/>
  <c r="P473" i="115"/>
  <c r="N473" i="115" s="1"/>
  <c r="L859" i="115"/>
  <c r="L489" i="115"/>
  <c r="L856" i="115"/>
  <c r="P304" i="115"/>
  <c r="N304" i="115" s="1"/>
  <c r="P112" i="115"/>
  <c r="N112" i="115" s="1"/>
  <c r="L505" i="115"/>
  <c r="P503" i="115"/>
  <c r="N503" i="115" s="1"/>
  <c r="L712" i="115"/>
  <c r="L565" i="115"/>
  <c r="P471" i="115"/>
  <c r="N471" i="115" s="1"/>
  <c r="P888" i="115"/>
  <c r="N888" i="115" s="1"/>
  <c r="P425" i="115"/>
  <c r="N425" i="115" s="1"/>
  <c r="P240" i="115"/>
  <c r="N240" i="115" s="1"/>
  <c r="L806" i="115"/>
  <c r="P683" i="115"/>
  <c r="N683" i="115" s="1"/>
  <c r="P416" i="115"/>
  <c r="N416" i="115" s="1"/>
  <c r="P291" i="115"/>
  <c r="N291" i="115" s="1"/>
  <c r="P179" i="115"/>
  <c r="N179" i="115" s="1"/>
  <c r="P147" i="115"/>
  <c r="N147" i="115" s="1"/>
  <c r="L30" i="115"/>
  <c r="B147" i="139" s="1"/>
  <c r="L136" i="115"/>
  <c r="P995" i="115"/>
  <c r="N995" i="115" s="1"/>
  <c r="P205" i="115"/>
  <c r="N205" i="115" s="1"/>
  <c r="L72" i="115"/>
  <c r="P960" i="115"/>
  <c r="N960" i="115" s="1"/>
  <c r="P103" i="115"/>
  <c r="N103" i="115" s="1"/>
  <c r="P433" i="115"/>
  <c r="N433" i="115" s="1"/>
  <c r="P516" i="115"/>
  <c r="N516" i="115" s="1"/>
  <c r="S23" i="115"/>
  <c r="R247" i="115"/>
  <c r="L449" i="115"/>
  <c r="P339" i="115"/>
  <c r="N339" i="115" s="1"/>
  <c r="L882" i="115"/>
  <c r="P386" i="115"/>
  <c r="N386" i="115" s="1"/>
  <c r="P608" i="115"/>
  <c r="N608" i="115" s="1"/>
  <c r="L589" i="115"/>
  <c r="P458" i="115"/>
  <c r="N458" i="115" s="1"/>
  <c r="L723" i="115"/>
  <c r="P727" i="115"/>
  <c r="N727" i="115" s="1"/>
  <c r="L693" i="115"/>
  <c r="L710" i="115"/>
  <c r="P668" i="115"/>
  <c r="N668" i="115" s="1"/>
  <c r="R250" i="115"/>
  <c r="P630" i="115"/>
  <c r="N630" i="115" s="1"/>
  <c r="P855" i="115"/>
  <c r="N855" i="115" s="1"/>
  <c r="L743" i="115"/>
  <c r="L821" i="115"/>
  <c r="P438" i="115"/>
  <c r="N438" i="115" s="1"/>
  <c r="P823" i="115"/>
  <c r="N823" i="115" s="1"/>
  <c r="L679" i="115"/>
  <c r="L534" i="115"/>
  <c r="L841" i="115"/>
  <c r="P693" i="115"/>
  <c r="N693" i="115" s="1"/>
  <c r="L502" i="115"/>
  <c r="P679" i="115"/>
  <c r="N679" i="115" s="1"/>
  <c r="L839" i="115"/>
  <c r="L711" i="115"/>
  <c r="L775" i="115"/>
  <c r="P534" i="115"/>
  <c r="N534" i="115" s="1"/>
  <c r="P686" i="115"/>
  <c r="N686" i="115" s="1"/>
  <c r="L855" i="115"/>
  <c r="L538" i="115"/>
  <c r="P434" i="115"/>
  <c r="N434" i="115" s="1"/>
  <c r="P502" i="115"/>
  <c r="N502" i="115" s="1"/>
  <c r="P661" i="115"/>
  <c r="N661" i="115" s="1"/>
  <c r="L434" i="115"/>
  <c r="P841" i="115"/>
  <c r="N841" i="115" s="1"/>
  <c r="L903" i="115"/>
  <c r="P903" i="115"/>
  <c r="N903" i="115" s="1"/>
  <c r="P538" i="115"/>
  <c r="N538" i="115" s="1"/>
  <c r="L951" i="115"/>
  <c r="P791" i="115"/>
  <c r="N791" i="115" s="1"/>
  <c r="L615" i="115"/>
  <c r="P728" i="115"/>
  <c r="N728" i="115" s="1"/>
  <c r="P567" i="115"/>
  <c r="N567" i="115" s="1"/>
  <c r="P881" i="115"/>
  <c r="N881" i="115" s="1"/>
  <c r="P689" i="115"/>
  <c r="N689" i="115" s="1"/>
  <c r="L891" i="115"/>
  <c r="P28" i="115"/>
  <c r="B89" i="144" s="1"/>
  <c r="L731" i="115"/>
  <c r="L1000" i="115"/>
  <c r="P936" i="115"/>
  <c r="N936" i="115" s="1"/>
  <c r="L451" i="115"/>
  <c r="P571" i="115"/>
  <c r="N571" i="115" s="1"/>
  <c r="P569" i="115"/>
  <c r="N569" i="115" s="1"/>
  <c r="L669" i="115"/>
  <c r="L984" i="115"/>
  <c r="L728" i="115"/>
  <c r="L766" i="115"/>
  <c r="P779" i="115"/>
  <c r="N779" i="115" s="1"/>
  <c r="P667" i="115"/>
  <c r="N667" i="115" s="1"/>
  <c r="P598" i="115"/>
  <c r="N598" i="115" s="1"/>
  <c r="P635" i="115"/>
  <c r="N635" i="115" s="1"/>
  <c r="L571" i="115"/>
  <c r="L569" i="115"/>
  <c r="L881" i="115"/>
  <c r="L689" i="115"/>
  <c r="P856" i="115"/>
  <c r="N856" i="115" s="1"/>
  <c r="L843" i="115"/>
  <c r="P637" i="115"/>
  <c r="N637" i="115" s="1"/>
  <c r="P840" i="115"/>
  <c r="N840" i="115" s="1"/>
  <c r="P872" i="115"/>
  <c r="N872" i="115" s="1"/>
  <c r="R795" i="115"/>
  <c r="P725" i="115"/>
  <c r="N725" i="115" s="1"/>
  <c r="L949" i="115"/>
  <c r="L491" i="115"/>
  <c r="L950" i="115"/>
  <c r="P776" i="115"/>
  <c r="N776" i="115" s="1"/>
  <c r="P882" i="115"/>
  <c r="N882" i="115" s="1"/>
  <c r="P854" i="115"/>
  <c r="N854" i="115" s="1"/>
  <c r="L854" i="115"/>
  <c r="P802" i="115"/>
  <c r="N802" i="115" s="1"/>
  <c r="L573" i="115"/>
  <c r="L587" i="115"/>
  <c r="L936" i="115"/>
  <c r="L795" i="115"/>
  <c r="L744" i="115"/>
  <c r="P699" i="115"/>
  <c r="N699" i="115" s="1"/>
  <c r="L240" i="115"/>
  <c r="L407" i="115"/>
  <c r="S632" i="115"/>
  <c r="L1001" i="115"/>
  <c r="L969" i="115"/>
  <c r="L410" i="115"/>
  <c r="P597" i="115"/>
  <c r="N597" i="115" s="1"/>
  <c r="L807" i="115"/>
  <c r="P1001" i="115"/>
  <c r="N1001" i="115" s="1"/>
  <c r="L617" i="115"/>
  <c r="L941" i="115"/>
  <c r="L873" i="115"/>
  <c r="P410" i="115"/>
  <c r="N410" i="115" s="1"/>
  <c r="P969" i="115"/>
  <c r="N969" i="115" s="1"/>
  <c r="P775" i="115"/>
  <c r="N775" i="115" s="1"/>
  <c r="L561" i="115"/>
  <c r="P807" i="115"/>
  <c r="N807" i="115" s="1"/>
  <c r="L686" i="115"/>
  <c r="L745" i="115"/>
  <c r="P617" i="115"/>
  <c r="N617" i="115" s="1"/>
  <c r="P885" i="115"/>
  <c r="N885" i="115" s="1"/>
  <c r="P941" i="115"/>
  <c r="N941" i="115" s="1"/>
  <c r="P873" i="115"/>
  <c r="N873" i="115" s="1"/>
  <c r="P822" i="115"/>
  <c r="N822" i="115" s="1"/>
  <c r="L474" i="115"/>
  <c r="P983" i="115"/>
  <c r="N983" i="115" s="1"/>
  <c r="L713" i="115"/>
  <c r="P982" i="115"/>
  <c r="N982" i="115" s="1"/>
  <c r="P341" i="115"/>
  <c r="N341" i="115" s="1"/>
  <c r="L885" i="115"/>
  <c r="L983" i="115"/>
  <c r="L725" i="115"/>
  <c r="L682" i="115"/>
  <c r="P713" i="115"/>
  <c r="N713" i="115" s="1"/>
  <c r="L746" i="115"/>
  <c r="P770" i="115"/>
  <c r="N770" i="115" s="1"/>
  <c r="L555" i="115"/>
  <c r="P642" i="115"/>
  <c r="N642" i="115" s="1"/>
  <c r="L942" i="115"/>
  <c r="P742" i="115"/>
  <c r="N742" i="115" s="1"/>
  <c r="P682" i="115"/>
  <c r="N682" i="115" s="1"/>
  <c r="P539" i="115"/>
  <c r="N539" i="115" s="1"/>
  <c r="P746" i="115"/>
  <c r="N746" i="115" s="1"/>
  <c r="P997" i="115"/>
  <c r="N997" i="115" s="1"/>
  <c r="P555" i="115"/>
  <c r="N555" i="115" s="1"/>
  <c r="L539" i="115"/>
  <c r="P838" i="115"/>
  <c r="N838" i="115" s="1"/>
  <c r="P890" i="115"/>
  <c r="N890" i="115" s="1"/>
  <c r="P930" i="115"/>
  <c r="N930" i="115" s="1"/>
  <c r="P674" i="115"/>
  <c r="N674" i="115" s="1"/>
  <c r="L990" i="115"/>
  <c r="P955" i="115"/>
  <c r="N955" i="115" s="1"/>
  <c r="P792" i="115"/>
  <c r="N792" i="115" s="1"/>
  <c r="P923" i="115"/>
  <c r="N923" i="115" s="1"/>
  <c r="P806" i="115"/>
  <c r="N806" i="115" s="1"/>
  <c r="L598" i="115"/>
  <c r="P945" i="115"/>
  <c r="N945" i="115" s="1"/>
  <c r="P950" i="115"/>
  <c r="N950" i="115" s="1"/>
  <c r="P795" i="115"/>
  <c r="N795" i="115" s="1"/>
  <c r="P726" i="115"/>
  <c r="N726" i="115" s="1"/>
  <c r="P952" i="115"/>
  <c r="N952" i="115" s="1"/>
  <c r="P747" i="115"/>
  <c r="N747" i="115" s="1"/>
  <c r="P374" i="115"/>
  <c r="N374" i="115" s="1"/>
  <c r="P457" i="115"/>
  <c r="N457" i="115" s="1"/>
  <c r="L446" i="115"/>
  <c r="P797" i="115"/>
  <c r="N797" i="115" s="1"/>
  <c r="S327" i="115"/>
  <c r="L567" i="115"/>
  <c r="L802" i="115"/>
  <c r="P451" i="115"/>
  <c r="N451" i="115" s="1"/>
  <c r="P891" i="115"/>
  <c r="N891" i="115" s="1"/>
  <c r="P491" i="115"/>
  <c r="N491" i="115" s="1"/>
  <c r="L28" i="115"/>
  <c r="B145" i="139" s="1"/>
  <c r="P731" i="115"/>
  <c r="N731" i="115" s="1"/>
  <c r="P843" i="115"/>
  <c r="N843" i="115" s="1"/>
  <c r="L838" i="115"/>
  <c r="P593" i="115"/>
  <c r="N593" i="115" s="1"/>
  <c r="P849" i="115"/>
  <c r="N849" i="115" s="1"/>
  <c r="L925" i="115"/>
  <c r="L112" i="115"/>
  <c r="L508" i="115"/>
  <c r="P744" i="115"/>
  <c r="N744" i="115" s="1"/>
  <c r="L888" i="115"/>
  <c r="L246" i="115"/>
  <c r="L540" i="115"/>
  <c r="L473" i="115"/>
  <c r="L38" i="115"/>
  <c r="L327" i="115"/>
  <c r="P712" i="115"/>
  <c r="N712" i="115" s="1"/>
  <c r="P584" i="115"/>
  <c r="N584" i="115" s="1"/>
  <c r="P347" i="115"/>
  <c r="N347" i="115" s="1"/>
  <c r="L920" i="115"/>
  <c r="P198" i="115"/>
  <c r="N198" i="115" s="1"/>
  <c r="P191" i="115"/>
  <c r="N191" i="115" s="1"/>
  <c r="P522" i="115"/>
  <c r="N522" i="115" s="1"/>
  <c r="L926" i="115"/>
  <c r="L974" i="115"/>
  <c r="L142" i="115"/>
  <c r="P688" i="115"/>
  <c r="N688" i="115" s="1"/>
  <c r="L84" i="115"/>
  <c r="P970" i="115"/>
  <c r="N970" i="115" s="1"/>
  <c r="L787" i="115"/>
  <c r="P858" i="115"/>
  <c r="N858" i="115" s="1"/>
  <c r="P532" i="115"/>
  <c r="N532" i="115" s="1"/>
  <c r="L752" i="115"/>
  <c r="L551" i="115"/>
  <c r="P316" i="115"/>
  <c r="N316" i="115" s="1"/>
  <c r="P372" i="115"/>
  <c r="N372" i="115" s="1"/>
  <c r="R215" i="115"/>
  <c r="S119" i="115"/>
  <c r="L286" i="115"/>
  <c r="L423" i="115"/>
  <c r="L564" i="115"/>
  <c r="P482" i="115"/>
  <c r="N482" i="115" s="1"/>
  <c r="L269" i="115"/>
  <c r="P752" i="115"/>
  <c r="N752" i="115" s="1"/>
  <c r="P158" i="115"/>
  <c r="N158" i="115" s="1"/>
  <c r="P20" i="115"/>
  <c r="B94" i="139" s="1"/>
  <c r="P61" i="115"/>
  <c r="N61" i="115" s="1"/>
  <c r="L80" i="115"/>
  <c r="L55" i="115"/>
  <c r="P16" i="115"/>
  <c r="B54" i="144" s="1"/>
  <c r="P436" i="115"/>
  <c r="N436" i="115" s="1"/>
  <c r="P237" i="115"/>
  <c r="N237" i="115" s="1"/>
  <c r="R55" i="115"/>
  <c r="R137" i="115"/>
  <c r="P189" i="115"/>
  <c r="N189" i="115" s="1"/>
  <c r="P730" i="115"/>
  <c r="N730" i="115" s="1"/>
  <c r="L14" i="115"/>
  <c r="C72" i="140" s="1"/>
  <c r="L208" i="115"/>
  <c r="P462" i="115"/>
  <c r="N462" i="115" s="1"/>
  <c r="P62" i="115"/>
  <c r="N62" i="115" s="1"/>
  <c r="L356" i="115"/>
  <c r="P212" i="115"/>
  <c r="N212" i="115" s="1"/>
  <c r="P974" i="115"/>
  <c r="N974" i="115" s="1"/>
  <c r="L20" i="115"/>
  <c r="B102" i="139" s="1"/>
  <c r="P94" i="115"/>
  <c r="N94" i="115" s="1"/>
  <c r="P279" i="115"/>
  <c r="N279" i="115" s="1"/>
  <c r="L206" i="115"/>
  <c r="L109" i="115"/>
  <c r="P467" i="115"/>
  <c r="N467" i="115" s="1"/>
  <c r="L264" i="115"/>
  <c r="P403" i="115"/>
  <c r="N403" i="115" s="1"/>
  <c r="P222" i="115"/>
  <c r="N222" i="115" s="1"/>
  <c r="P57" i="115"/>
  <c r="N57" i="115" s="1"/>
  <c r="L691" i="115"/>
  <c r="L717" i="115"/>
  <c r="P892" i="115"/>
  <c r="N892" i="115" s="1"/>
  <c r="L962" i="115"/>
  <c r="L272" i="115"/>
  <c r="L465" i="115"/>
  <c r="L337" i="115"/>
  <c r="L947" i="115"/>
  <c r="L636" i="115"/>
  <c r="P848" i="115"/>
  <c r="N848" i="115" s="1"/>
  <c r="L9" i="115"/>
  <c r="C24" i="140" s="1"/>
  <c r="L179" i="115"/>
  <c r="L416" i="115"/>
  <c r="P879" i="115"/>
  <c r="N879" i="115" s="1"/>
  <c r="L400" i="115"/>
  <c r="L995" i="115"/>
  <c r="L126" i="115"/>
  <c r="P58" i="115"/>
  <c r="N58" i="115" s="1"/>
  <c r="L433" i="115"/>
  <c r="L371" i="115"/>
  <c r="L270" i="115"/>
  <c r="P121" i="115"/>
  <c r="N121" i="115" s="1"/>
  <c r="L201" i="115"/>
  <c r="P430" i="115"/>
  <c r="N430" i="115" s="1"/>
  <c r="L144" i="115"/>
  <c r="L387" i="115"/>
  <c r="P385" i="115"/>
  <c r="N385" i="115" s="1"/>
  <c r="L819" i="115"/>
  <c r="L867" i="115"/>
  <c r="L627" i="115"/>
  <c r="P151" i="115"/>
  <c r="N151" i="115" s="1"/>
  <c r="L231" i="115"/>
  <c r="S167" i="115"/>
  <c r="R420" i="115"/>
  <c r="P989" i="115"/>
  <c r="N989" i="115" s="1"/>
  <c r="L668" i="115"/>
  <c r="P429" i="115"/>
  <c r="N429" i="115" s="1"/>
  <c r="L58" i="115"/>
  <c r="L518" i="115"/>
  <c r="S57" i="115"/>
  <c r="S259" i="115"/>
  <c r="L783" i="115"/>
  <c r="P314" i="115"/>
  <c r="N314" i="115" s="1"/>
  <c r="L351" i="115"/>
  <c r="P959" i="115"/>
  <c r="N959" i="115" s="1"/>
  <c r="P115" i="115"/>
  <c r="N115" i="115" s="1"/>
  <c r="S227" i="115"/>
  <c r="P886" i="115"/>
  <c r="N886" i="115" s="1"/>
  <c r="P332" i="115"/>
  <c r="N332" i="115" s="1"/>
  <c r="L477" i="115"/>
  <c r="P844" i="115"/>
  <c r="N844" i="115" s="1"/>
  <c r="P767" i="115"/>
  <c r="N767" i="115" s="1"/>
  <c r="L719" i="115"/>
  <c r="L275" i="115"/>
  <c r="S19" i="115"/>
  <c r="P825" i="115"/>
  <c r="N825" i="115" s="1"/>
  <c r="L767" i="115"/>
  <c r="P309" i="115"/>
  <c r="N309" i="115" s="1"/>
  <c r="L442" i="115"/>
  <c r="P528" i="115"/>
  <c r="N528" i="115" s="1"/>
  <c r="P846" i="115"/>
  <c r="N846" i="115" s="1"/>
  <c r="P732" i="115"/>
  <c r="N732" i="115" s="1"/>
  <c r="L590" i="115"/>
  <c r="P268" i="115"/>
  <c r="N268" i="115" s="1"/>
  <c r="P677" i="115"/>
  <c r="N677" i="115" s="1"/>
  <c r="P413" i="115"/>
  <c r="N413" i="115" s="1"/>
  <c r="L764" i="115"/>
  <c r="L3" i="115"/>
  <c r="C18" i="123" s="1"/>
  <c r="R147" i="115"/>
  <c r="S67" i="115"/>
  <c r="R201" i="115"/>
  <c r="S4" i="115"/>
  <c r="P636" i="115"/>
  <c r="N636" i="115" s="1"/>
  <c r="P9" i="115"/>
  <c r="B24" i="144" s="1"/>
  <c r="L68" i="115"/>
  <c r="P400" i="115"/>
  <c r="N400" i="115" s="1"/>
  <c r="P477" i="115"/>
  <c r="N477" i="115" s="1"/>
  <c r="L234" i="115"/>
  <c r="L195" i="115"/>
  <c r="L956" i="115"/>
  <c r="L778" i="115"/>
  <c r="P962" i="115"/>
  <c r="N962" i="115" s="1"/>
  <c r="L83" i="115"/>
  <c r="P281" i="115"/>
  <c r="N281" i="115" s="1"/>
  <c r="P260" i="115"/>
  <c r="N260" i="115" s="1"/>
  <c r="R41" i="115"/>
  <c r="P710" i="115"/>
  <c r="N710" i="115" s="1"/>
  <c r="L886" i="115"/>
  <c r="L706" i="115"/>
  <c r="L454" i="115"/>
  <c r="L330" i="115"/>
  <c r="P351" i="115"/>
  <c r="N351" i="115" s="1"/>
  <c r="P67" i="115"/>
  <c r="N67" i="115" s="1"/>
  <c r="L511" i="115"/>
  <c r="P201" i="115"/>
  <c r="N201" i="115" s="1"/>
  <c r="L480" i="115"/>
  <c r="P275" i="115"/>
  <c r="N275" i="115" s="1"/>
  <c r="P783" i="115"/>
  <c r="N783" i="115" s="1"/>
  <c r="L989" i="115"/>
  <c r="P706" i="115"/>
  <c r="N706" i="115" s="1"/>
  <c r="P454" i="115"/>
  <c r="O454" i="115" s="1"/>
  <c r="P330" i="115"/>
  <c r="N330" i="115" s="1"/>
  <c r="L630" i="115"/>
  <c r="L429" i="115"/>
  <c r="L314" i="115"/>
  <c r="L57" i="115"/>
  <c r="L332" i="115"/>
  <c r="P68" i="115"/>
  <c r="N68" i="115" s="1"/>
  <c r="L147" i="115"/>
  <c r="P234" i="115"/>
  <c r="N234" i="115" s="1"/>
  <c r="P195" i="115"/>
  <c r="N195" i="115" s="1"/>
  <c r="P778" i="115"/>
  <c r="N778" i="115" s="1"/>
  <c r="L291" i="115"/>
  <c r="L67" i="115"/>
  <c r="L528" i="115"/>
  <c r="P511" i="115"/>
  <c r="N511" i="115" s="1"/>
  <c r="L732" i="115"/>
  <c r="L121" i="115"/>
  <c r="P480" i="115"/>
  <c r="N480" i="115" s="1"/>
  <c r="L268" i="115"/>
  <c r="P132" i="115"/>
  <c r="O132" i="115" s="1"/>
  <c r="L227" i="115"/>
  <c r="R179" i="115"/>
  <c r="R275" i="115"/>
  <c r="S509" i="115"/>
  <c r="L982" i="115"/>
  <c r="L937" i="115"/>
  <c r="P142" i="115"/>
  <c r="N142" i="115" s="1"/>
  <c r="P30" i="115"/>
  <c r="B139" i="139" s="1"/>
  <c r="P337" i="115"/>
  <c r="N337" i="115" s="1"/>
  <c r="P208" i="115"/>
  <c r="N208" i="115" s="1"/>
  <c r="P423" i="115"/>
  <c r="N423" i="115" s="1"/>
  <c r="P589" i="115"/>
  <c r="N589" i="115" s="1"/>
  <c r="P691" i="115"/>
  <c r="N691" i="115" s="1"/>
  <c r="P926" i="115"/>
  <c r="N926" i="115" s="1"/>
  <c r="L302" i="115"/>
  <c r="L386" i="115"/>
  <c r="P717" i="115"/>
  <c r="N717" i="115" s="1"/>
  <c r="P371" i="115"/>
  <c r="N371" i="115" s="1"/>
  <c r="P723" i="115"/>
  <c r="N723" i="115" s="1"/>
  <c r="L238" i="115"/>
  <c r="L685" i="115"/>
  <c r="P515" i="115"/>
  <c r="N515" i="115" s="1"/>
  <c r="L77" i="115"/>
  <c r="P144" i="115"/>
  <c r="O144" i="115" s="1"/>
  <c r="L662" i="115"/>
  <c r="L385" i="115"/>
  <c r="L749" i="115"/>
  <c r="L8" i="115"/>
  <c r="C23" i="123" s="1"/>
  <c r="L813" i="115"/>
  <c r="L301" i="115"/>
  <c r="P507" i="115"/>
  <c r="N507" i="115" s="1"/>
  <c r="L866" i="115"/>
  <c r="P80" i="115"/>
  <c r="N80" i="115" s="1"/>
  <c r="P867" i="115"/>
  <c r="N867" i="115" s="1"/>
  <c r="P55" i="115"/>
  <c r="N55" i="115" s="1"/>
  <c r="P922" i="115"/>
  <c r="Q922" i="115" s="1"/>
  <c r="P627" i="115"/>
  <c r="N627" i="115" s="1"/>
  <c r="L199" i="115"/>
  <c r="L148" i="115"/>
  <c r="L141" i="115"/>
  <c r="L331" i="115"/>
  <c r="P124" i="115"/>
  <c r="N124" i="115" s="1"/>
  <c r="L468" i="115"/>
  <c r="P606" i="115"/>
  <c r="O606" i="115" s="1"/>
  <c r="L125" i="115"/>
  <c r="L318" i="115"/>
  <c r="L174" i="115"/>
  <c r="L135" i="115"/>
  <c r="L173" i="115"/>
  <c r="P231" i="115"/>
  <c r="N231" i="115" s="1"/>
  <c r="P315" i="115"/>
  <c r="N315" i="115" s="1"/>
  <c r="P247" i="115"/>
  <c r="P263" i="115"/>
  <c r="N263" i="115" s="1"/>
  <c r="L87" i="115"/>
  <c r="R263" i="115"/>
  <c r="R87" i="115"/>
  <c r="P286" i="115"/>
  <c r="N286" i="115" s="1"/>
  <c r="P947" i="115"/>
  <c r="N947" i="115" s="1"/>
  <c r="L666" i="115"/>
  <c r="P787" i="115"/>
  <c r="L467" i="115"/>
  <c r="L960" i="115"/>
  <c r="L688" i="115"/>
  <c r="L403" i="115"/>
  <c r="L848" i="115"/>
  <c r="L462" i="115"/>
  <c r="L482" i="115"/>
  <c r="P666" i="115"/>
  <c r="Q666" i="115" s="1"/>
  <c r="L458" i="115"/>
  <c r="L62" i="115"/>
  <c r="L103" i="115"/>
  <c r="P302" i="115"/>
  <c r="O302" i="115" s="1"/>
  <c r="L858" i="115"/>
  <c r="L532" i="115"/>
  <c r="P238" i="115"/>
  <c r="N238" i="115" s="1"/>
  <c r="P685" i="115"/>
  <c r="L515" i="115"/>
  <c r="L522" i="115"/>
  <c r="P77" i="115"/>
  <c r="N77" i="115" s="1"/>
  <c r="L430" i="115"/>
  <c r="L602" i="115"/>
  <c r="L832" i="115"/>
  <c r="L624" i="115"/>
  <c r="P749" i="115"/>
  <c r="N749" i="115" s="1"/>
  <c r="P813" i="115"/>
  <c r="N813" i="115" s="1"/>
  <c r="L284" i="115"/>
  <c r="L739" i="115"/>
  <c r="L334" i="115"/>
  <c r="P199" i="115"/>
  <c r="N199" i="115" s="1"/>
  <c r="L912" i="115"/>
  <c r="P141" i="115"/>
  <c r="N141" i="115" s="1"/>
  <c r="L896" i="115"/>
  <c r="L494" i="115"/>
  <c r="L313" i="115"/>
  <c r="P672" i="115"/>
  <c r="N672" i="115" s="1"/>
  <c r="L29" i="115"/>
  <c r="C172" i="123" s="1"/>
  <c r="L23" i="115"/>
  <c r="B105" i="139" s="1"/>
  <c r="P656" i="115"/>
  <c r="N656" i="115" s="1"/>
  <c r="P125" i="115"/>
  <c r="N125" i="115" s="1"/>
  <c r="P529" i="115"/>
  <c r="L317" i="115"/>
  <c r="L864" i="115"/>
  <c r="P173" i="115"/>
  <c r="N173" i="115" s="1"/>
  <c r="P798" i="115"/>
  <c r="N798" i="115" s="1"/>
  <c r="L976" i="115"/>
  <c r="P401" i="115"/>
  <c r="N401" i="115" s="1"/>
  <c r="L119" i="115"/>
  <c r="R71" i="115"/>
  <c r="R103" i="115"/>
  <c r="P832" i="115"/>
  <c r="N832" i="115" s="1"/>
  <c r="P387" i="115"/>
  <c r="N387" i="115" s="1"/>
  <c r="P624" i="115"/>
  <c r="N624" i="115" s="1"/>
  <c r="P284" i="115"/>
  <c r="N284" i="115" s="1"/>
  <c r="P819" i="115"/>
  <c r="N819" i="115" s="1"/>
  <c r="L94" i="115"/>
  <c r="P739" i="115"/>
  <c r="Q739" i="115" s="1"/>
  <c r="P334" i="115"/>
  <c r="N334" i="115" s="1"/>
  <c r="L16" i="115"/>
  <c r="C74" i="123" s="1"/>
  <c r="P912" i="115"/>
  <c r="N912" i="115" s="1"/>
  <c r="P896" i="115"/>
  <c r="N896" i="115" s="1"/>
  <c r="P313" i="115"/>
  <c r="N313" i="115" s="1"/>
  <c r="P23" i="115"/>
  <c r="B61" i="135" s="1"/>
  <c r="L151" i="115"/>
  <c r="L420" i="115"/>
  <c r="P915" i="115"/>
  <c r="N915" i="115" s="1"/>
  <c r="L279" i="115"/>
  <c r="L237" i="115"/>
  <c r="L880" i="115"/>
  <c r="L295" i="115"/>
  <c r="L13" i="115"/>
  <c r="C71" i="123" s="1"/>
  <c r="P71" i="115"/>
  <c r="N71" i="115" s="1"/>
  <c r="S286" i="115"/>
  <c r="S135" i="115"/>
  <c r="R231" i="115"/>
  <c r="S7" i="115"/>
  <c r="P602" i="115"/>
  <c r="O602" i="115" s="1"/>
  <c r="P737" i="115"/>
  <c r="N737" i="115" s="1"/>
  <c r="P621" i="115"/>
  <c r="N621" i="115" s="1"/>
  <c r="P862" i="115"/>
  <c r="N862" i="115" s="1"/>
  <c r="P707" i="115"/>
  <c r="Q707" i="115" s="1"/>
  <c r="P390" i="115"/>
  <c r="N390" i="115" s="1"/>
  <c r="L378" i="115"/>
  <c r="P909" i="115"/>
  <c r="N909" i="115" s="1"/>
  <c r="L918" i="115"/>
  <c r="L722" i="115"/>
  <c r="P427" i="115"/>
  <c r="N427" i="115" s="1"/>
  <c r="L577" i="115"/>
  <c r="P845" i="115"/>
  <c r="O845" i="115" s="1"/>
  <c r="L835" i="115"/>
  <c r="L609" i="115"/>
  <c r="L704" i="115"/>
  <c r="L394" i="115"/>
  <c r="L929" i="115"/>
  <c r="P928" i="115"/>
  <c r="N928" i="115" s="1"/>
  <c r="P487" i="115"/>
  <c r="N487" i="115" s="1"/>
  <c r="L545" i="115"/>
  <c r="L784" i="115"/>
  <c r="S20" i="115"/>
  <c r="P582" i="115"/>
  <c r="N582" i="115" s="1"/>
  <c r="L483" i="115"/>
  <c r="P578" i="115"/>
  <c r="N578" i="115" s="1"/>
  <c r="R914" i="115"/>
  <c r="P914" i="115"/>
  <c r="N914" i="115" s="1"/>
  <c r="S965" i="115"/>
  <c r="P965" i="115"/>
  <c r="N965" i="115" s="1"/>
  <c r="S108" i="115"/>
  <c r="P108" i="115"/>
  <c r="N108" i="115" s="1"/>
  <c r="R906" i="115"/>
  <c r="P906" i="115"/>
  <c r="N906" i="115" s="1"/>
  <c r="S842" i="115"/>
  <c r="P842" i="115"/>
  <c r="N842" i="115" s="1"/>
  <c r="S714" i="115"/>
  <c r="P714" i="115"/>
  <c r="N714" i="115" s="1"/>
  <c r="S586" i="115"/>
  <c r="P586" i="115"/>
  <c r="N586" i="115" s="1"/>
  <c r="S782" i="115"/>
  <c r="P782" i="115"/>
  <c r="N782" i="115" s="1"/>
  <c r="S300" i="115"/>
  <c r="L300" i="115"/>
  <c r="R985" i="115"/>
  <c r="P985" i="115"/>
  <c r="N985" i="115" s="1"/>
  <c r="R953" i="115"/>
  <c r="L953" i="115"/>
  <c r="S857" i="115"/>
  <c r="P857" i="115"/>
  <c r="N857" i="115" s="1"/>
  <c r="S761" i="115"/>
  <c r="L761" i="115"/>
  <c r="R566" i="115"/>
  <c r="L566" i="115"/>
  <c r="R933" i="115"/>
  <c r="P933" i="115"/>
  <c r="N933" i="115" s="1"/>
  <c r="R837" i="115"/>
  <c r="L837" i="115"/>
  <c r="S805" i="115"/>
  <c r="L805" i="115"/>
  <c r="S741" i="115"/>
  <c r="L741" i="115"/>
  <c r="R402" i="115"/>
  <c r="L402" i="115"/>
  <c r="R879" i="115"/>
  <c r="S879" i="115"/>
  <c r="S799" i="115"/>
  <c r="L799" i="115"/>
  <c r="S751" i="115"/>
  <c r="L751" i="115"/>
  <c r="S671" i="115"/>
  <c r="P671" i="115"/>
  <c r="N671" i="115" s="1"/>
  <c r="R623" i="115"/>
  <c r="P623" i="115"/>
  <c r="N623" i="115" s="1"/>
  <c r="S607" i="115"/>
  <c r="L607" i="115"/>
  <c r="S591" i="115"/>
  <c r="P591" i="115"/>
  <c r="N591" i="115" s="1"/>
  <c r="R518" i="115"/>
  <c r="S518" i="115"/>
  <c r="S486" i="115"/>
  <c r="R486" i="115"/>
  <c r="L60" i="115"/>
  <c r="P60" i="115"/>
  <c r="N60" i="115" s="1"/>
  <c r="S972" i="115"/>
  <c r="P972" i="115"/>
  <c r="N972" i="115" s="1"/>
  <c r="S956" i="115"/>
  <c r="R956" i="115"/>
  <c r="L908" i="115"/>
  <c r="R908" i="115"/>
  <c r="R892" i="115"/>
  <c r="S892" i="115"/>
  <c r="R876" i="115"/>
  <c r="P876" i="115"/>
  <c r="N876" i="115" s="1"/>
  <c r="S844" i="115"/>
  <c r="R844" i="115"/>
  <c r="R748" i="115"/>
  <c r="L748" i="115"/>
  <c r="S716" i="115"/>
  <c r="L716" i="115"/>
  <c r="R700" i="115"/>
  <c r="L700" i="115"/>
  <c r="R652" i="115"/>
  <c r="P652" i="115"/>
  <c r="N652" i="115" s="1"/>
  <c r="R588" i="115"/>
  <c r="S588" i="115"/>
  <c r="L588" i="115"/>
  <c r="R543" i="115"/>
  <c r="L543" i="115"/>
  <c r="R479" i="115"/>
  <c r="S479" i="115"/>
  <c r="L479" i="115"/>
  <c r="R447" i="115"/>
  <c r="P447" i="115"/>
  <c r="N447" i="115" s="1"/>
  <c r="R370" i="115"/>
  <c r="L370" i="115"/>
  <c r="S383" i="115"/>
  <c r="P383" i="115"/>
  <c r="N383" i="115" s="1"/>
  <c r="R367" i="115"/>
  <c r="L367" i="115"/>
  <c r="R256" i="115"/>
  <c r="L256" i="115"/>
  <c r="R128" i="115"/>
  <c r="L128" i="115"/>
  <c r="L64" i="115"/>
  <c r="P64" i="115"/>
  <c r="N64" i="115" s="1"/>
  <c r="R557" i="115"/>
  <c r="P557" i="115"/>
  <c r="N557" i="115" s="1"/>
  <c r="S541" i="115"/>
  <c r="L541" i="115"/>
  <c r="S493" i="115"/>
  <c r="P493" i="115"/>
  <c r="N493" i="115" s="1"/>
  <c r="R445" i="115"/>
  <c r="P445" i="115"/>
  <c r="N445" i="115" s="1"/>
  <c r="R413" i="115"/>
  <c r="L413" i="115"/>
  <c r="S397" i="115"/>
  <c r="L397" i="115"/>
  <c r="R381" i="115"/>
  <c r="P381" i="115"/>
  <c r="N381" i="115" s="1"/>
  <c r="S365" i="115"/>
  <c r="P365" i="115"/>
  <c r="N365" i="115" s="1"/>
  <c r="R349" i="115"/>
  <c r="P349" i="115"/>
  <c r="N349" i="115" s="1"/>
  <c r="R329" i="115"/>
  <c r="L329" i="115"/>
  <c r="R308" i="115"/>
  <c r="L308" i="115"/>
  <c r="S248" i="115"/>
  <c r="L248" i="115"/>
  <c r="P184" i="115"/>
  <c r="N184" i="115" s="1"/>
  <c r="S184" i="115"/>
  <c r="S120" i="115"/>
  <c r="P120" i="115"/>
  <c r="N120" i="115" s="1"/>
  <c r="S56" i="115"/>
  <c r="L56" i="115"/>
  <c r="R560" i="115"/>
  <c r="P560" i="115"/>
  <c r="N560" i="115" s="1"/>
  <c r="S560" i="115"/>
  <c r="S448" i="115"/>
  <c r="L448" i="115"/>
  <c r="R384" i="115"/>
  <c r="S384" i="115"/>
  <c r="P384" i="115"/>
  <c r="N384" i="115" s="1"/>
  <c r="L368" i="115"/>
  <c r="P368" i="115"/>
  <c r="N368" i="115" s="1"/>
  <c r="S352" i="115"/>
  <c r="L352" i="115"/>
  <c r="P196" i="115"/>
  <c r="O196" i="115" s="1"/>
  <c r="R196" i="115"/>
  <c r="L196" i="115"/>
  <c r="S298" i="115"/>
  <c r="L298" i="115"/>
  <c r="R282" i="115"/>
  <c r="P282" i="115"/>
  <c r="N282" i="115" s="1"/>
  <c r="S266" i="115"/>
  <c r="L266" i="115"/>
  <c r="S250" i="115"/>
  <c r="P250" i="115"/>
  <c r="N250" i="115" s="1"/>
  <c r="R218" i="115"/>
  <c r="L218" i="115"/>
  <c r="R202" i="115"/>
  <c r="L202" i="115"/>
  <c r="S186" i="115"/>
  <c r="L186" i="115"/>
  <c r="R170" i="115"/>
  <c r="S170" i="115"/>
  <c r="L170" i="115"/>
  <c r="R154" i="115"/>
  <c r="L154" i="115"/>
  <c r="R138" i="115"/>
  <c r="P138" i="115"/>
  <c r="N138" i="115" s="1"/>
  <c r="P122" i="115"/>
  <c r="O122" i="115" s="1"/>
  <c r="R122" i="115"/>
  <c r="L122" i="115"/>
  <c r="S106" i="115"/>
  <c r="L106" i="115"/>
  <c r="S74" i="115"/>
  <c r="L74" i="115"/>
  <c r="S26" i="115"/>
  <c r="L26" i="115"/>
  <c r="B140" i="122" s="1"/>
  <c r="S10" i="115"/>
  <c r="P10" i="115"/>
  <c r="Q10" i="115" s="1"/>
  <c r="S297" i="115"/>
  <c r="R297" i="115"/>
  <c r="P297" i="115"/>
  <c r="N297" i="115" s="1"/>
  <c r="R281" i="115"/>
  <c r="L281" i="115"/>
  <c r="S265" i="115"/>
  <c r="P265" i="115"/>
  <c r="N265" i="115" s="1"/>
  <c r="R249" i="115"/>
  <c r="S249" i="115"/>
  <c r="P249" i="115"/>
  <c r="N249" i="115" s="1"/>
  <c r="S233" i="115"/>
  <c r="P233" i="115"/>
  <c r="N233" i="115" s="1"/>
  <c r="R233" i="115"/>
  <c r="S217" i="115"/>
  <c r="P217" i="115"/>
  <c r="N217" i="115" s="1"/>
  <c r="R217" i="115"/>
  <c r="S185" i="115"/>
  <c r="L185" i="115"/>
  <c r="S169" i="115"/>
  <c r="L169" i="115"/>
  <c r="R169" i="115"/>
  <c r="R153" i="115"/>
  <c r="L153" i="115"/>
  <c r="S137" i="115"/>
  <c r="P137" i="115"/>
  <c r="N137" i="115" s="1"/>
  <c r="R105" i="115"/>
  <c r="L105" i="115"/>
  <c r="S89" i="115"/>
  <c r="R89" i="115"/>
  <c r="P89" i="115"/>
  <c r="Q89" i="115" s="1"/>
  <c r="P73" i="115"/>
  <c r="N73" i="115" s="1"/>
  <c r="R73" i="115"/>
  <c r="S41" i="115"/>
  <c r="P41" i="115"/>
  <c r="C143" i="112" s="1"/>
  <c r="S25" i="115"/>
  <c r="P25" i="115"/>
  <c r="B63" i="144" s="1"/>
  <c r="R259" i="115"/>
  <c r="P259" i="115"/>
  <c r="Q259" i="115" s="1"/>
  <c r="R243" i="115"/>
  <c r="P243" i="115"/>
  <c r="N243" i="115" s="1"/>
  <c r="R211" i="115"/>
  <c r="P211" i="115"/>
  <c r="Q211" i="115" s="1"/>
  <c r="L163" i="115"/>
  <c r="R163" i="115"/>
  <c r="P131" i="115"/>
  <c r="N131" i="115" s="1"/>
  <c r="S131" i="115"/>
  <c r="S115" i="115"/>
  <c r="L115" i="115"/>
  <c r="S99" i="115"/>
  <c r="L99" i="115"/>
  <c r="P83" i="115"/>
  <c r="N83" i="115" s="1"/>
  <c r="S83" i="115"/>
  <c r="S51" i="115"/>
  <c r="P51" i="115"/>
  <c r="Q51" i="115" s="1"/>
  <c r="R51" i="115"/>
  <c r="R35" i="115"/>
  <c r="F96" i="144" s="1"/>
  <c r="S35" i="115"/>
  <c r="P35" i="115"/>
  <c r="B96" i="118" s="1"/>
  <c r="R19" i="115"/>
  <c r="F57" i="144" s="1"/>
  <c r="P19" i="115"/>
  <c r="B57" i="144" s="1"/>
  <c r="S3" i="115"/>
  <c r="P3" i="115"/>
  <c r="Q3" i="115" s="1"/>
  <c r="L825" i="115"/>
  <c r="P719" i="115"/>
  <c r="N719" i="115" s="1"/>
  <c r="P805" i="115"/>
  <c r="N805" i="115" s="1"/>
  <c r="L902" i="115"/>
  <c r="L910" i="115"/>
  <c r="L309" i="115"/>
  <c r="P442" i="115"/>
  <c r="N442" i="115" s="1"/>
  <c r="L108" i="115"/>
  <c r="P590" i="115"/>
  <c r="N590" i="115" s="1"/>
  <c r="L972" i="115"/>
  <c r="P541" i="115"/>
  <c r="N541" i="115" s="1"/>
  <c r="P588" i="115"/>
  <c r="O588" i="115" s="1"/>
  <c r="L965" i="115"/>
  <c r="P799" i="115"/>
  <c r="N799" i="115" s="1"/>
  <c r="P566" i="115"/>
  <c r="N566" i="115" s="1"/>
  <c r="P435" i="115"/>
  <c r="Q435" i="115" s="1"/>
  <c r="L911" i="115"/>
  <c r="L654" i="115"/>
  <c r="L383" i="115"/>
  <c r="P543" i="115"/>
  <c r="N543" i="115" s="1"/>
  <c r="L358" i="115"/>
  <c r="L249" i="115"/>
  <c r="P90" i="115"/>
  <c r="N90" i="115" s="1"/>
  <c r="P163" i="115"/>
  <c r="N163" i="115" s="1"/>
  <c r="L131" i="115"/>
  <c r="P639" i="115"/>
  <c r="N639" i="115" s="1"/>
  <c r="S153" i="115"/>
  <c r="R972" i="115"/>
  <c r="S154" i="115"/>
  <c r="R25" i="115"/>
  <c r="F63" i="144" s="1"/>
  <c r="R185" i="115"/>
  <c r="S73" i="115"/>
  <c r="S121" i="115"/>
  <c r="P761" i="115"/>
  <c r="N761" i="115" s="1"/>
  <c r="P902" i="115"/>
  <c r="N902" i="115" s="1"/>
  <c r="P910" i="115"/>
  <c r="O910" i="115" s="1"/>
  <c r="L846" i="115"/>
  <c r="L582" i="115"/>
  <c r="L677" i="115"/>
  <c r="L857" i="115"/>
  <c r="L586" i="115"/>
  <c r="P741" i="115"/>
  <c r="N741" i="115" s="1"/>
  <c r="P748" i="115"/>
  <c r="N748" i="115" s="1"/>
  <c r="P370" i="115"/>
  <c r="Q370" i="115" s="1"/>
  <c r="P402" i="115"/>
  <c r="N402" i="115" s="1"/>
  <c r="L591" i="115"/>
  <c r="L933" i="115"/>
  <c r="L652" i="115"/>
  <c r="P329" i="115"/>
  <c r="N329" i="115" s="1"/>
  <c r="P709" i="115"/>
  <c r="N709" i="115" s="1"/>
  <c r="L493" i="115"/>
  <c r="L780" i="115"/>
  <c r="P74" i="115"/>
  <c r="N74" i="115" s="1"/>
  <c r="P106" i="115"/>
  <c r="N106" i="115" s="1"/>
  <c r="L217" i="115"/>
  <c r="P105" i="115"/>
  <c r="L512" i="115"/>
  <c r="L297" i="115"/>
  <c r="L73" i="115"/>
  <c r="S454" i="115"/>
  <c r="R9" i="115"/>
  <c r="F24" i="144" s="1"/>
  <c r="R265" i="115"/>
  <c r="R309" i="115"/>
  <c r="S211" i="115"/>
  <c r="R312" i="115"/>
  <c r="S243" i="115"/>
  <c r="R186" i="115"/>
  <c r="S684" i="115"/>
  <c r="R291" i="115"/>
  <c r="S105" i="115"/>
  <c r="R988" i="115"/>
  <c r="R195" i="115"/>
  <c r="L435" i="115"/>
  <c r="P483" i="115"/>
  <c r="N483" i="115" s="1"/>
  <c r="P300" i="115"/>
  <c r="N300" i="115" s="1"/>
  <c r="L714" i="115"/>
  <c r="L782" i="115"/>
  <c r="L709" i="115"/>
  <c r="L985" i="115"/>
  <c r="P869" i="115"/>
  <c r="O869" i="115" s="1"/>
  <c r="L578" i="115"/>
  <c r="L958" i="115"/>
  <c r="P924" i="115"/>
  <c r="N924" i="115" s="1"/>
  <c r="P687" i="115"/>
  <c r="N687" i="115" s="1"/>
  <c r="P620" i="115"/>
  <c r="N620" i="115" s="1"/>
  <c r="L530" i="115"/>
  <c r="P703" i="115"/>
  <c r="N703" i="115" s="1"/>
  <c r="P192" i="115"/>
  <c r="N192" i="115" s="1"/>
  <c r="L445" i="115"/>
  <c r="L260" i="115"/>
  <c r="P544" i="115"/>
  <c r="N544" i="115" s="1"/>
  <c r="P650" i="115"/>
  <c r="Q650" i="115" s="1"/>
  <c r="L906" i="115"/>
  <c r="P684" i="115"/>
  <c r="N684" i="115" s="1"/>
  <c r="P382" i="115"/>
  <c r="N382" i="115" s="1"/>
  <c r="P506" i="115"/>
  <c r="O506" i="115" s="1"/>
  <c r="L639" i="115"/>
  <c r="P464" i="115"/>
  <c r="N464" i="115" s="1"/>
  <c r="L815" i="115"/>
  <c r="R330" i="115"/>
  <c r="R314" i="115"/>
  <c r="R68" i="115"/>
  <c r="R416" i="115"/>
  <c r="R234" i="115"/>
  <c r="S815" i="115"/>
  <c r="R541" i="115"/>
  <c r="R352" i="115"/>
  <c r="R266" i="115"/>
  <c r="S876" i="115"/>
  <c r="S312" i="115"/>
  <c r="S64" i="115"/>
  <c r="R544" i="115"/>
  <c r="R397" i="115"/>
  <c r="S543" i="115"/>
  <c r="R26" i="115"/>
  <c r="F87" i="144" s="1"/>
  <c r="R74" i="115"/>
  <c r="R106" i="115"/>
  <c r="S700" i="115"/>
  <c r="S60" i="115"/>
  <c r="R368" i="115"/>
  <c r="S511" i="115"/>
  <c r="S464" i="115"/>
  <c r="R298" i="115"/>
  <c r="S196" i="115"/>
  <c r="S122" i="115"/>
  <c r="S796" i="115"/>
  <c r="S764" i="115"/>
  <c r="R10" i="115"/>
  <c r="F25" i="144" s="1"/>
  <c r="P654" i="115"/>
  <c r="N654" i="115" s="1"/>
  <c r="L758" i="115"/>
  <c r="P780" i="115"/>
  <c r="N780" i="115" s="1"/>
  <c r="L895" i="115"/>
  <c r="P156" i="115"/>
  <c r="N156" i="115" s="1"/>
  <c r="P764" i="115"/>
  <c r="N764" i="115" s="1"/>
  <c r="P509" i="115"/>
  <c r="N509" i="115" s="1"/>
  <c r="P828" i="115"/>
  <c r="N828" i="115" s="1"/>
  <c r="P422" i="115"/>
  <c r="N422" i="115" s="1"/>
  <c r="L988" i="115"/>
  <c r="L576" i="115"/>
  <c r="P415" i="115"/>
  <c r="N415" i="115" s="1"/>
  <c r="P202" i="115"/>
  <c r="N202" i="115" s="1"/>
  <c r="P448" i="115"/>
  <c r="N448" i="115" s="1"/>
  <c r="L42" i="115"/>
  <c r="P570" i="115"/>
  <c r="P574" i="115"/>
  <c r="N574" i="115" s="1"/>
  <c r="L311" i="115"/>
  <c r="P525" i="115"/>
  <c r="N525" i="115" s="1"/>
  <c r="P847" i="115"/>
  <c r="O847" i="115" s="1"/>
  <c r="P604" i="115"/>
  <c r="N604" i="115" s="1"/>
  <c r="S668" i="115"/>
  <c r="R636" i="115"/>
  <c r="R477" i="115"/>
  <c r="S128" i="115"/>
  <c r="R311" i="115"/>
  <c r="R260" i="115"/>
  <c r="R461" i="115"/>
  <c r="R671" i="115"/>
  <c r="S138" i="115"/>
  <c r="S282" i="115"/>
  <c r="R120" i="115"/>
  <c r="S719" i="115"/>
  <c r="S847" i="115"/>
  <c r="S557" i="115"/>
  <c r="S218" i="115"/>
  <c r="S623" i="115"/>
  <c r="R684" i="115"/>
  <c r="S132" i="115"/>
  <c r="S58" i="115"/>
  <c r="R574" i="115"/>
  <c r="R639" i="115"/>
  <c r="R528" i="115"/>
  <c r="R56" i="115"/>
  <c r="R604" i="115"/>
  <c r="S90" i="115"/>
  <c r="S202" i="115"/>
  <c r="S42" i="115"/>
  <c r="S381" i="115"/>
  <c r="R509" i="115"/>
  <c r="S480" i="115"/>
  <c r="L869" i="115"/>
  <c r="P758" i="115"/>
  <c r="N758" i="115" s="1"/>
  <c r="L924" i="115"/>
  <c r="P895" i="115"/>
  <c r="N895" i="115" s="1"/>
  <c r="L620" i="115"/>
  <c r="P901" i="115"/>
  <c r="N901" i="115" s="1"/>
  <c r="L601" i="115"/>
  <c r="L132" i="115"/>
  <c r="L192" i="115"/>
  <c r="P475" i="115"/>
  <c r="N475" i="115" s="1"/>
  <c r="L718" i="115"/>
  <c r="L90" i="115"/>
  <c r="P665" i="115"/>
  <c r="O665" i="115" s="1"/>
  <c r="P42" i="115"/>
  <c r="N42" i="115" s="1"/>
  <c r="P227" i="115"/>
  <c r="N227" i="115" s="1"/>
  <c r="L312" i="115"/>
  <c r="P311" i="115"/>
  <c r="L464" i="115"/>
  <c r="S351" i="115"/>
  <c r="S445" i="115"/>
  <c r="R422" i="115"/>
  <c r="S268" i="115"/>
  <c r="S370" i="115"/>
  <c r="R570" i="115"/>
  <c r="S192" i="115"/>
  <c r="R493" i="115"/>
  <c r="S256" i="115"/>
  <c r="R248" i="115"/>
  <c r="S329" i="115"/>
  <c r="S349" i="115"/>
  <c r="R767" i="115"/>
  <c r="P722" i="115"/>
  <c r="N722" i="115" s="1"/>
  <c r="P331" i="115"/>
  <c r="N331" i="115" s="1"/>
  <c r="L124" i="115"/>
  <c r="P643" i="115"/>
  <c r="N643" i="115" s="1"/>
  <c r="L738" i="115"/>
  <c r="L801" i="115"/>
  <c r="L800" i="115"/>
  <c r="L979" i="115"/>
  <c r="P577" i="115"/>
  <c r="N577" i="115" s="1"/>
  <c r="P835" i="115"/>
  <c r="N835" i="115" s="1"/>
  <c r="P420" i="115"/>
  <c r="N420" i="115" s="1"/>
  <c r="P378" i="115"/>
  <c r="N378" i="115" s="1"/>
  <c r="L833" i="115"/>
  <c r="P609" i="115"/>
  <c r="P135" i="115"/>
  <c r="N135" i="115" s="1"/>
  <c r="P864" i="115"/>
  <c r="N864" i="115" s="1"/>
  <c r="P704" i="115"/>
  <c r="N704" i="115" s="1"/>
  <c r="L944" i="115"/>
  <c r="L558" i="115"/>
  <c r="P545" i="115"/>
  <c r="N545" i="115" s="1"/>
  <c r="P394" i="115"/>
  <c r="N394" i="115" s="1"/>
  <c r="P880" i="115"/>
  <c r="O880" i="115" s="1"/>
  <c r="P295" i="115"/>
  <c r="N295" i="115" s="1"/>
  <c r="P784" i="115"/>
  <c r="N784" i="115" s="1"/>
  <c r="P929" i="115"/>
  <c r="N929" i="115" s="1"/>
  <c r="L157" i="115"/>
  <c r="P641" i="115"/>
  <c r="N641" i="115" s="1"/>
  <c r="P276" i="115"/>
  <c r="N276" i="115" s="1"/>
  <c r="L110" i="115"/>
  <c r="L768" i="115"/>
  <c r="L592" i="115"/>
  <c r="L221" i="115"/>
  <c r="L183" i="115"/>
  <c r="P119" i="115"/>
  <c r="N119" i="115" s="1"/>
  <c r="L404" i="115"/>
  <c r="P87" i="115"/>
  <c r="N87" i="115" s="1"/>
  <c r="L215" i="115"/>
  <c r="L167" i="115"/>
  <c r="R167" i="115"/>
  <c r="R7" i="115"/>
  <c r="F22" i="144" s="1"/>
  <c r="S151" i="115"/>
  <c r="S39" i="115"/>
  <c r="P662" i="115"/>
  <c r="N662" i="115" s="1"/>
  <c r="P918" i="115"/>
  <c r="N918" i="115" s="1"/>
  <c r="L737" i="115"/>
  <c r="L621" i="115"/>
  <c r="L862" i="115"/>
  <c r="L707" i="115"/>
  <c r="P738" i="115"/>
  <c r="N738" i="115" s="1"/>
  <c r="P800" i="115"/>
  <c r="P979" i="115"/>
  <c r="N979" i="115" s="1"/>
  <c r="L653" i="115"/>
  <c r="L656" i="115"/>
  <c r="L529" i="115"/>
  <c r="L418" i="115"/>
  <c r="L659" i="115"/>
  <c r="L398" i="115"/>
  <c r="L611" i="115"/>
  <c r="L883" i="115"/>
  <c r="L992" i="115"/>
  <c r="L455" i="115"/>
  <c r="P944" i="115"/>
  <c r="P558" i="115"/>
  <c r="N558" i="115" s="1"/>
  <c r="L452" i="115"/>
  <c r="L931" i="115"/>
  <c r="L794" i="115"/>
  <c r="P640" i="115"/>
  <c r="N640" i="115" s="1"/>
  <c r="P734" i="115"/>
  <c r="N734" i="115" s="1"/>
  <c r="L641" i="115"/>
  <c r="P110" i="115"/>
  <c r="N110" i="115" s="1"/>
  <c r="P190" i="115"/>
  <c r="N190" i="115" s="1"/>
  <c r="P183" i="115"/>
  <c r="N183" i="115" s="1"/>
  <c r="L93" i="115"/>
  <c r="L39" i="115"/>
  <c r="L7" i="115"/>
  <c r="C22" i="140" s="1"/>
  <c r="P215" i="115"/>
  <c r="N215" i="115" s="1"/>
  <c r="S199" i="115"/>
  <c r="S279" i="115"/>
  <c r="R237" i="115"/>
  <c r="S183" i="115"/>
  <c r="R39" i="115"/>
  <c r="L606" i="115"/>
  <c r="L390" i="115"/>
  <c r="P653" i="115"/>
  <c r="N653" i="115" s="1"/>
  <c r="L845" i="115"/>
  <c r="P418" i="115"/>
  <c r="N418" i="115" s="1"/>
  <c r="P659" i="115"/>
  <c r="N659" i="115" s="1"/>
  <c r="P398" i="115"/>
  <c r="N398" i="115" s="1"/>
  <c r="L915" i="115"/>
  <c r="P611" i="115"/>
  <c r="N611" i="115" s="1"/>
  <c r="P883" i="115"/>
  <c r="N883" i="115" s="1"/>
  <c r="P992" i="115"/>
  <c r="N992" i="115" s="1"/>
  <c r="P455" i="115"/>
  <c r="N455" i="115" s="1"/>
  <c r="P931" i="115"/>
  <c r="N931" i="115" s="1"/>
  <c r="L640" i="115"/>
  <c r="L798" i="115"/>
  <c r="L315" i="115"/>
  <c r="L928" i="115"/>
  <c r="L247" i="115"/>
  <c r="P610" i="115"/>
  <c r="N610" i="115" s="1"/>
  <c r="L263" i="115"/>
  <c r="L71" i="115"/>
  <c r="S295" i="115"/>
  <c r="L762" i="115"/>
  <c r="L625" i="115"/>
  <c r="P426" i="115"/>
  <c r="Q426" i="115" s="1"/>
  <c r="L890" i="115"/>
  <c r="L945" i="115"/>
  <c r="L930" i="115"/>
  <c r="L849" i="115"/>
  <c r="P925" i="115"/>
  <c r="N925" i="115" s="1"/>
  <c r="L726" i="115"/>
  <c r="P762" i="115"/>
  <c r="N762" i="115" s="1"/>
  <c r="L847" i="115"/>
  <c r="P815" i="115"/>
  <c r="N815" i="115" s="1"/>
  <c r="S613" i="115"/>
  <c r="P829" i="115"/>
  <c r="N829" i="115" s="1"/>
  <c r="L754" i="115"/>
  <c r="P754" i="115"/>
  <c r="N754" i="115" s="1"/>
  <c r="R626" i="115"/>
  <c r="L626" i="115"/>
  <c r="S729" i="115"/>
  <c r="L729" i="115"/>
  <c r="R697" i="115"/>
  <c r="L697" i="115"/>
  <c r="S773" i="115"/>
  <c r="L773" i="115"/>
  <c r="P645" i="115"/>
  <c r="N645" i="115" s="1"/>
  <c r="L645" i="115"/>
  <c r="R581" i="115"/>
  <c r="L581" i="115"/>
  <c r="S466" i="115"/>
  <c r="L466" i="115"/>
  <c r="S991" i="115"/>
  <c r="L991" i="115"/>
  <c r="R975" i="115"/>
  <c r="L975" i="115"/>
  <c r="R959" i="115"/>
  <c r="S959" i="115"/>
  <c r="S943" i="115"/>
  <c r="L943" i="115"/>
  <c r="R911" i="115"/>
  <c r="S911" i="115"/>
  <c r="S863" i="115"/>
  <c r="L863" i="115"/>
  <c r="R831" i="115"/>
  <c r="S831" i="115"/>
  <c r="R735" i="115"/>
  <c r="S735" i="115"/>
  <c r="R703" i="115"/>
  <c r="L703" i="115"/>
  <c r="S550" i="115"/>
  <c r="L550" i="115"/>
  <c r="R940" i="115"/>
  <c r="L940" i="115"/>
  <c r="S812" i="115"/>
  <c r="L812" i="115"/>
  <c r="R12" i="115"/>
  <c r="C62" i="78" s="1"/>
  <c r="L12" i="115"/>
  <c r="B59" i="139" s="1"/>
  <c r="S525" i="115"/>
  <c r="L525" i="115"/>
  <c r="S461" i="115"/>
  <c r="L461" i="115"/>
  <c r="R576" i="115"/>
  <c r="P576" i="115"/>
  <c r="N576" i="115" s="1"/>
  <c r="R512" i="115"/>
  <c r="P512" i="115"/>
  <c r="N512" i="115" s="1"/>
  <c r="R496" i="115"/>
  <c r="L496" i="115"/>
  <c r="R432" i="115"/>
  <c r="L432" i="115"/>
  <c r="R333" i="115"/>
  <c r="P333" i="115"/>
  <c r="N333" i="115" s="1"/>
  <c r="P958" i="115"/>
  <c r="L687" i="115"/>
  <c r="L927" i="115"/>
  <c r="P530" i="115"/>
  <c r="N530" i="115" s="1"/>
  <c r="P358" i="115"/>
  <c r="L486" i="115"/>
  <c r="P601" i="115"/>
  <c r="N601" i="115" s="1"/>
  <c r="P975" i="115"/>
  <c r="N975" i="115" s="1"/>
  <c r="P718" i="115"/>
  <c r="N718" i="115" s="1"/>
  <c r="P12" i="115"/>
  <c r="B27" i="144" s="1"/>
  <c r="L889" i="115"/>
  <c r="L860" i="115"/>
  <c r="L655" i="115"/>
  <c r="P831" i="115"/>
  <c r="N831" i="115" s="1"/>
  <c r="P796" i="115"/>
  <c r="N796" i="115" s="1"/>
  <c r="P837" i="115"/>
  <c r="N837" i="115" s="1"/>
  <c r="P466" i="115"/>
  <c r="N466" i="115" s="1"/>
  <c r="P812" i="115"/>
  <c r="N812" i="115" s="1"/>
  <c r="L184" i="115"/>
  <c r="S783" i="115"/>
  <c r="S429" i="115"/>
  <c r="R400" i="115"/>
  <c r="S732" i="115"/>
  <c r="R365" i="115"/>
  <c r="S308" i="115"/>
  <c r="S748" i="115"/>
  <c r="S367" i="115"/>
  <c r="R64" i="115"/>
  <c r="S828" i="115"/>
  <c r="S924" i="115"/>
  <c r="R687" i="115"/>
  <c r="S620" i="115"/>
  <c r="R448" i="115"/>
  <c r="S447" i="115"/>
  <c r="S368" i="115"/>
  <c r="S333" i="115"/>
  <c r="R184" i="115"/>
  <c r="S415" i="115"/>
  <c r="S860" i="115"/>
  <c r="R550" i="115"/>
  <c r="R863" i="115"/>
  <c r="R796" i="115"/>
  <c r="S432" i="115"/>
  <c r="P927" i="115"/>
  <c r="N927" i="115" s="1"/>
  <c r="L156" i="115"/>
  <c r="P486" i="115"/>
  <c r="N486" i="115" s="1"/>
  <c r="L623" i="115"/>
  <c r="L901" i="115"/>
  <c r="P773" i="115"/>
  <c r="N773" i="115" s="1"/>
  <c r="P626" i="115"/>
  <c r="N626" i="115" s="1"/>
  <c r="L475" i="115"/>
  <c r="L828" i="115"/>
  <c r="L650" i="115"/>
  <c r="L415" i="115"/>
  <c r="P889" i="115"/>
  <c r="N889" i="115" s="1"/>
  <c r="P860" i="115"/>
  <c r="N860" i="115" s="1"/>
  <c r="P991" i="115"/>
  <c r="P655" i="115"/>
  <c r="N655" i="115" s="1"/>
  <c r="L665" i="115"/>
  <c r="P940" i="115"/>
  <c r="N940" i="115" s="1"/>
  <c r="L382" i="115"/>
  <c r="L325" i="115"/>
  <c r="L570" i="115"/>
  <c r="L506" i="115"/>
  <c r="P793" i="115"/>
  <c r="N793" i="115" s="1"/>
  <c r="L735" i="115"/>
  <c r="P613" i="115"/>
  <c r="N613" i="115" s="1"/>
  <c r="P908" i="115"/>
  <c r="N908" i="115" s="1"/>
  <c r="L604" i="115"/>
  <c r="R332" i="115"/>
  <c r="R607" i="115"/>
  <c r="S422" i="115"/>
  <c r="R716" i="115"/>
  <c r="R591" i="115"/>
  <c r="S544" i="115"/>
  <c r="S908" i="115"/>
  <c r="S780" i="115"/>
  <c r="R156" i="115"/>
  <c r="S581" i="115"/>
  <c r="S574" i="115"/>
  <c r="R383" i="115"/>
  <c r="S988" i="115"/>
  <c r="S496" i="115"/>
  <c r="S382" i="115"/>
  <c r="S975" i="115"/>
  <c r="P753" i="115"/>
  <c r="N753" i="115" s="1"/>
  <c r="L733" i="115"/>
  <c r="L968" i="115"/>
  <c r="P696" i="115"/>
  <c r="N696" i="115" s="1"/>
  <c r="L354" i="115"/>
  <c r="L40" i="115"/>
  <c r="R101" i="115"/>
  <c r="S255" i="115"/>
  <c r="R856" i="115"/>
  <c r="S904" i="115"/>
  <c r="R143" i="115"/>
  <c r="R936" i="115"/>
  <c r="L829" i="115"/>
  <c r="L776" i="115"/>
  <c r="L747" i="115"/>
  <c r="L426" i="115"/>
  <c r="L923" i="115"/>
  <c r="L861" i="115"/>
  <c r="P361" i="115"/>
  <c r="N361" i="115" s="1"/>
  <c r="L701" i="115"/>
  <c r="L830" i="115"/>
  <c r="P490" i="115"/>
  <c r="N490" i="115" s="1"/>
  <c r="P638" i="115"/>
  <c r="N638" i="115" s="1"/>
  <c r="L634" i="115"/>
  <c r="P175" i="115"/>
  <c r="N175" i="115" s="1"/>
  <c r="L409" i="115"/>
  <c r="R133" i="115"/>
  <c r="R489" i="115"/>
  <c r="R261" i="115"/>
  <c r="R127" i="115"/>
  <c r="S47" i="115"/>
  <c r="S786" i="115"/>
  <c r="L786" i="115"/>
  <c r="S934" i="115"/>
  <c r="L934" i="115"/>
  <c r="S614" i="115"/>
  <c r="P614" i="115"/>
  <c r="N614" i="115" s="1"/>
  <c r="R966" i="115"/>
  <c r="P966" i="115"/>
  <c r="N966" i="115" s="1"/>
  <c r="S346" i="115"/>
  <c r="P346" i="115"/>
  <c r="N346" i="115" s="1"/>
  <c r="S658" i="115"/>
  <c r="P658" i="115"/>
  <c r="N658" i="115" s="1"/>
  <c r="L658" i="115"/>
  <c r="S172" i="115"/>
  <c r="P172" i="115"/>
  <c r="N172" i="115" s="1"/>
  <c r="R523" i="115"/>
  <c r="L523" i="115"/>
  <c r="R949" i="115"/>
  <c r="S949" i="115"/>
  <c r="R698" i="115"/>
  <c r="P698" i="115"/>
  <c r="N698" i="115" s="1"/>
  <c r="P443" i="115"/>
  <c r="N443" i="115" s="1"/>
  <c r="L443" i="115"/>
  <c r="R994" i="115"/>
  <c r="P994" i="115"/>
  <c r="L994" i="115"/>
  <c r="P894" i="115"/>
  <c r="N894" i="115" s="1"/>
  <c r="L894" i="115"/>
  <c r="S573" i="115"/>
  <c r="R573" i="115"/>
  <c r="R44" i="115"/>
  <c r="P44" i="115"/>
  <c r="N44" i="115" s="1"/>
  <c r="L44" i="115"/>
  <c r="P977" i="115"/>
  <c r="N977" i="115" s="1"/>
  <c r="L977" i="115"/>
  <c r="R913" i="115"/>
  <c r="P913" i="115"/>
  <c r="N913" i="115" s="1"/>
  <c r="S817" i="115"/>
  <c r="P817" i="115"/>
  <c r="N817" i="115" s="1"/>
  <c r="R785" i="115"/>
  <c r="P785" i="115"/>
  <c r="N785" i="115" s="1"/>
  <c r="R721" i="115"/>
  <c r="L721" i="115"/>
  <c r="P721" i="115"/>
  <c r="N721" i="115" s="1"/>
  <c r="L657" i="115"/>
  <c r="P657" i="115"/>
  <c r="N657" i="115" s="1"/>
  <c r="R554" i="115"/>
  <c r="P554" i="115"/>
  <c r="N554" i="115" s="1"/>
  <c r="R320" i="115"/>
  <c r="P320" i="115"/>
  <c r="N320" i="115" s="1"/>
  <c r="L320" i="115"/>
  <c r="S893" i="115"/>
  <c r="P893" i="115"/>
  <c r="N893" i="115" s="1"/>
  <c r="R765" i="115"/>
  <c r="P765" i="115"/>
  <c r="N765" i="115" s="1"/>
  <c r="R669" i="115"/>
  <c r="S669" i="115"/>
  <c r="R605" i="115"/>
  <c r="L605" i="115"/>
  <c r="P514" i="115"/>
  <c r="N514" i="115" s="1"/>
  <c r="L514" i="115"/>
  <c r="P450" i="115"/>
  <c r="N450" i="115" s="1"/>
  <c r="L450" i="115"/>
  <c r="R987" i="115"/>
  <c r="P987" i="115"/>
  <c r="N987" i="115" s="1"/>
  <c r="L939" i="115"/>
  <c r="P939" i="115"/>
  <c r="N939" i="115" s="1"/>
  <c r="S907" i="115"/>
  <c r="L907" i="115"/>
  <c r="R907" i="115"/>
  <c r="P907" i="115"/>
  <c r="N907" i="115" s="1"/>
  <c r="R875" i="115"/>
  <c r="P875" i="115"/>
  <c r="N875" i="115" s="1"/>
  <c r="R859" i="115"/>
  <c r="S859" i="115"/>
  <c r="S827" i="115"/>
  <c r="R827" i="115"/>
  <c r="P827" i="115"/>
  <c r="N827" i="115" s="1"/>
  <c r="L811" i="115"/>
  <c r="P811" i="115"/>
  <c r="N811" i="115" s="1"/>
  <c r="S763" i="115"/>
  <c r="P763" i="115"/>
  <c r="N763" i="115" s="1"/>
  <c r="S635" i="115"/>
  <c r="R635" i="115"/>
  <c r="S619" i="115"/>
  <c r="P619" i="115"/>
  <c r="N619" i="115" s="1"/>
  <c r="R619" i="115"/>
  <c r="P603" i="115"/>
  <c r="N603" i="115" s="1"/>
  <c r="L603" i="115"/>
  <c r="S542" i="115"/>
  <c r="R542" i="115"/>
  <c r="R510" i="115"/>
  <c r="P510" i="115"/>
  <c r="N510" i="115" s="1"/>
  <c r="L478" i="115"/>
  <c r="R478" i="115"/>
  <c r="S252" i="115"/>
  <c r="P252" i="115"/>
  <c r="N252" i="115" s="1"/>
  <c r="R840" i="115"/>
  <c r="S840" i="115"/>
  <c r="P824" i="115"/>
  <c r="N824" i="115" s="1"/>
  <c r="L824" i="115"/>
  <c r="S808" i="115"/>
  <c r="P808" i="115"/>
  <c r="N808" i="115" s="1"/>
  <c r="R808" i="115"/>
  <c r="P680" i="115"/>
  <c r="N680" i="115" s="1"/>
  <c r="L680" i="115"/>
  <c r="L616" i="115"/>
  <c r="P616" i="115"/>
  <c r="N616" i="115" s="1"/>
  <c r="R600" i="115"/>
  <c r="L600" i="115"/>
  <c r="P600" i="115"/>
  <c r="N600" i="115" s="1"/>
  <c r="S439" i="115"/>
  <c r="R439" i="115"/>
  <c r="P439" i="115"/>
  <c r="N439" i="115" s="1"/>
  <c r="L439" i="115"/>
  <c r="R204" i="115"/>
  <c r="S204" i="115"/>
  <c r="P204" i="115"/>
  <c r="N204" i="115" s="1"/>
  <c r="L204" i="115"/>
  <c r="R395" i="115"/>
  <c r="L395" i="115"/>
  <c r="P379" i="115"/>
  <c r="N379" i="115" s="1"/>
  <c r="L379" i="115"/>
  <c r="R363" i="115"/>
  <c r="L363" i="115"/>
  <c r="R48" i="115"/>
  <c r="L48" i="115"/>
  <c r="R553" i="115"/>
  <c r="S553" i="115"/>
  <c r="S537" i="115"/>
  <c r="P537" i="115"/>
  <c r="N537" i="115" s="1"/>
  <c r="R537" i="115"/>
  <c r="S521" i="115"/>
  <c r="P521" i="115"/>
  <c r="N521" i="115" s="1"/>
  <c r="L521" i="115"/>
  <c r="R441" i="115"/>
  <c r="P441" i="115"/>
  <c r="N441" i="115" s="1"/>
  <c r="R393" i="115"/>
  <c r="P393" i="115"/>
  <c r="N393" i="115" s="1"/>
  <c r="S377" i="115"/>
  <c r="L377" i="115"/>
  <c r="L345" i="115"/>
  <c r="P345" i="115"/>
  <c r="N345" i="115" s="1"/>
  <c r="S324" i="115"/>
  <c r="L324" i="115"/>
  <c r="R232" i="115"/>
  <c r="S232" i="115"/>
  <c r="R168" i="115"/>
  <c r="P168" i="115"/>
  <c r="N168" i="115" s="1"/>
  <c r="S168" i="115"/>
  <c r="S104" i="115"/>
  <c r="L104" i="115"/>
  <c r="P572" i="115"/>
  <c r="N572" i="115" s="1"/>
  <c r="L572" i="115"/>
  <c r="R492" i="115"/>
  <c r="P492" i="115"/>
  <c r="N492" i="115" s="1"/>
  <c r="L492" i="115"/>
  <c r="S476" i="115"/>
  <c r="R476" i="115"/>
  <c r="S460" i="115"/>
  <c r="R460" i="115"/>
  <c r="R428" i="115"/>
  <c r="S428" i="115"/>
  <c r="L412" i="115"/>
  <c r="P412" i="115"/>
  <c r="N412" i="115" s="1"/>
  <c r="R380" i="115"/>
  <c r="P380" i="115"/>
  <c r="N380" i="115" s="1"/>
  <c r="S307" i="115"/>
  <c r="L307" i="115"/>
  <c r="P307" i="115"/>
  <c r="N307" i="115" s="1"/>
  <c r="L244" i="115"/>
  <c r="P244" i="115"/>
  <c r="N244" i="115" s="1"/>
  <c r="S180" i="115"/>
  <c r="L180" i="115"/>
  <c r="R116" i="115"/>
  <c r="P116" i="115"/>
  <c r="N116" i="115" s="1"/>
  <c r="R342" i="115"/>
  <c r="P342" i="115"/>
  <c r="N342" i="115" s="1"/>
  <c r="L342" i="115"/>
  <c r="R326" i="115"/>
  <c r="P326" i="115"/>
  <c r="P310" i="115"/>
  <c r="N310" i="115" s="1"/>
  <c r="L310" i="115"/>
  <c r="P294" i="115"/>
  <c r="N294" i="115" s="1"/>
  <c r="L294" i="115"/>
  <c r="P278" i="115"/>
  <c r="N278" i="115" s="1"/>
  <c r="L278" i="115"/>
  <c r="L262" i="115"/>
  <c r="P262" i="115"/>
  <c r="Q262" i="115" s="1"/>
  <c r="L230" i="115"/>
  <c r="P230" i="115"/>
  <c r="N230" i="115" s="1"/>
  <c r="R214" i="115"/>
  <c r="S214" i="115"/>
  <c r="R182" i="115"/>
  <c r="S182" i="115"/>
  <c r="R166" i="115"/>
  <c r="S166" i="115"/>
  <c r="L134" i="115"/>
  <c r="S134" i="115"/>
  <c r="P134" i="115"/>
  <c r="N134" i="115" s="1"/>
  <c r="R102" i="115"/>
  <c r="L102" i="115"/>
  <c r="P102" i="115"/>
  <c r="N102" i="115" s="1"/>
  <c r="S86" i="115"/>
  <c r="R86" i="115"/>
  <c r="R70" i="115"/>
  <c r="P70" i="115"/>
  <c r="N70" i="115" s="1"/>
  <c r="S54" i="115"/>
  <c r="L54" i="115"/>
  <c r="P54" i="115"/>
  <c r="N54" i="115" s="1"/>
  <c r="R22" i="115"/>
  <c r="F60" i="144" s="1"/>
  <c r="S22" i="115"/>
  <c r="S6" i="115"/>
  <c r="L6" i="115"/>
  <c r="B18" i="139" s="1"/>
  <c r="P6" i="115"/>
  <c r="B21" i="144" s="1"/>
  <c r="S293" i="115"/>
  <c r="L293" i="115"/>
  <c r="P293" i="115"/>
  <c r="N293" i="115" s="1"/>
  <c r="S277" i="115"/>
  <c r="P277" i="115"/>
  <c r="N277" i="115" s="1"/>
  <c r="R245" i="115"/>
  <c r="S245" i="115"/>
  <c r="R229" i="115"/>
  <c r="L229" i="115"/>
  <c r="P213" i="115"/>
  <c r="N213" i="115" s="1"/>
  <c r="R213" i="115"/>
  <c r="S213" i="115"/>
  <c r="S197" i="115"/>
  <c r="R197" i="115"/>
  <c r="S181" i="115"/>
  <c r="R181" i="115"/>
  <c r="R165" i="115"/>
  <c r="S165" i="115"/>
  <c r="L165" i="115"/>
  <c r="P165" i="115"/>
  <c r="N165" i="115" s="1"/>
  <c r="R149" i="115"/>
  <c r="P149" i="115"/>
  <c r="N149" i="115" s="1"/>
  <c r="L149" i="115"/>
  <c r="R117" i="115"/>
  <c r="L117" i="115"/>
  <c r="P117" i="115"/>
  <c r="N117" i="115" s="1"/>
  <c r="S85" i="115"/>
  <c r="R85" i="115"/>
  <c r="R69" i="115"/>
  <c r="S69" i="115"/>
  <c r="L69" i="115"/>
  <c r="S53" i="115"/>
  <c r="L53" i="115"/>
  <c r="R53" i="115"/>
  <c r="P53" i="115"/>
  <c r="N53" i="115" s="1"/>
  <c r="S37" i="115"/>
  <c r="R37" i="115"/>
  <c r="F98" i="144" s="1"/>
  <c r="S287" i="115"/>
  <c r="P287" i="115"/>
  <c r="N287" i="115" s="1"/>
  <c r="R287" i="115"/>
  <c r="L287" i="115"/>
  <c r="S271" i="115"/>
  <c r="R271" i="115"/>
  <c r="R239" i="115"/>
  <c r="S239" i="115"/>
  <c r="R223" i="115"/>
  <c r="S223" i="115"/>
  <c r="R207" i="115"/>
  <c r="L207" i="115"/>
  <c r="P207" i="115"/>
  <c r="R191" i="115"/>
  <c r="L191" i="115"/>
  <c r="R175" i="115"/>
  <c r="L175" i="115"/>
  <c r="R159" i="115"/>
  <c r="S159" i="115"/>
  <c r="S111" i="115"/>
  <c r="P111" i="115"/>
  <c r="N111" i="115" s="1"/>
  <c r="R111" i="115"/>
  <c r="L111" i="115"/>
  <c r="R79" i="115"/>
  <c r="P79" i="115"/>
  <c r="S79" i="115"/>
  <c r="L79" i="115"/>
  <c r="R63" i="115"/>
  <c r="S63" i="115"/>
  <c r="R31" i="115"/>
  <c r="F92" i="12" s="1"/>
  <c r="F92" i="119" s="1"/>
  <c r="F92" i="118" s="1"/>
  <c r="P31" i="115"/>
  <c r="B92" i="118" s="1"/>
  <c r="L31" i="115"/>
  <c r="C174" i="123" s="1"/>
  <c r="S15" i="115"/>
  <c r="R15" i="115"/>
  <c r="F53" i="144" s="1"/>
  <c r="P625" i="115"/>
  <c r="N625" i="115" s="1"/>
  <c r="L955" i="115"/>
  <c r="L542" i="115"/>
  <c r="L346" i="115"/>
  <c r="P715" i="115"/>
  <c r="N715" i="115" s="1"/>
  <c r="L698" i="115"/>
  <c r="L808" i="115"/>
  <c r="L966" i="115"/>
  <c r="L172" i="115"/>
  <c r="L619" i="115"/>
  <c r="L817" i="115"/>
  <c r="P971" i="115"/>
  <c r="N971" i="115" s="1"/>
  <c r="L875" i="115"/>
  <c r="P904" i="115"/>
  <c r="N904" i="115" s="1"/>
  <c r="B60" i="144"/>
  <c r="B88" i="144"/>
  <c r="F61" i="144"/>
  <c r="F58" i="144"/>
  <c r="F91" i="144"/>
  <c r="B90" i="144"/>
  <c r="B94" i="144"/>
  <c r="B87" i="144"/>
  <c r="F89" i="144"/>
  <c r="B59" i="144"/>
  <c r="B56" i="144"/>
  <c r="B93" i="144"/>
  <c r="B62" i="144"/>
  <c r="F56" i="144"/>
  <c r="L986" i="115"/>
  <c r="E73" i="145"/>
  <c r="E37" i="145"/>
  <c r="E71" i="144"/>
  <c r="E36" i="144"/>
  <c r="P986" i="115"/>
  <c r="N986" i="115" s="1"/>
  <c r="L734" i="115"/>
  <c r="L909" i="115"/>
  <c r="P865" i="115"/>
  <c r="N865" i="115" s="1"/>
  <c r="P899" i="115"/>
  <c r="N899" i="115" s="1"/>
  <c r="R371" i="115"/>
  <c r="R141" i="115"/>
  <c r="P670" i="115"/>
  <c r="N670" i="115" s="1"/>
  <c r="L961" i="115"/>
  <c r="P546" i="115"/>
  <c r="N546" i="115" s="1"/>
  <c r="R358" i="115"/>
  <c r="R506" i="115"/>
  <c r="R773" i="115"/>
  <c r="P942" i="115"/>
  <c r="N942" i="115" s="1"/>
  <c r="L810" i="115"/>
  <c r="L642" i="115"/>
  <c r="L770" i="115"/>
  <c r="L997" i="115"/>
  <c r="L822" i="115"/>
  <c r="L742" i="115"/>
  <c r="L870" i="115"/>
  <c r="L694" i="115"/>
  <c r="L562" i="115"/>
  <c r="P870" i="115"/>
  <c r="N870" i="115" s="1"/>
  <c r="P694" i="115"/>
  <c r="N694" i="115" s="1"/>
  <c r="P562" i="115"/>
  <c r="N562" i="115" s="1"/>
  <c r="L981" i="115"/>
  <c r="E73" i="142"/>
  <c r="E73" i="141"/>
  <c r="E37" i="141"/>
  <c r="E37" i="142"/>
  <c r="N37" i="115"/>
  <c r="A98" i="144" s="1"/>
  <c r="B98" i="136"/>
  <c r="B98" i="135"/>
  <c r="N14" i="115"/>
  <c r="A52" i="144" s="1"/>
  <c r="B53" i="139"/>
  <c r="B52" i="136"/>
  <c r="B52" i="135"/>
  <c r="N11" i="115"/>
  <c r="A26" i="144" s="1"/>
  <c r="B50" i="139"/>
  <c r="B26" i="136"/>
  <c r="B26" i="135"/>
  <c r="B89" i="135"/>
  <c r="N8" i="115"/>
  <c r="A23" i="144" s="1"/>
  <c r="B12" i="139"/>
  <c r="B23" i="136"/>
  <c r="B23" i="135"/>
  <c r="N17" i="115"/>
  <c r="A55" i="144" s="1"/>
  <c r="B56" i="139"/>
  <c r="B55" i="136"/>
  <c r="B55" i="135"/>
  <c r="B101" i="139"/>
  <c r="C120" i="140"/>
  <c r="N13" i="115"/>
  <c r="A28" i="144" s="1"/>
  <c r="B52" i="139"/>
  <c r="B28" i="136"/>
  <c r="B28" i="135"/>
  <c r="N27" i="115"/>
  <c r="B136" i="139"/>
  <c r="B88" i="136"/>
  <c r="B88" i="135"/>
  <c r="C12" i="140"/>
  <c r="F20" i="135"/>
  <c r="F20" i="136"/>
  <c r="C113" i="140"/>
  <c r="F58" i="136"/>
  <c r="F58" i="135"/>
  <c r="C165" i="140"/>
  <c r="F91" i="136"/>
  <c r="F91" i="135"/>
  <c r="N21" i="115"/>
  <c r="B95" i="139"/>
  <c r="B59" i="136"/>
  <c r="B59" i="135"/>
  <c r="N22" i="115"/>
  <c r="B96" i="139"/>
  <c r="B60" i="136"/>
  <c r="B60" i="135"/>
  <c r="N32" i="115"/>
  <c r="B141" i="139"/>
  <c r="B93" i="136"/>
  <c r="B93" i="135"/>
  <c r="B62" i="139"/>
  <c r="B100" i="139"/>
  <c r="C119" i="140"/>
  <c r="B150" i="139"/>
  <c r="C176" i="140"/>
  <c r="N26" i="115"/>
  <c r="B135" i="139"/>
  <c r="B87" i="136"/>
  <c r="B87" i="135"/>
  <c r="C9" i="140"/>
  <c r="F17" i="136"/>
  <c r="F17" i="135"/>
  <c r="C13" i="140"/>
  <c r="F21" i="136"/>
  <c r="F21" i="135"/>
  <c r="N15" i="115"/>
  <c r="A53" i="144" s="1"/>
  <c r="B54" i="139"/>
  <c r="B53" i="136"/>
  <c r="B53" i="135"/>
  <c r="N34" i="115"/>
  <c r="A95" i="144" s="1"/>
  <c r="B95" i="136"/>
  <c r="B95" i="135"/>
  <c r="N29" i="115"/>
  <c r="B138" i="139"/>
  <c r="B90" i="136"/>
  <c r="B90" i="135"/>
  <c r="N18" i="115"/>
  <c r="B92" i="139"/>
  <c r="B56" i="136"/>
  <c r="B56" i="135"/>
  <c r="N33" i="115"/>
  <c r="B142" i="139"/>
  <c r="B94" i="136"/>
  <c r="B94" i="135"/>
  <c r="N7" i="115"/>
  <c r="A22" i="144" s="1"/>
  <c r="B11" i="139"/>
  <c r="B22" i="136"/>
  <c r="B22" i="135"/>
  <c r="C116" i="140"/>
  <c r="F61" i="135"/>
  <c r="F61" i="136"/>
  <c r="C10" i="140"/>
  <c r="F18" i="136"/>
  <c r="F18" i="135"/>
  <c r="C163" i="140"/>
  <c r="F89" i="136"/>
  <c r="F89" i="135"/>
  <c r="I204" i="140"/>
  <c r="H103" i="140"/>
  <c r="B172" i="139"/>
  <c r="B129" i="139"/>
  <c r="I154" i="140"/>
  <c r="H52" i="140"/>
  <c r="B43" i="139"/>
  <c r="B86" i="139"/>
  <c r="E73" i="137"/>
  <c r="E71" i="136"/>
  <c r="E36" i="136"/>
  <c r="E37" i="137"/>
  <c r="E71" i="135"/>
  <c r="E36" i="135"/>
  <c r="C69" i="140"/>
  <c r="B58" i="139"/>
  <c r="C122" i="140"/>
  <c r="B103" i="139"/>
  <c r="C171" i="140"/>
  <c r="B104" i="139"/>
  <c r="C123" i="140"/>
  <c r="B57" i="139"/>
  <c r="C68" i="140"/>
  <c r="B149" i="139"/>
  <c r="C175" i="140"/>
  <c r="B64" i="139"/>
  <c r="C75" i="140"/>
  <c r="C126" i="140"/>
  <c r="B107" i="139"/>
  <c r="C11" i="140"/>
  <c r="F19" i="135"/>
  <c r="F19" i="136"/>
  <c r="N24" i="115"/>
  <c r="B98" i="139"/>
  <c r="B62" i="136"/>
  <c r="B62" i="135"/>
  <c r="B106" i="139"/>
  <c r="C125" i="140"/>
  <c r="C111" i="140"/>
  <c r="F56" i="136"/>
  <c r="F56" i="135"/>
  <c r="C61" i="140"/>
  <c r="F26" i="135"/>
  <c r="F26" i="136"/>
  <c r="S913" i="115"/>
  <c r="P937" i="115"/>
  <c r="N937" i="115" s="1"/>
  <c r="P810" i="115"/>
  <c r="N810" i="115" s="1"/>
  <c r="P757" i="115"/>
  <c r="N757" i="115" s="1"/>
  <c r="L868" i="115"/>
  <c r="L599" i="115"/>
  <c r="S903" i="115"/>
  <c r="R209" i="115"/>
  <c r="S273" i="115"/>
  <c r="S437" i="115"/>
  <c r="R98" i="115"/>
  <c r="P981" i="115"/>
  <c r="N981" i="115" s="1"/>
  <c r="P868" i="115"/>
  <c r="Q868" i="115" s="1"/>
  <c r="P663" i="115"/>
  <c r="N663" i="115" s="1"/>
  <c r="R177" i="115"/>
  <c r="S18" i="115"/>
  <c r="S140" i="115"/>
  <c r="R129" i="115"/>
  <c r="P905" i="115"/>
  <c r="N905" i="115" s="1"/>
  <c r="L836" i="115"/>
  <c r="P853" i="115"/>
  <c r="Q853" i="115" s="1"/>
  <c r="R531" i="115"/>
  <c r="P531" i="115"/>
  <c r="N531" i="115" s="1"/>
  <c r="R946" i="115"/>
  <c r="L946" i="115"/>
  <c r="S818" i="115"/>
  <c r="L818" i="115"/>
  <c r="P818" i="115"/>
  <c r="N818" i="115" s="1"/>
  <c r="R998" i="115"/>
  <c r="L998" i="115"/>
  <c r="R898" i="115"/>
  <c r="L898" i="115"/>
  <c r="R618" i="115"/>
  <c r="L618" i="115"/>
  <c r="R411" i="115"/>
  <c r="L411" i="115"/>
  <c r="R878" i="115"/>
  <c r="L878" i="115"/>
  <c r="R814" i="115"/>
  <c r="L814" i="115"/>
  <c r="S750" i="115"/>
  <c r="L750" i="115"/>
  <c r="R622" i="115"/>
  <c r="P622" i="115"/>
  <c r="N622" i="115" s="1"/>
  <c r="L622" i="115"/>
  <c r="S547" i="115"/>
  <c r="L547" i="115"/>
  <c r="R419" i="115"/>
  <c r="P419" i="115"/>
  <c r="N419" i="115" s="1"/>
  <c r="L419" i="115"/>
  <c r="R809" i="115"/>
  <c r="L809" i="115"/>
  <c r="R777" i="115"/>
  <c r="L777" i="115"/>
  <c r="P649" i="115"/>
  <c r="N649" i="115" s="1"/>
  <c r="L649" i="115"/>
  <c r="S585" i="115"/>
  <c r="P585" i="115"/>
  <c r="N585" i="115" s="1"/>
  <c r="L585" i="115"/>
  <c r="S220" i="115"/>
  <c r="L220" i="115"/>
  <c r="R917" i="115"/>
  <c r="L917" i="115"/>
  <c r="P917" i="115"/>
  <c r="N917" i="115" s="1"/>
  <c r="S789" i="115"/>
  <c r="P789" i="115"/>
  <c r="N789" i="115" s="1"/>
  <c r="S629" i="115"/>
  <c r="L629" i="115"/>
  <c r="S498" i="115"/>
  <c r="P498" i="115"/>
  <c r="N498" i="115" s="1"/>
  <c r="R999" i="115"/>
  <c r="P999" i="115"/>
  <c r="N999" i="115" s="1"/>
  <c r="R935" i="115"/>
  <c r="P935" i="115"/>
  <c r="N935" i="115" s="1"/>
  <c r="P871" i="115"/>
  <c r="N871" i="115" s="1"/>
  <c r="L871" i="115"/>
  <c r="R759" i="115"/>
  <c r="L759" i="115"/>
  <c r="R711" i="115"/>
  <c r="S711" i="115"/>
  <c r="S695" i="115"/>
  <c r="L695" i="115"/>
  <c r="S647" i="115"/>
  <c r="R647" i="115"/>
  <c r="S631" i="115"/>
  <c r="L631" i="115"/>
  <c r="P583" i="115"/>
  <c r="N583" i="115" s="1"/>
  <c r="L583" i="115"/>
  <c r="S563" i="115"/>
  <c r="L563" i="115"/>
  <c r="P470" i="115"/>
  <c r="N470" i="115" s="1"/>
  <c r="R470" i="115"/>
  <c r="R438" i="115"/>
  <c r="S438" i="115"/>
  <c r="P350" i="115"/>
  <c r="N350" i="115" s="1"/>
  <c r="L350" i="115"/>
  <c r="R980" i="115"/>
  <c r="S980" i="115"/>
  <c r="S900" i="115"/>
  <c r="P900" i="115"/>
  <c r="N900" i="115" s="1"/>
  <c r="L900" i="115"/>
  <c r="S852" i="115"/>
  <c r="L852" i="115"/>
  <c r="R836" i="115"/>
  <c r="P836" i="115"/>
  <c r="N836" i="115" s="1"/>
  <c r="S772" i="115"/>
  <c r="L772" i="115"/>
  <c r="S740" i="115"/>
  <c r="R740" i="115"/>
  <c r="S527" i="115"/>
  <c r="R527" i="115"/>
  <c r="S495" i="115"/>
  <c r="P495" i="115"/>
  <c r="N495" i="115" s="1"/>
  <c r="L495" i="115"/>
  <c r="P463" i="115"/>
  <c r="N463" i="115" s="1"/>
  <c r="L463" i="115"/>
  <c r="S359" i="115"/>
  <c r="R359" i="115"/>
  <c r="P359" i="115"/>
  <c r="N359" i="115" s="1"/>
  <c r="L359" i="115"/>
  <c r="R288" i="115"/>
  <c r="S288" i="115"/>
  <c r="S224" i="115"/>
  <c r="P224" i="115"/>
  <c r="N224" i="115" s="1"/>
  <c r="R224" i="115"/>
  <c r="L224" i="115"/>
  <c r="P160" i="115"/>
  <c r="N160" i="115" s="1"/>
  <c r="L160" i="115"/>
  <c r="S96" i="115"/>
  <c r="R96" i="115"/>
  <c r="S32" i="115"/>
  <c r="R32" i="115"/>
  <c r="S533" i="115"/>
  <c r="P533" i="115"/>
  <c r="N533" i="115" s="1"/>
  <c r="L533" i="115"/>
  <c r="R453" i="115"/>
  <c r="L453" i="115"/>
  <c r="R421" i="115"/>
  <c r="L421" i="115"/>
  <c r="S421" i="115"/>
  <c r="R319" i="115"/>
  <c r="L319" i="115"/>
  <c r="S216" i="115"/>
  <c r="R216" i="115"/>
  <c r="R88" i="115"/>
  <c r="L88" i="115"/>
  <c r="S552" i="115"/>
  <c r="R552" i="115"/>
  <c r="L552" i="115"/>
  <c r="R536" i="115"/>
  <c r="P536" i="115"/>
  <c r="N536" i="115" s="1"/>
  <c r="L536" i="115"/>
  <c r="R504" i="115"/>
  <c r="L504" i="115"/>
  <c r="S472" i="115"/>
  <c r="P472" i="115"/>
  <c r="N472" i="115" s="1"/>
  <c r="R472" i="115"/>
  <c r="L472" i="115"/>
  <c r="R440" i="115"/>
  <c r="L440" i="115"/>
  <c r="S424" i="115"/>
  <c r="R424" i="115"/>
  <c r="P424" i="115"/>
  <c r="N424" i="115" s="1"/>
  <c r="L424" i="115"/>
  <c r="R408" i="115"/>
  <c r="L408" i="115"/>
  <c r="R376" i="115"/>
  <c r="P376" i="115"/>
  <c r="N376" i="115" s="1"/>
  <c r="R360" i="115"/>
  <c r="P360" i="115"/>
  <c r="N360" i="115" s="1"/>
  <c r="L360" i="115"/>
  <c r="S360" i="115"/>
  <c r="R323" i="115"/>
  <c r="L323" i="115"/>
  <c r="S228" i="115"/>
  <c r="R228" i="115"/>
  <c r="P228" i="115"/>
  <c r="O228" i="115" s="1"/>
  <c r="L228" i="115"/>
  <c r="R100" i="115"/>
  <c r="L100" i="115"/>
  <c r="S100" i="115"/>
  <c r="R36" i="115"/>
  <c r="F97" i="144" s="1"/>
  <c r="P36" i="115"/>
  <c r="B97" i="144" s="1"/>
  <c r="S36" i="115"/>
  <c r="L36" i="115"/>
  <c r="R338" i="115"/>
  <c r="P338" i="115"/>
  <c r="N338" i="115" s="1"/>
  <c r="L338" i="115"/>
  <c r="R322" i="115"/>
  <c r="L322" i="115"/>
  <c r="S306" i="115"/>
  <c r="R306" i="115"/>
  <c r="L306" i="115"/>
  <c r="S290" i="115"/>
  <c r="R290" i="115"/>
  <c r="S274" i="115"/>
  <c r="R274" i="115"/>
  <c r="R242" i="115"/>
  <c r="L242" i="115"/>
  <c r="R226" i="115"/>
  <c r="S226" i="115"/>
  <c r="R210" i="115"/>
  <c r="L210" i="115"/>
  <c r="R178" i="115"/>
  <c r="S178" i="115"/>
  <c r="S162" i="115"/>
  <c r="R162" i="115"/>
  <c r="R146" i="115"/>
  <c r="P146" i="115"/>
  <c r="N146" i="115" s="1"/>
  <c r="L146" i="115"/>
  <c r="R130" i="115"/>
  <c r="S130" i="115"/>
  <c r="S82" i="115"/>
  <c r="R82" i="115"/>
  <c r="R66" i="115"/>
  <c r="P66" i="115"/>
  <c r="N66" i="115" s="1"/>
  <c r="S66" i="115"/>
  <c r="R50" i="115"/>
  <c r="P50" i="115"/>
  <c r="N50" i="115" s="1"/>
  <c r="L50" i="115"/>
  <c r="R34" i="115"/>
  <c r="F95" i="144" s="1"/>
  <c r="S34" i="115"/>
  <c r="S289" i="115"/>
  <c r="R289" i="115"/>
  <c r="R257" i="115"/>
  <c r="S257" i="115"/>
  <c r="L257" i="115"/>
  <c r="P257" i="115"/>
  <c r="N257" i="115" s="1"/>
  <c r="R241" i="115"/>
  <c r="S241" i="115"/>
  <c r="P241" i="115"/>
  <c r="N241" i="115" s="1"/>
  <c r="L241" i="115"/>
  <c r="R225" i="115"/>
  <c r="S225" i="115"/>
  <c r="L225" i="115"/>
  <c r="R161" i="115"/>
  <c r="S161" i="115"/>
  <c r="R145" i="115"/>
  <c r="S145" i="115"/>
  <c r="R113" i="115"/>
  <c r="S113" i="115"/>
  <c r="R65" i="115"/>
  <c r="S65" i="115"/>
  <c r="L65" i="115"/>
  <c r="P65" i="115"/>
  <c r="N65" i="115" s="1"/>
  <c r="L49" i="115"/>
  <c r="R49" i="115"/>
  <c r="R33" i="115"/>
  <c r="S33" i="115"/>
  <c r="R17" i="115"/>
  <c r="F55" i="144" s="1"/>
  <c r="S17" i="115"/>
  <c r="L938" i="115"/>
  <c r="S759" i="115"/>
  <c r="R937" i="115"/>
  <c r="P690" i="115"/>
  <c r="N690" i="115" s="1"/>
  <c r="R434" i="115"/>
  <c r="L793" i="115"/>
  <c r="S571" i="115"/>
  <c r="R945" i="115"/>
  <c r="R677" i="115"/>
  <c r="R741" i="115"/>
  <c r="R751" i="115"/>
  <c r="R895" i="115"/>
  <c r="R530" i="115"/>
  <c r="S402" i="115"/>
  <c r="S829" i="115"/>
  <c r="R943" i="115"/>
  <c r="R991" i="115"/>
  <c r="R655" i="115"/>
  <c r="R799" i="115"/>
  <c r="L613" i="115"/>
  <c r="R805" i="115"/>
  <c r="S645" i="115"/>
  <c r="R927" i="115"/>
  <c r="S566" i="115"/>
  <c r="S320" i="115"/>
  <c r="S999" i="115"/>
  <c r="R498" i="115"/>
  <c r="R585" i="115"/>
  <c r="P459" i="115"/>
  <c r="N459" i="115" s="1"/>
  <c r="L874" i="115"/>
  <c r="R885" i="115"/>
  <c r="L978" i="115"/>
  <c r="L633" i="115"/>
  <c r="P325" i="115"/>
  <c r="N325" i="115" s="1"/>
  <c r="P921" i="115"/>
  <c r="N921" i="115" s="1"/>
  <c r="P954" i="115"/>
  <c r="N954" i="115" s="1"/>
  <c r="R825" i="115"/>
  <c r="S846" i="115"/>
  <c r="R645" i="115"/>
  <c r="S906" i="115"/>
  <c r="P978" i="115"/>
  <c r="N978" i="115" s="1"/>
  <c r="P633" i="115"/>
  <c r="N633" i="115" s="1"/>
  <c r="S953" i="115"/>
  <c r="S869" i="115"/>
  <c r="S901" i="115"/>
  <c r="S665" i="115"/>
  <c r="S837" i="115"/>
  <c r="R466" i="115"/>
  <c r="R761" i="115"/>
  <c r="I204" i="78"/>
  <c r="B172" i="14"/>
  <c r="B129" i="14"/>
  <c r="B86" i="14"/>
  <c r="H52" i="78"/>
  <c r="B43" i="14"/>
  <c r="I154" i="78"/>
  <c r="H103" i="78"/>
  <c r="P236" i="115"/>
  <c r="N236" i="115" s="1"/>
  <c r="P834" i="115"/>
  <c r="N834" i="115" s="1"/>
  <c r="L921" i="115"/>
  <c r="L954" i="115"/>
  <c r="S910" i="115"/>
  <c r="R718" i="115"/>
  <c r="R857" i="115"/>
  <c r="R300" i="115"/>
  <c r="R442" i="115"/>
  <c r="L853" i="115"/>
  <c r="P938" i="115"/>
  <c r="N938" i="115" s="1"/>
  <c r="P874" i="115"/>
  <c r="N874" i="115" s="1"/>
  <c r="P948" i="115"/>
  <c r="R855" i="115"/>
  <c r="R820" i="115"/>
  <c r="S996" i="115"/>
  <c r="S679" i="115"/>
  <c r="R391" i="115"/>
  <c r="R983" i="115"/>
  <c r="R853" i="115"/>
  <c r="R188" i="115"/>
  <c r="R772" i="115"/>
  <c r="R713" i="115"/>
  <c r="R775" i="115"/>
  <c r="R534" i="115"/>
  <c r="R563" i="115"/>
  <c r="R631" i="115"/>
  <c r="R533" i="115"/>
  <c r="S343" i="115"/>
  <c r="R549" i="115"/>
  <c r="R900" i="115"/>
  <c r="R596" i="115"/>
  <c r="L999" i="115"/>
  <c r="L905" i="115"/>
  <c r="L690" i="115"/>
  <c r="L459" i="115"/>
  <c r="L789" i="115"/>
  <c r="S868" i="115"/>
  <c r="R373" i="115"/>
  <c r="R725" i="115"/>
  <c r="R695" i="115"/>
  <c r="R615" i="115"/>
  <c r="R629" i="115"/>
  <c r="R852" i="115"/>
  <c r="R502" i="115"/>
  <c r="S935" i="115"/>
  <c r="R495" i="115"/>
  <c r="R807" i="115"/>
  <c r="S453" i="115"/>
  <c r="R745" i="115"/>
  <c r="S745" i="115"/>
  <c r="R681" i="115"/>
  <c r="L681" i="115"/>
  <c r="S681" i="115"/>
  <c r="S649" i="115"/>
  <c r="R649" i="115"/>
  <c r="R474" i="115"/>
  <c r="S474" i="115"/>
  <c r="R821" i="115"/>
  <c r="S821" i="115"/>
  <c r="R757" i="115"/>
  <c r="S757" i="115"/>
  <c r="S661" i="115"/>
  <c r="R661" i="115"/>
  <c r="S597" i="115"/>
  <c r="R597" i="115"/>
  <c r="S561" i="115"/>
  <c r="R561" i="115"/>
  <c r="S341" i="115"/>
  <c r="R341" i="115"/>
  <c r="P967" i="115"/>
  <c r="N967" i="115" s="1"/>
  <c r="L967" i="115"/>
  <c r="R967" i="115"/>
  <c r="R951" i="115"/>
  <c r="S951" i="115"/>
  <c r="S919" i="115"/>
  <c r="R919" i="115"/>
  <c r="L919" i="115"/>
  <c r="P919" i="115"/>
  <c r="N919" i="115" s="1"/>
  <c r="R887" i="115"/>
  <c r="L887" i="115"/>
  <c r="S887" i="115"/>
  <c r="P887" i="115"/>
  <c r="N887" i="115" s="1"/>
  <c r="R871" i="115"/>
  <c r="S871" i="115"/>
  <c r="R839" i="115"/>
  <c r="S839" i="115"/>
  <c r="R823" i="115"/>
  <c r="S823" i="115"/>
  <c r="R791" i="115"/>
  <c r="S791" i="115"/>
  <c r="R743" i="115"/>
  <c r="S743" i="115"/>
  <c r="R727" i="115"/>
  <c r="S727" i="115"/>
  <c r="R663" i="115"/>
  <c r="S663" i="115"/>
  <c r="R599" i="115"/>
  <c r="S599" i="115"/>
  <c r="R583" i="115"/>
  <c r="S583" i="115"/>
  <c r="S470" i="115"/>
  <c r="L470" i="115"/>
  <c r="R406" i="115"/>
  <c r="S406" i="115"/>
  <c r="R350" i="115"/>
  <c r="S350" i="115"/>
  <c r="R964" i="115"/>
  <c r="S964" i="115"/>
  <c r="R948" i="115"/>
  <c r="L948" i="115"/>
  <c r="R932" i="115"/>
  <c r="S932" i="115"/>
  <c r="R916" i="115"/>
  <c r="S916" i="115"/>
  <c r="R884" i="115"/>
  <c r="S884" i="115"/>
  <c r="R804" i="115"/>
  <c r="S804" i="115"/>
  <c r="R788" i="115"/>
  <c r="S788" i="115"/>
  <c r="R756" i="115"/>
  <c r="S756" i="115"/>
  <c r="R724" i="115"/>
  <c r="S724" i="115"/>
  <c r="R708" i="115"/>
  <c r="S708" i="115"/>
  <c r="R692" i="115"/>
  <c r="S692" i="115"/>
  <c r="R676" i="115"/>
  <c r="S676" i="115"/>
  <c r="R660" i="115"/>
  <c r="S660" i="115"/>
  <c r="R644" i="115"/>
  <c r="S644" i="115"/>
  <c r="R628" i="115"/>
  <c r="S628" i="115"/>
  <c r="R612" i="115"/>
  <c r="S612" i="115"/>
  <c r="R580" i="115"/>
  <c r="S580" i="115"/>
  <c r="L580" i="115"/>
  <c r="R559" i="115"/>
  <c r="S559" i="115"/>
  <c r="R463" i="115"/>
  <c r="S463" i="115"/>
  <c r="R431" i="115"/>
  <c r="S431" i="115"/>
  <c r="R399" i="115"/>
  <c r="S399" i="115"/>
  <c r="R336" i="115"/>
  <c r="S336" i="115"/>
  <c r="R375" i="115"/>
  <c r="S375" i="115"/>
  <c r="R321" i="115"/>
  <c r="S321" i="115"/>
  <c r="R160" i="115"/>
  <c r="S160" i="115"/>
  <c r="R517" i="115"/>
  <c r="S517" i="115"/>
  <c r="R501" i="115"/>
  <c r="S501" i="115"/>
  <c r="P501" i="115"/>
  <c r="N501" i="115" s="1"/>
  <c r="R485" i="115"/>
  <c r="S485" i="115"/>
  <c r="R469" i="115"/>
  <c r="S469" i="115"/>
  <c r="R405" i="115"/>
  <c r="S405" i="115"/>
  <c r="R389" i="115"/>
  <c r="S389" i="115"/>
  <c r="S357" i="115"/>
  <c r="P357" i="115"/>
  <c r="N357" i="115" s="1"/>
  <c r="L357" i="115"/>
  <c r="R340" i="115"/>
  <c r="S340" i="115"/>
  <c r="R280" i="115"/>
  <c r="S280" i="115"/>
  <c r="S24" i="115"/>
  <c r="S392" i="115"/>
  <c r="S164" i="115"/>
  <c r="S568" i="115"/>
  <c r="S488" i="115"/>
  <c r="S504" i="115"/>
  <c r="S536" i="115"/>
  <c r="S322" i="115"/>
  <c r="S520" i="115"/>
  <c r="S50" i="115"/>
  <c r="S440" i="115"/>
  <c r="S242" i="115"/>
  <c r="S338" i="115"/>
  <c r="S210" i="115"/>
  <c r="S258" i="115"/>
  <c r="R24" i="115"/>
  <c r="F62" i="12" s="1"/>
  <c r="F62" i="119" s="1"/>
  <c r="F62" i="118" s="1"/>
  <c r="S194" i="115"/>
  <c r="S408" i="115"/>
  <c r="S344" i="115"/>
  <c r="S152" i="115"/>
  <c r="S323" i="115"/>
  <c r="S88" i="115"/>
  <c r="S146" i="115"/>
  <c r="S114" i="115"/>
  <c r="S456" i="115"/>
  <c r="S292" i="115"/>
  <c r="S1001" i="115"/>
  <c r="R750" i="115"/>
  <c r="R547" i="115"/>
  <c r="R905" i="115"/>
  <c r="P678" i="115"/>
  <c r="N678" i="115" s="1"/>
  <c r="R841" i="115"/>
  <c r="R693" i="115"/>
  <c r="S538" i="115"/>
  <c r="R873" i="115"/>
  <c r="R410" i="115"/>
  <c r="R220" i="115"/>
  <c r="S917" i="115"/>
  <c r="R789" i="115"/>
  <c r="S618" i="115"/>
  <c r="S989" i="115"/>
  <c r="S985" i="115"/>
  <c r="S650" i="115"/>
  <c r="S962" i="115"/>
  <c r="L4" i="115"/>
  <c r="B16" i="122" s="1"/>
  <c r="P4" i="115"/>
  <c r="B19" i="119" s="1"/>
  <c r="P5" i="115"/>
  <c r="C17" i="112" s="1"/>
  <c r="L5" i="115"/>
  <c r="C20" i="123" s="1"/>
  <c r="S754" i="115"/>
  <c r="S594" i="115"/>
  <c r="P594" i="115"/>
  <c r="N594" i="115" s="1"/>
  <c r="L594" i="115"/>
  <c r="S790" i="115"/>
  <c r="R790" i="115"/>
  <c r="P790" i="115"/>
  <c r="Q790" i="115" s="1"/>
  <c r="R499" i="115"/>
  <c r="L499" i="115"/>
  <c r="R866" i="115"/>
  <c r="S866" i="115"/>
  <c r="S970" i="115"/>
  <c r="R970" i="115"/>
  <c r="R794" i="115"/>
  <c r="S794" i="115"/>
  <c r="R730" i="115"/>
  <c r="S730" i="115"/>
  <c r="S507" i="115"/>
  <c r="R507" i="115"/>
  <c r="R973" i="115"/>
  <c r="P973" i="115"/>
  <c r="N973" i="115" s="1"/>
  <c r="R993" i="115"/>
  <c r="L993" i="115"/>
  <c r="S833" i="115"/>
  <c r="R833" i="115"/>
  <c r="R801" i="115"/>
  <c r="S801" i="115"/>
  <c r="R769" i="115"/>
  <c r="P769" i="115"/>
  <c r="N769" i="115" s="1"/>
  <c r="L769" i="115"/>
  <c r="R705" i="115"/>
  <c r="L705" i="115"/>
  <c r="S673" i="115"/>
  <c r="P673" i="115"/>
  <c r="N673" i="115" s="1"/>
  <c r="R92" i="115"/>
  <c r="L92" i="115"/>
  <c r="S781" i="115"/>
  <c r="R781" i="115"/>
  <c r="L781" i="115"/>
  <c r="S963" i="115"/>
  <c r="L963" i="115"/>
  <c r="S851" i="115"/>
  <c r="P851" i="115"/>
  <c r="N851" i="115" s="1"/>
  <c r="R803" i="115"/>
  <c r="P803" i="115"/>
  <c r="N803" i="115" s="1"/>
  <c r="R771" i="115"/>
  <c r="L771" i="115"/>
  <c r="S755" i="115"/>
  <c r="P755" i="115"/>
  <c r="N755" i="115" s="1"/>
  <c r="S675" i="115"/>
  <c r="P675" i="115"/>
  <c r="N675" i="115" s="1"/>
  <c r="L675" i="115"/>
  <c r="S643" i="115"/>
  <c r="R643" i="115"/>
  <c r="S595" i="115"/>
  <c r="R595" i="115"/>
  <c r="S579" i="115"/>
  <c r="R579" i="115"/>
  <c r="P579" i="115"/>
  <c r="N579" i="115" s="1"/>
  <c r="R526" i="115"/>
  <c r="L526" i="115"/>
  <c r="R494" i="115"/>
  <c r="S494" i="115"/>
  <c r="R816" i="115"/>
  <c r="L816" i="115"/>
  <c r="P816" i="115"/>
  <c r="N816" i="115" s="1"/>
  <c r="R736" i="115"/>
  <c r="P736" i="115"/>
  <c r="N736" i="115" s="1"/>
  <c r="L736" i="115"/>
  <c r="S720" i="115"/>
  <c r="P720" i="115"/>
  <c r="N720" i="115" s="1"/>
  <c r="L720" i="115"/>
  <c r="R672" i="115"/>
  <c r="S672" i="115"/>
  <c r="R608" i="115"/>
  <c r="S608" i="115"/>
  <c r="S575" i="115"/>
  <c r="P575" i="115"/>
  <c r="N575" i="115" s="1"/>
  <c r="R551" i="115"/>
  <c r="S551" i="115"/>
  <c r="R519" i="115"/>
  <c r="P519" i="115"/>
  <c r="N519" i="115" s="1"/>
  <c r="L519" i="115"/>
  <c r="R487" i="115"/>
  <c r="S487" i="115"/>
  <c r="S76" i="115"/>
  <c r="R76" i="115"/>
  <c r="R355" i="115"/>
  <c r="S355" i="115"/>
  <c r="P355" i="115"/>
  <c r="N355" i="115" s="1"/>
  <c r="L355" i="115"/>
  <c r="R316" i="115"/>
  <c r="S316" i="115"/>
  <c r="R272" i="115"/>
  <c r="S272" i="115"/>
  <c r="R513" i="115"/>
  <c r="L513" i="115"/>
  <c r="S497" i="115"/>
  <c r="P497" i="115"/>
  <c r="R481" i="115"/>
  <c r="P481" i="115"/>
  <c r="N481" i="115" s="1"/>
  <c r="L481" i="115"/>
  <c r="R465" i="115"/>
  <c r="S465" i="115"/>
  <c r="S449" i="115"/>
  <c r="R449" i="115"/>
  <c r="S417" i="115"/>
  <c r="L417" i="115"/>
  <c r="S401" i="115"/>
  <c r="R401" i="115"/>
  <c r="S369" i="115"/>
  <c r="R369" i="115"/>
  <c r="P369" i="115"/>
  <c r="N369" i="115" s="1"/>
  <c r="R353" i="115"/>
  <c r="L353" i="115"/>
  <c r="S335" i="115"/>
  <c r="L335" i="115"/>
  <c r="R335" i="115"/>
  <c r="R264" i="115"/>
  <c r="S264" i="115"/>
  <c r="S200" i="115"/>
  <c r="R200" i="115"/>
  <c r="L200" i="115"/>
  <c r="S136" i="115"/>
  <c r="R136" i="115"/>
  <c r="R72" i="115"/>
  <c r="S72" i="115"/>
  <c r="S8" i="115"/>
  <c r="R8" i="115"/>
  <c r="F23" i="12" s="1"/>
  <c r="F23" i="119" s="1"/>
  <c r="F23" i="118" s="1"/>
  <c r="R564" i="115"/>
  <c r="S564" i="115"/>
  <c r="R548" i="115"/>
  <c r="S548" i="115"/>
  <c r="P548" i="115"/>
  <c r="N548" i="115" s="1"/>
  <c r="L548" i="115"/>
  <c r="R516" i="115"/>
  <c r="S516" i="115"/>
  <c r="R500" i="115"/>
  <c r="P500" i="115"/>
  <c r="N500" i="115" s="1"/>
  <c r="L500" i="115"/>
  <c r="S484" i="115"/>
  <c r="R484" i="115"/>
  <c r="L484" i="115"/>
  <c r="R468" i="115"/>
  <c r="S468" i="115"/>
  <c r="R452" i="115"/>
  <c r="S452" i="115"/>
  <c r="S436" i="115"/>
  <c r="R436" i="115"/>
  <c r="R404" i="115"/>
  <c r="P404" i="115"/>
  <c r="N404" i="115" s="1"/>
  <c r="R388" i="115"/>
  <c r="S388" i="115"/>
  <c r="L388" i="115"/>
  <c r="S372" i="115"/>
  <c r="R372" i="115"/>
  <c r="R356" i="115"/>
  <c r="S356" i="115"/>
  <c r="R339" i="115"/>
  <c r="S339" i="115"/>
  <c r="R317" i="115"/>
  <c r="S317" i="115"/>
  <c r="R276" i="115"/>
  <c r="L276" i="115"/>
  <c r="R212" i="115"/>
  <c r="S212" i="115"/>
  <c r="R148" i="115"/>
  <c r="S148" i="115"/>
  <c r="R84" i="115"/>
  <c r="S84" i="115"/>
  <c r="R318" i="115"/>
  <c r="S318" i="115"/>
  <c r="R270" i="115"/>
  <c r="S270" i="115"/>
  <c r="P254" i="115"/>
  <c r="N254" i="115" s="1"/>
  <c r="L254" i="115"/>
  <c r="R254" i="115"/>
  <c r="R222" i="115"/>
  <c r="S222" i="115"/>
  <c r="R206" i="115"/>
  <c r="S206" i="115"/>
  <c r="S190" i="115"/>
  <c r="L190" i="115"/>
  <c r="R174" i="115"/>
  <c r="S174" i="115"/>
  <c r="R158" i="115"/>
  <c r="S158" i="115"/>
  <c r="R126" i="115"/>
  <c r="S126" i="115"/>
  <c r="R78" i="115"/>
  <c r="P78" i="115"/>
  <c r="S78" i="115"/>
  <c r="L78" i="115"/>
  <c r="L46" i="115"/>
  <c r="R46" i="115"/>
  <c r="S46" i="115"/>
  <c r="R14" i="115"/>
  <c r="C64" i="78" s="1"/>
  <c r="S14" i="115"/>
  <c r="R301" i="115"/>
  <c r="S301" i="115"/>
  <c r="S285" i="115"/>
  <c r="L285" i="115"/>
  <c r="R269" i="115"/>
  <c r="S269" i="115"/>
  <c r="P253" i="115"/>
  <c r="N253" i="115" s="1"/>
  <c r="L253" i="115"/>
  <c r="R253" i="115"/>
  <c r="R221" i="115"/>
  <c r="S221" i="115"/>
  <c r="R205" i="115"/>
  <c r="S205" i="115"/>
  <c r="R189" i="115"/>
  <c r="S189" i="115"/>
  <c r="R157" i="115"/>
  <c r="S157" i="115"/>
  <c r="R109" i="115"/>
  <c r="S109" i="115"/>
  <c r="R93" i="115"/>
  <c r="S93" i="115"/>
  <c r="R61" i="115"/>
  <c r="S61" i="115"/>
  <c r="P45" i="115"/>
  <c r="N45" i="115" s="1"/>
  <c r="L45" i="115"/>
  <c r="R45" i="115"/>
  <c r="R29" i="115"/>
  <c r="S29" i="115"/>
  <c r="R13" i="115"/>
  <c r="F28" i="144" s="1"/>
  <c r="S13" i="115"/>
  <c r="R299" i="115"/>
  <c r="P299" i="115"/>
  <c r="N299" i="115" s="1"/>
  <c r="S299" i="115"/>
  <c r="L299" i="115"/>
  <c r="R283" i="115"/>
  <c r="S283" i="115"/>
  <c r="P283" i="115"/>
  <c r="N283" i="115" s="1"/>
  <c r="L283" i="115"/>
  <c r="R267" i="115"/>
  <c r="S267" i="115"/>
  <c r="L267" i="115"/>
  <c r="R251" i="115"/>
  <c r="S251" i="115"/>
  <c r="P235" i="115"/>
  <c r="N235" i="115" s="1"/>
  <c r="R235" i="115"/>
  <c r="L235" i="115"/>
  <c r="P219" i="115"/>
  <c r="N219" i="115" s="1"/>
  <c r="L219" i="115"/>
  <c r="R219" i="115"/>
  <c r="S203" i="115"/>
  <c r="L203" i="115"/>
  <c r="R187" i="115"/>
  <c r="S187" i="115"/>
  <c r="P187" i="115"/>
  <c r="N187" i="115" s="1"/>
  <c r="R171" i="115"/>
  <c r="S171" i="115"/>
  <c r="R123" i="115"/>
  <c r="S123" i="115"/>
  <c r="R107" i="115"/>
  <c r="S107" i="115"/>
  <c r="R91" i="115"/>
  <c r="S91" i="115"/>
  <c r="R59" i="115"/>
  <c r="S59" i="115"/>
  <c r="R43" i="115"/>
  <c r="S43" i="115"/>
  <c r="R27" i="115"/>
  <c r="S27" i="115"/>
  <c r="L27" i="115"/>
  <c r="L670" i="115"/>
  <c r="P976" i="115"/>
  <c r="N976" i="115" s="1"/>
  <c r="P961" i="115"/>
  <c r="N961" i="115" s="1"/>
  <c r="P768" i="115"/>
  <c r="N768" i="115" s="1"/>
  <c r="P781" i="115"/>
  <c r="N781" i="115" s="1"/>
  <c r="P46" i="115"/>
  <c r="N46" i="115" s="1"/>
  <c r="L803" i="115"/>
  <c r="P285" i="115"/>
  <c r="N285" i="115" s="1"/>
  <c r="L790" i="115"/>
  <c r="L575" i="115"/>
  <c r="P595" i="115"/>
  <c r="N595" i="115" s="1"/>
  <c r="S142" i="115"/>
  <c r="R94" i="115"/>
  <c r="S334" i="115"/>
  <c r="R203" i="115"/>
  <c r="R285" i="115"/>
  <c r="S254" i="115"/>
  <c r="S532" i="115"/>
  <c r="S125" i="115"/>
  <c r="R75" i="115"/>
  <c r="S219" i="115"/>
  <c r="S253" i="115"/>
  <c r="P646" i="115"/>
  <c r="N646" i="115" s="1"/>
  <c r="S947" i="115"/>
  <c r="R515" i="115"/>
  <c r="R641" i="115"/>
  <c r="S717" i="115"/>
  <c r="S899" i="115"/>
  <c r="L865" i="115"/>
  <c r="L610" i="115"/>
  <c r="P526" i="115"/>
  <c r="N526" i="115" s="1"/>
  <c r="P592" i="115"/>
  <c r="O592" i="115" s="1"/>
  <c r="L899" i="115"/>
  <c r="P92" i="115"/>
  <c r="N92" i="115" s="1"/>
  <c r="P335" i="115"/>
  <c r="N335" i="115" s="1"/>
  <c r="S30" i="115"/>
  <c r="S62" i="115"/>
  <c r="R653" i="115"/>
  <c r="R385" i="115"/>
  <c r="S238" i="115"/>
  <c r="S500" i="115"/>
  <c r="R173" i="115"/>
  <c r="S110" i="115"/>
  <c r="R77" i="115"/>
  <c r="S302" i="115"/>
  <c r="S139" i="115"/>
  <c r="R427" i="115"/>
  <c r="S427" i="115"/>
  <c r="S922" i="115"/>
  <c r="R922" i="115"/>
  <c r="R362" i="115"/>
  <c r="S362" i="115"/>
  <c r="P993" i="115"/>
  <c r="N993" i="115" s="1"/>
  <c r="P771" i="115"/>
  <c r="N771" i="115" s="1"/>
  <c r="L579" i="115"/>
  <c r="L850" i="115"/>
  <c r="L851" i="115"/>
  <c r="L897" i="115"/>
  <c r="L362" i="115"/>
  <c r="P513" i="115"/>
  <c r="N513" i="115" s="1"/>
  <c r="L877" i="115"/>
  <c r="S960" i="115"/>
  <c r="S688" i="115"/>
  <c r="R403" i="115"/>
  <c r="R423" i="115"/>
  <c r="S482" i="115"/>
  <c r="R666" i="115"/>
  <c r="S771" i="115"/>
  <c r="R577" i="115"/>
  <c r="R752" i="115"/>
  <c r="S662" i="115"/>
  <c r="R387" i="115"/>
  <c r="R624" i="115"/>
  <c r="S739" i="115"/>
  <c r="R867" i="115"/>
  <c r="R862" i="115"/>
  <c r="R858" i="115"/>
  <c r="R957" i="115"/>
  <c r="R546" i="115"/>
  <c r="S670" i="115"/>
  <c r="R611" i="115"/>
  <c r="S455" i="115"/>
  <c r="S704" i="115"/>
  <c r="R545" i="115"/>
  <c r="S798" i="115"/>
  <c r="R673" i="115"/>
  <c r="S707" i="115"/>
  <c r="R315" i="115"/>
  <c r="R386" i="115"/>
  <c r="S606" i="115"/>
  <c r="S723" i="115"/>
  <c r="S513" i="115"/>
  <c r="R755" i="115"/>
  <c r="S816" i="115"/>
  <c r="S353" i="115"/>
  <c r="S705" i="115"/>
  <c r="S734" i="115"/>
  <c r="S433" i="115"/>
  <c r="R768" i="115"/>
  <c r="S877" i="115"/>
  <c r="L973" i="115"/>
  <c r="L957" i="115"/>
  <c r="L774" i="115"/>
  <c r="P850" i="115"/>
  <c r="N850" i="115" s="1"/>
  <c r="P897" i="115"/>
  <c r="P362" i="115"/>
  <c r="N362" i="115" s="1"/>
  <c r="P877" i="115"/>
  <c r="N877" i="115" s="1"/>
  <c r="S467" i="115"/>
  <c r="R337" i="115"/>
  <c r="R848" i="115"/>
  <c r="R462" i="115"/>
  <c r="S691" i="115"/>
  <c r="R995" i="115"/>
  <c r="S458" i="115"/>
  <c r="S738" i="115"/>
  <c r="R800" i="115"/>
  <c r="R529" i="115"/>
  <c r="R522" i="115"/>
  <c r="R832" i="115"/>
  <c r="S749" i="115"/>
  <c r="S813" i="115"/>
  <c r="R284" i="115"/>
  <c r="S737" i="115"/>
  <c r="R16" i="115"/>
  <c r="R912" i="115"/>
  <c r="S993" i="115"/>
  <c r="R865" i="115"/>
  <c r="S610" i="115"/>
  <c r="R897" i="115"/>
  <c r="S526" i="115"/>
  <c r="S378" i="115"/>
  <c r="S592" i="115"/>
  <c r="R609" i="115"/>
  <c r="R992" i="115"/>
  <c r="S864" i="115"/>
  <c r="S944" i="115"/>
  <c r="R394" i="115"/>
  <c r="S784" i="115"/>
  <c r="S92" i="115"/>
  <c r="S979" i="115"/>
  <c r="R656" i="115"/>
  <c r="S976" i="115"/>
  <c r="S961" i="115"/>
  <c r="R675" i="115"/>
  <c r="S331" i="115"/>
  <c r="S124" i="115"/>
  <c r="S928" i="115"/>
  <c r="S390" i="115"/>
  <c r="S685" i="115"/>
  <c r="S659" i="115"/>
  <c r="P957" i="115"/>
  <c r="N957" i="115" s="1"/>
  <c r="P774" i="115"/>
  <c r="N774" i="115" s="1"/>
  <c r="L646" i="115"/>
  <c r="L546" i="115"/>
  <c r="L595" i="115"/>
  <c r="L755" i="115"/>
  <c r="S208" i="115"/>
  <c r="R589" i="115"/>
  <c r="S787" i="115"/>
  <c r="R926" i="115"/>
  <c r="R909" i="115"/>
  <c r="R963" i="115"/>
  <c r="R835" i="115"/>
  <c r="R430" i="115"/>
  <c r="R144" i="115"/>
  <c r="S602" i="115"/>
  <c r="R819" i="115"/>
  <c r="S80" i="115"/>
  <c r="R627" i="115"/>
  <c r="R621" i="115"/>
  <c r="S722" i="115"/>
  <c r="R720" i="115"/>
  <c r="R974" i="115"/>
  <c r="S398" i="115"/>
  <c r="S915" i="115"/>
  <c r="R883" i="115"/>
  <c r="S558" i="115"/>
  <c r="R931" i="115"/>
  <c r="S880" i="115"/>
  <c r="S640" i="115"/>
  <c r="S736" i="115"/>
  <c r="S896" i="115"/>
  <c r="R929" i="115"/>
  <c r="S973" i="115"/>
  <c r="S481" i="115"/>
  <c r="R851" i="115"/>
  <c r="S418" i="115"/>
  <c r="R417" i="115"/>
  <c r="S769" i="115"/>
  <c r="S803" i="115"/>
  <c r="R497" i="115"/>
  <c r="R575" i="115"/>
  <c r="S519" i="115"/>
  <c r="S313" i="115"/>
  <c r="S845" i="115"/>
  <c r="S726" i="115"/>
  <c r="S966" i="115"/>
  <c r="L678" i="115"/>
  <c r="S941" i="115"/>
  <c r="R682" i="115"/>
  <c r="S809" i="115"/>
  <c r="S878" i="115"/>
  <c r="S982" i="115"/>
  <c r="S777" i="115"/>
  <c r="S690" i="115"/>
  <c r="S622" i="115"/>
  <c r="S617" i="115"/>
  <c r="S686" i="115"/>
  <c r="R838" i="115"/>
  <c r="R642" i="115"/>
  <c r="R942" i="115"/>
  <c r="S918" i="115"/>
  <c r="R646" i="115"/>
  <c r="S969" i="115"/>
  <c r="S419" i="115"/>
  <c r="S814" i="115"/>
  <c r="S411" i="115"/>
  <c r="R746" i="115"/>
  <c r="S770" i="115"/>
  <c r="S678" i="115"/>
  <c r="R539" i="115"/>
  <c r="S870" i="115"/>
  <c r="S459" i="115"/>
  <c r="R981" i="115"/>
  <c r="S810" i="115"/>
  <c r="S531" i="115"/>
  <c r="S898" i="115"/>
  <c r="S694" i="115"/>
  <c r="S555" i="115"/>
  <c r="S742" i="115"/>
  <c r="S938" i="115"/>
  <c r="S562" i="115"/>
  <c r="S874" i="115"/>
  <c r="R818" i="115"/>
  <c r="R822" i="115"/>
  <c r="P478" i="115"/>
  <c r="N478" i="115" s="1"/>
  <c r="P648" i="115"/>
  <c r="Q648" i="115" s="1"/>
  <c r="P553" i="115"/>
  <c r="N553" i="115" s="1"/>
  <c r="R854" i="115"/>
  <c r="R567" i="115"/>
  <c r="R802" i="115"/>
  <c r="S451" i="115"/>
  <c r="S176" i="115"/>
  <c r="S569" i="115"/>
  <c r="S296" i="115"/>
  <c r="S471" i="115"/>
  <c r="S881" i="115"/>
  <c r="S689" i="115"/>
  <c r="S891" i="115"/>
  <c r="R984" i="115"/>
  <c r="R882" i="115"/>
  <c r="R491" i="115"/>
  <c r="R728" i="115"/>
  <c r="R888" i="115"/>
  <c r="S510" i="115"/>
  <c r="S721" i="115"/>
  <c r="R890" i="115"/>
  <c r="R817" i="115"/>
  <c r="S849" i="115"/>
  <c r="S925" i="115"/>
  <c r="S112" i="115"/>
  <c r="S508" i="115"/>
  <c r="S762" i="115"/>
  <c r="S505" i="115"/>
  <c r="S246" i="115"/>
  <c r="R955" i="115"/>
  <c r="R425" i="115"/>
  <c r="S364" i="115"/>
  <c r="S785" i="115"/>
  <c r="S712" i="115"/>
  <c r="S326" i="115"/>
  <c r="S605" i="115"/>
  <c r="S363" i="115"/>
  <c r="S987" i="115"/>
  <c r="R180" i="115"/>
  <c r="S304" i="115"/>
  <c r="S70" i="115"/>
  <c r="S523" i="115"/>
  <c r="R634" i="115"/>
  <c r="R104" i="115"/>
  <c r="S342" i="115"/>
  <c r="R556" i="115"/>
  <c r="R426" i="115"/>
  <c r="S44" i="115"/>
  <c r="R347" i="115"/>
  <c r="P523" i="115"/>
  <c r="N523" i="115" s="1"/>
  <c r="P634" i="115"/>
  <c r="N634" i="115" s="1"/>
  <c r="L904" i="115"/>
  <c r="L554" i="115"/>
  <c r="L913" i="115"/>
  <c r="L614" i="115"/>
  <c r="L987" i="115"/>
  <c r="L785" i="115"/>
  <c r="L510" i="115"/>
  <c r="L827" i="115"/>
  <c r="S478" i="115"/>
  <c r="R744" i="115"/>
  <c r="S348" i="115"/>
  <c r="S116" i="115"/>
  <c r="S923" i="115"/>
  <c r="S48" i="115"/>
  <c r="R786" i="115"/>
  <c r="S380" i="115"/>
  <c r="S441" i="115"/>
  <c r="S765" i="115"/>
  <c r="S600" i="115"/>
  <c r="S554" i="115"/>
  <c r="S28" i="115"/>
  <c r="R776" i="115"/>
  <c r="S747" i="115"/>
  <c r="S843" i="115"/>
  <c r="R521" i="115"/>
  <c r="R648" i="115"/>
  <c r="R54" i="115"/>
  <c r="R307" i="115"/>
  <c r="R324" i="115"/>
  <c r="S674" i="115"/>
  <c r="R674" i="115"/>
  <c r="S990" i="115"/>
  <c r="R990" i="115"/>
  <c r="S826" i="115"/>
  <c r="R826" i="115"/>
  <c r="R443" i="115"/>
  <c r="S443" i="115"/>
  <c r="R894" i="115"/>
  <c r="S894" i="115"/>
  <c r="R830" i="115"/>
  <c r="S830" i="115"/>
  <c r="R766" i="115"/>
  <c r="S766" i="115"/>
  <c r="R702" i="115"/>
  <c r="S702" i="115"/>
  <c r="R638" i="115"/>
  <c r="S638" i="115"/>
  <c r="R977" i="115"/>
  <c r="S977" i="115"/>
  <c r="S753" i="115"/>
  <c r="R753" i="115"/>
  <c r="S657" i="115"/>
  <c r="R657" i="115"/>
  <c r="R593" i="115"/>
  <c r="S593" i="115"/>
  <c r="R490" i="115"/>
  <c r="S490" i="115"/>
  <c r="R861" i="115"/>
  <c r="S861" i="115"/>
  <c r="S797" i="115"/>
  <c r="R797" i="115"/>
  <c r="R733" i="115"/>
  <c r="S733" i="115"/>
  <c r="R701" i="115"/>
  <c r="S701" i="115"/>
  <c r="S637" i="115"/>
  <c r="R637" i="115"/>
  <c r="S514" i="115"/>
  <c r="R514" i="115"/>
  <c r="R450" i="115"/>
  <c r="S450" i="115"/>
  <c r="S374" i="115"/>
  <c r="R374" i="115"/>
  <c r="S971" i="115"/>
  <c r="R971" i="115"/>
  <c r="R939" i="115"/>
  <c r="S939" i="115"/>
  <c r="S811" i="115"/>
  <c r="R811" i="115"/>
  <c r="S779" i="115"/>
  <c r="R779" i="115"/>
  <c r="R715" i="115"/>
  <c r="S715" i="115"/>
  <c r="S699" i="115"/>
  <c r="R699" i="115"/>
  <c r="S683" i="115"/>
  <c r="R683" i="115"/>
  <c r="S667" i="115"/>
  <c r="R667" i="115"/>
  <c r="S651" i="115"/>
  <c r="R651" i="115"/>
  <c r="S603" i="115"/>
  <c r="R603" i="115"/>
  <c r="R587" i="115"/>
  <c r="S587" i="115"/>
  <c r="S446" i="115"/>
  <c r="R446" i="115"/>
  <c r="S414" i="115"/>
  <c r="R414" i="115"/>
  <c r="R366" i="115"/>
  <c r="S366" i="115"/>
  <c r="S1000" i="115"/>
  <c r="R1000" i="115"/>
  <c r="R968" i="115"/>
  <c r="S968" i="115"/>
  <c r="R952" i="115"/>
  <c r="S952" i="115"/>
  <c r="R920" i="115"/>
  <c r="S920" i="115"/>
  <c r="R872" i="115"/>
  <c r="S872" i="115"/>
  <c r="R824" i="115"/>
  <c r="S824" i="115"/>
  <c r="S792" i="115"/>
  <c r="R792" i="115"/>
  <c r="S760" i="115"/>
  <c r="R760" i="115"/>
  <c r="S696" i="115"/>
  <c r="R696" i="115"/>
  <c r="R680" i="115"/>
  <c r="S680" i="115"/>
  <c r="R664" i="115"/>
  <c r="S664" i="115"/>
  <c r="S616" i="115"/>
  <c r="R616" i="115"/>
  <c r="R584" i="115"/>
  <c r="S584" i="115"/>
  <c r="S565" i="115"/>
  <c r="R565" i="115"/>
  <c r="R535" i="115"/>
  <c r="S535" i="115"/>
  <c r="R503" i="115"/>
  <c r="S503" i="115"/>
  <c r="S407" i="115"/>
  <c r="R407" i="115"/>
  <c r="S354" i="115"/>
  <c r="R354" i="115"/>
  <c r="S379" i="115"/>
  <c r="R379" i="115"/>
  <c r="S457" i="115"/>
  <c r="R457" i="115"/>
  <c r="R409" i="115"/>
  <c r="S409" i="115"/>
  <c r="R361" i="115"/>
  <c r="S361" i="115"/>
  <c r="S345" i="115"/>
  <c r="R345" i="115"/>
  <c r="R40" i="115"/>
  <c r="S40" i="115"/>
  <c r="S572" i="115"/>
  <c r="R572" i="115"/>
  <c r="S524" i="115"/>
  <c r="R524" i="115"/>
  <c r="R444" i="115"/>
  <c r="S444" i="115"/>
  <c r="S412" i="115"/>
  <c r="R412" i="115"/>
  <c r="S328" i="115"/>
  <c r="R328" i="115"/>
  <c r="S244" i="115"/>
  <c r="R244" i="115"/>
  <c r="R52" i="115"/>
  <c r="S52" i="115"/>
  <c r="S310" i="115"/>
  <c r="R310" i="115"/>
  <c r="R294" i="115"/>
  <c r="S294" i="115"/>
  <c r="S278" i="115"/>
  <c r="R278" i="115"/>
  <c r="R262" i="115"/>
  <c r="S262" i="115"/>
  <c r="R230" i="115"/>
  <c r="S230" i="115"/>
  <c r="R198" i="115"/>
  <c r="S198" i="115"/>
  <c r="R150" i="115"/>
  <c r="S150" i="115"/>
  <c r="S118" i="115"/>
  <c r="R118" i="115"/>
  <c r="P826" i="115"/>
  <c r="N826" i="115" s="1"/>
  <c r="P934" i="115"/>
  <c r="N934" i="115" s="1"/>
  <c r="L651" i="115"/>
  <c r="L702" i="115"/>
  <c r="L366" i="115"/>
  <c r="L648" i="115"/>
  <c r="L524" i="115"/>
  <c r="L760" i="115"/>
  <c r="L414" i="115"/>
  <c r="L553" i="115"/>
  <c r="R625" i="115"/>
  <c r="S540" i="115"/>
  <c r="R763" i="115"/>
  <c r="S395" i="115"/>
  <c r="S994" i="115"/>
  <c r="S393" i="115"/>
  <c r="S731" i="115"/>
  <c r="R893" i="115"/>
  <c r="S875" i="115"/>
  <c r="S102" i="115"/>
  <c r="R252" i="115"/>
  <c r="R377" i="115"/>
  <c r="S492" i="115"/>
  <c r="S473" i="115"/>
  <c r="R950" i="115"/>
  <c r="R293" i="115"/>
  <c r="S229" i="115"/>
  <c r="R38" i="115"/>
  <c r="S914" i="115"/>
  <c r="R850" i="115"/>
  <c r="R590" i="115"/>
  <c r="S710" i="115"/>
  <c r="S706" i="115"/>
  <c r="R774" i="115"/>
  <c r="R782" i="115"/>
  <c r="S998" i="115"/>
  <c r="S946" i="115"/>
  <c r="S997" i="115"/>
  <c r="F56" i="12"/>
  <c r="F56" i="119" s="1"/>
  <c r="F56" i="118" s="1"/>
  <c r="F58" i="12"/>
  <c r="F58" i="119" s="1"/>
  <c r="F58" i="118" s="1"/>
  <c r="F17" i="12"/>
  <c r="F17" i="119" s="1"/>
  <c r="F17" i="118" s="1"/>
  <c r="F91" i="12"/>
  <c r="F91" i="119" s="1"/>
  <c r="F91" i="118" s="1"/>
  <c r="F26" i="12"/>
  <c r="F26" i="119" s="1"/>
  <c r="F26" i="118" s="1"/>
  <c r="F18" i="12"/>
  <c r="F18" i="119" s="1"/>
  <c r="F18" i="118" s="1"/>
  <c r="F89" i="12"/>
  <c r="F89" i="119" s="1"/>
  <c r="F89" i="118" s="1"/>
  <c r="F19" i="12"/>
  <c r="F19" i="119" s="1"/>
  <c r="F19" i="118" s="1"/>
  <c r="F61" i="12"/>
  <c r="F61" i="119" s="1"/>
  <c r="F61" i="118" s="1"/>
  <c r="F21" i="12"/>
  <c r="F21" i="119" s="1"/>
  <c r="F21" i="118" s="1"/>
  <c r="F20" i="12"/>
  <c r="F20" i="119" s="1"/>
  <c r="F20" i="118" s="1"/>
  <c r="E73" i="129"/>
  <c r="E37" i="129"/>
  <c r="E73" i="130"/>
  <c r="E37" i="130"/>
  <c r="R598" i="115"/>
  <c r="R886" i="115"/>
  <c r="R630" i="115"/>
  <c r="R714" i="115"/>
  <c r="R954" i="115"/>
  <c r="R582" i="115"/>
  <c r="R586" i="115"/>
  <c r="R965" i="115"/>
  <c r="R483" i="115"/>
  <c r="R578" i="115"/>
  <c r="R958" i="115"/>
  <c r="R654" i="115"/>
  <c r="R108" i="115"/>
  <c r="R921" i="115"/>
  <c r="R633" i="115"/>
  <c r="R842" i="115"/>
  <c r="R889" i="115"/>
  <c r="R729" i="115"/>
  <c r="R601" i="115"/>
  <c r="R778" i="115"/>
  <c r="S902" i="115"/>
  <c r="S697" i="115"/>
  <c r="S758" i="115"/>
  <c r="S236" i="115"/>
  <c r="S834" i="115"/>
  <c r="R754" i="115"/>
  <c r="S933" i="115"/>
  <c r="S626" i="115"/>
  <c r="S793" i="115"/>
  <c r="S475" i="115"/>
  <c r="S709" i="115"/>
  <c r="L236" i="115"/>
  <c r="L834" i="115"/>
  <c r="R325" i="115"/>
  <c r="R594" i="115"/>
  <c r="R435" i="115"/>
  <c r="S986" i="115"/>
  <c r="S499" i="115"/>
  <c r="R978" i="115"/>
  <c r="B62" i="12"/>
  <c r="B63" i="145" s="1"/>
  <c r="Q24" i="115"/>
  <c r="B98" i="14"/>
  <c r="R934" i="115"/>
  <c r="B62" i="118"/>
  <c r="C96" i="112"/>
  <c r="B62" i="119"/>
  <c r="O24" i="115"/>
  <c r="I62" i="144" s="1"/>
  <c r="B96" i="122"/>
  <c r="E36" i="118"/>
  <c r="R346" i="115"/>
  <c r="R172" i="115"/>
  <c r="R658" i="115"/>
  <c r="R614" i="115"/>
  <c r="R806" i="115"/>
  <c r="R930" i="115"/>
  <c r="E36" i="12"/>
  <c r="E36" i="119"/>
  <c r="E71" i="118"/>
  <c r="E71" i="12"/>
  <c r="E71" i="119"/>
  <c r="C141" i="112"/>
  <c r="C142" i="112"/>
  <c r="B98" i="119"/>
  <c r="B98" i="118"/>
  <c r="B52" i="12"/>
  <c r="B53" i="145" s="1"/>
  <c r="B52" i="122"/>
  <c r="B52" i="119"/>
  <c r="B52" i="118"/>
  <c r="B53" i="12"/>
  <c r="B54" i="145" s="1"/>
  <c r="B53" i="122"/>
  <c r="B53" i="119"/>
  <c r="B53" i="118"/>
  <c r="B60" i="12"/>
  <c r="B61" i="145" s="1"/>
  <c r="B94" i="122"/>
  <c r="B60" i="119"/>
  <c r="B60" i="118"/>
  <c r="B23" i="12"/>
  <c r="B23" i="145" s="1"/>
  <c r="B12" i="122"/>
  <c r="B23" i="119"/>
  <c r="B23" i="118"/>
  <c r="B138" i="122"/>
  <c r="B93" i="119"/>
  <c r="B93" i="118"/>
  <c r="B55" i="12"/>
  <c r="B56" i="145" s="1"/>
  <c r="B55" i="122"/>
  <c r="B55" i="119"/>
  <c r="B55" i="118"/>
  <c r="B22" i="12"/>
  <c r="B22" i="145" s="1"/>
  <c r="B11" i="122"/>
  <c r="B22" i="119"/>
  <c r="B22" i="118"/>
  <c r="C165" i="78"/>
  <c r="C165" i="123"/>
  <c r="C116" i="123"/>
  <c r="C111" i="123"/>
  <c r="C10" i="123"/>
  <c r="B58" i="14"/>
  <c r="B57" i="122"/>
  <c r="C69" i="123"/>
  <c r="B103" i="14"/>
  <c r="C122" i="123"/>
  <c r="B101" i="122"/>
  <c r="B14" i="122"/>
  <c r="B100" i="14"/>
  <c r="C119" i="123"/>
  <c r="B98" i="122"/>
  <c r="C176" i="123"/>
  <c r="B147" i="122"/>
  <c r="B101" i="14"/>
  <c r="C120" i="123"/>
  <c r="B99" i="122"/>
  <c r="B26" i="12"/>
  <c r="B26" i="145" s="1"/>
  <c r="B49" i="122"/>
  <c r="B26" i="119"/>
  <c r="B26" i="118"/>
  <c r="B59" i="12"/>
  <c r="B60" i="145" s="1"/>
  <c r="B93" i="122"/>
  <c r="B59" i="119"/>
  <c r="B59" i="118"/>
  <c r="B134" i="122"/>
  <c r="B95" i="119"/>
  <c r="B95" i="118"/>
  <c r="B17" i="12"/>
  <c r="B17" i="145" s="1"/>
  <c r="B135" i="122"/>
  <c r="B90" i="119"/>
  <c r="B90" i="118"/>
  <c r="B56" i="12"/>
  <c r="B57" i="145" s="1"/>
  <c r="B90" i="122"/>
  <c r="B56" i="119"/>
  <c r="B56" i="118"/>
  <c r="B139" i="122"/>
  <c r="B94" i="119"/>
  <c r="B94" i="118"/>
  <c r="B132" i="122"/>
  <c r="B87" i="119"/>
  <c r="B87" i="118"/>
  <c r="B28" i="12"/>
  <c r="B28" i="145" s="1"/>
  <c r="B51" i="122"/>
  <c r="B28" i="119"/>
  <c r="B28" i="118"/>
  <c r="B133" i="122"/>
  <c r="B88" i="119"/>
  <c r="B88" i="118"/>
  <c r="C126" i="123"/>
  <c r="B105" i="122"/>
  <c r="C61" i="123"/>
  <c r="C113" i="123"/>
  <c r="C9" i="123"/>
  <c r="C13" i="123"/>
  <c r="C123" i="123"/>
  <c r="B102" i="122"/>
  <c r="B57" i="14"/>
  <c r="C68" i="123"/>
  <c r="B56" i="122"/>
  <c r="C175" i="123"/>
  <c r="B146" i="122"/>
  <c r="B64" i="14"/>
  <c r="C75" i="123"/>
  <c r="B63" i="122"/>
  <c r="C125" i="123"/>
  <c r="B104" i="122"/>
  <c r="C12" i="123"/>
  <c r="C163" i="78"/>
  <c r="C163" i="123"/>
  <c r="C11" i="123"/>
  <c r="B93" i="12"/>
  <c r="B95" i="145" s="1"/>
  <c r="B141" i="14"/>
  <c r="C134" i="112"/>
  <c r="B150" i="14"/>
  <c r="C176" i="78"/>
  <c r="B98" i="12"/>
  <c r="B100" i="145" s="1"/>
  <c r="C139" i="112"/>
  <c r="B89" i="12"/>
  <c r="B91" i="145" s="1"/>
  <c r="B95" i="12"/>
  <c r="B97" i="145" s="1"/>
  <c r="C136" i="112"/>
  <c r="B90" i="12"/>
  <c r="B92" i="145" s="1"/>
  <c r="B138" i="14"/>
  <c r="B94" i="12"/>
  <c r="B96" i="145" s="1"/>
  <c r="C135" i="112"/>
  <c r="B142" i="14"/>
  <c r="B87" i="12"/>
  <c r="B89" i="145" s="1"/>
  <c r="B135" i="14"/>
  <c r="B88" i="12"/>
  <c r="B90" i="145" s="1"/>
  <c r="B136" i="14"/>
  <c r="B149" i="14"/>
  <c r="C175" i="78"/>
  <c r="Q128" i="115"/>
  <c r="O128" i="115"/>
  <c r="O29" i="115"/>
  <c r="I90" i="144" s="1"/>
  <c r="Q271" i="115"/>
  <c r="O271" i="115"/>
  <c r="Q185" i="115"/>
  <c r="O185" i="115"/>
  <c r="O32" i="115"/>
  <c r="I93" i="144" s="1"/>
  <c r="Q75" i="115"/>
  <c r="O75" i="115"/>
  <c r="Q318" i="115"/>
  <c r="O318" i="115"/>
  <c r="Q344" i="115"/>
  <c r="O344" i="115"/>
  <c r="Q317" i="115"/>
  <c r="O317" i="115"/>
  <c r="Q56" i="115"/>
  <c r="O56" i="115"/>
  <c r="Q328" i="115"/>
  <c r="O328" i="115"/>
  <c r="Q792" i="115"/>
  <c r="Q884" i="115"/>
  <c r="O884" i="115"/>
  <c r="Q407" i="115"/>
  <c r="O407" i="115"/>
  <c r="Q397" i="115"/>
  <c r="O397" i="115"/>
  <c r="Q711" i="115"/>
  <c r="O711" i="115"/>
  <c r="Q733" i="115"/>
  <c r="O733" i="115"/>
  <c r="Q946" i="115"/>
  <c r="O946" i="115"/>
  <c r="Q504" i="115"/>
  <c r="O504" i="115"/>
  <c r="Q809" i="115"/>
  <c r="O809" i="115"/>
  <c r="Q469" i="115"/>
  <c r="O469" i="115"/>
  <c r="Q52" i="115"/>
  <c r="O52" i="115"/>
  <c r="Q629" i="115"/>
  <c r="O629" i="115"/>
  <c r="Q998" i="115"/>
  <c r="O998" i="115"/>
  <c r="Q563" i="115"/>
  <c r="O563" i="115"/>
  <c r="Q306" i="115"/>
  <c r="O306" i="115"/>
  <c r="Q49" i="115"/>
  <c r="O49" i="115"/>
  <c r="Q109" i="115"/>
  <c r="O109" i="115"/>
  <c r="Q794" i="115"/>
  <c r="O794" i="115"/>
  <c r="Q852" i="115"/>
  <c r="O852" i="115"/>
  <c r="Q631" i="115"/>
  <c r="O631" i="115"/>
  <c r="Q93" i="115"/>
  <c r="O93" i="115"/>
  <c r="Q550" i="115"/>
  <c r="O550" i="115"/>
  <c r="Q814" i="115"/>
  <c r="O814" i="115"/>
  <c r="Q898" i="115"/>
  <c r="O898" i="115"/>
  <c r="Q499" i="115"/>
  <c r="O499" i="115"/>
  <c r="Q242" i="115"/>
  <c r="O242" i="115"/>
  <c r="O198" i="115"/>
  <c r="Q735" i="115"/>
  <c r="O735" i="115"/>
  <c r="Q414" i="115"/>
  <c r="O414" i="115"/>
  <c r="Q59" i="115"/>
  <c r="O59" i="115"/>
  <c r="Q351" i="115"/>
  <c r="O471" i="115"/>
  <c r="Q970" i="115"/>
  <c r="Q564" i="115"/>
  <c r="O564" i="115"/>
  <c r="Q669" i="115"/>
  <c r="O669" i="115"/>
  <c r="Q177" i="115"/>
  <c r="O177" i="115"/>
  <c r="Q400" i="115"/>
  <c r="Q559" i="115"/>
  <c r="O559" i="115"/>
  <c r="Q745" i="115"/>
  <c r="O745" i="115"/>
  <c r="B96" i="14"/>
  <c r="O22" i="115"/>
  <c r="I60" i="144" s="1"/>
  <c r="Q169" i="115"/>
  <c r="O169" i="115"/>
  <c r="Q248" i="115"/>
  <c r="O248" i="115"/>
  <c r="Q270" i="115"/>
  <c r="O270" i="115"/>
  <c r="Q223" i="115"/>
  <c r="O223" i="115"/>
  <c r="Q340" i="115"/>
  <c r="O340" i="115"/>
  <c r="Q474" i="115"/>
  <c r="O474" i="115"/>
  <c r="Q81" i="115"/>
  <c r="O81" i="115"/>
  <c r="Q751" i="115"/>
  <c r="O751" i="115"/>
  <c r="Q682" i="115"/>
  <c r="Q152" i="115"/>
  <c r="Q289" i="115"/>
  <c r="O289" i="115"/>
  <c r="Q503" i="115"/>
  <c r="O503" i="115"/>
  <c r="Q494" i="115"/>
  <c r="O494" i="115"/>
  <c r="Q193" i="115"/>
  <c r="O193" i="115"/>
  <c r="Q473" i="115"/>
  <c r="Q527" i="115"/>
  <c r="O527" i="115"/>
  <c r="Q226" i="115"/>
  <c r="O226" i="115"/>
  <c r="Q389" i="115"/>
  <c r="O389" i="115"/>
  <c r="Q91" i="115"/>
  <c r="O91" i="115"/>
  <c r="O567" i="115"/>
  <c r="Q647" i="115"/>
  <c r="Q194" i="115"/>
  <c r="O194" i="115"/>
  <c r="Q133" i="115"/>
  <c r="O133" i="115"/>
  <c r="B53" i="14"/>
  <c r="O14" i="115"/>
  <c r="I52" i="144" s="1"/>
  <c r="Q84" i="115"/>
  <c r="O84" i="115"/>
  <c r="B50" i="14"/>
  <c r="O11" i="115"/>
  <c r="I26" i="144" s="1"/>
  <c r="Q476" i="115"/>
  <c r="Q216" i="115"/>
  <c r="O216" i="115"/>
  <c r="O767" i="115"/>
  <c r="Q788" i="115"/>
  <c r="O788" i="115"/>
  <c r="Q956" i="115"/>
  <c r="O956" i="115"/>
  <c r="Q188" i="115"/>
  <c r="O188" i="115"/>
  <c r="Q951" i="115"/>
  <c r="O951" i="115"/>
  <c r="Q76" i="115"/>
  <c r="O76" i="115"/>
  <c r="O885" i="115"/>
  <c r="Q182" i="115"/>
  <c r="O182" i="115"/>
  <c r="Q568" i="115"/>
  <c r="O568" i="115"/>
  <c r="Q86" i="115"/>
  <c r="O86" i="115"/>
  <c r="O261" i="115"/>
  <c r="Q839" i="115"/>
  <c r="O839" i="115"/>
  <c r="Q94" i="115"/>
  <c r="Q508" i="115"/>
  <c r="O508" i="115"/>
  <c r="Q505" i="115"/>
  <c r="O505" i="115"/>
  <c r="Q232" i="115"/>
  <c r="Q373" i="115"/>
  <c r="O373" i="115"/>
  <c r="Q352" i="115"/>
  <c r="O352" i="115"/>
  <c r="Q479" i="115"/>
  <c r="O479" i="115"/>
  <c r="Q290" i="115"/>
  <c r="O290" i="115"/>
  <c r="Q692" i="115"/>
  <c r="O692" i="115"/>
  <c r="Q468" i="115"/>
  <c r="O468" i="115"/>
  <c r="Q251" i="115"/>
  <c r="O251" i="115"/>
  <c r="Q801" i="115"/>
  <c r="O801" i="115"/>
  <c r="Q607" i="115"/>
  <c r="O607" i="115"/>
  <c r="Q258" i="115"/>
  <c r="O258" i="115"/>
  <c r="B56" i="14"/>
  <c r="O17" i="115"/>
  <c r="I55" i="144" s="1"/>
  <c r="Q968" i="115"/>
  <c r="O968" i="115"/>
  <c r="Q861" i="115"/>
  <c r="O861" i="115"/>
  <c r="Q140" i="115"/>
  <c r="O140" i="115"/>
  <c r="Q321" i="115"/>
  <c r="O321" i="115"/>
  <c r="Q48" i="115"/>
  <c r="O48" i="115"/>
  <c r="Q605" i="115"/>
  <c r="O605" i="115"/>
  <c r="Q740" i="115"/>
  <c r="O740" i="115"/>
  <c r="Q98" i="115"/>
  <c r="O98" i="115"/>
  <c r="Q220" i="115"/>
  <c r="O220" i="115"/>
  <c r="Q618" i="115"/>
  <c r="O618" i="115"/>
  <c r="Q88" i="115"/>
  <c r="O88" i="115"/>
  <c r="O916" i="115"/>
  <c r="Q628" i="115"/>
  <c r="O628" i="115"/>
  <c r="Q701" i="115"/>
  <c r="O701" i="115"/>
  <c r="Q432" i="115"/>
  <c r="O432" i="115"/>
  <c r="Q552" i="115"/>
  <c r="O552" i="115"/>
  <c r="Q281" i="115"/>
  <c r="Q777" i="115"/>
  <c r="O777" i="115"/>
  <c r="Q157" i="115"/>
  <c r="O157" i="115"/>
  <c r="Q421" i="115"/>
  <c r="O421" i="115"/>
  <c r="Q180" i="115"/>
  <c r="O180" i="115"/>
  <c r="Q772" i="115"/>
  <c r="O772" i="115"/>
  <c r="Q943" i="115"/>
  <c r="O943" i="115"/>
  <c r="Q210" i="115"/>
  <c r="O210" i="115"/>
  <c r="Q695" i="115"/>
  <c r="O695" i="115"/>
  <c r="Q225" i="115"/>
  <c r="O225" i="115"/>
  <c r="Q171" i="115"/>
  <c r="O171" i="115"/>
  <c r="Q322" i="115"/>
  <c r="O322" i="115"/>
  <c r="Q100" i="115"/>
  <c r="O100" i="115"/>
  <c r="Q697" i="115"/>
  <c r="O697" i="115"/>
  <c r="Q395" i="115"/>
  <c r="O395" i="115"/>
  <c r="Q411" i="115"/>
  <c r="O411" i="115"/>
  <c r="Q461" i="115"/>
  <c r="O461" i="115"/>
  <c r="O27" i="115"/>
  <c r="I88" i="144" s="1"/>
  <c r="Q200" i="115"/>
  <c r="O200" i="115"/>
  <c r="Q280" i="115"/>
  <c r="O280" i="115"/>
  <c r="Q417" i="115"/>
  <c r="O417" i="115"/>
  <c r="Q484" i="115"/>
  <c r="O484" i="115"/>
  <c r="Q388" i="115"/>
  <c r="O388" i="115"/>
  <c r="O7" i="115"/>
  <c r="I22" i="144" s="1"/>
  <c r="Q319" i="115"/>
  <c r="O319" i="115"/>
  <c r="Q580" i="115"/>
  <c r="O580" i="115"/>
  <c r="Q167" i="115"/>
  <c r="O167" i="115"/>
  <c r="Q203" i="115"/>
  <c r="O203" i="115"/>
  <c r="Q886" i="115"/>
  <c r="Q264" i="115"/>
  <c r="O264" i="115"/>
  <c r="Q255" i="115"/>
  <c r="O255" i="115"/>
  <c r="Q932" i="115"/>
  <c r="O932" i="115"/>
  <c r="O433" i="115"/>
  <c r="Q292" i="115"/>
  <c r="O292" i="115"/>
  <c r="Q587" i="115"/>
  <c r="O587" i="115"/>
  <c r="Q520" i="115"/>
  <c r="O520" i="115"/>
  <c r="O930" i="115"/>
  <c r="Q804" i="115"/>
  <c r="O804" i="115"/>
  <c r="Q391" i="115"/>
  <c r="O391" i="115"/>
  <c r="Q47" i="115"/>
  <c r="O47" i="115"/>
  <c r="O730" i="115"/>
  <c r="Q756" i="115"/>
  <c r="O756" i="115"/>
  <c r="O208" i="115"/>
  <c r="Q136" i="115"/>
  <c r="O136" i="115"/>
  <c r="O423" i="115"/>
  <c r="Q375" i="115"/>
  <c r="O375" i="115"/>
  <c r="Q68" i="115"/>
  <c r="Q820" i="115"/>
  <c r="O820" i="115"/>
  <c r="O984" i="115"/>
  <c r="Q364" i="115"/>
  <c r="O364" i="115"/>
  <c r="Q63" i="115"/>
  <c r="O63" i="115"/>
  <c r="Q1000" i="115"/>
  <c r="O1000" i="115"/>
  <c r="Q518" i="115"/>
  <c r="O518" i="115"/>
  <c r="Q683" i="115"/>
  <c r="O683" i="115"/>
  <c r="Q549" i="115"/>
  <c r="O549" i="115"/>
  <c r="O502" i="115"/>
  <c r="O528" i="115"/>
  <c r="Q305" i="115"/>
  <c r="O305" i="115"/>
  <c r="Q676" i="115"/>
  <c r="O676" i="115"/>
  <c r="Q166" i="115"/>
  <c r="O166" i="115"/>
  <c r="Q456" i="115"/>
  <c r="O456" i="115"/>
  <c r="Q158" i="115"/>
  <c r="Q155" i="115"/>
  <c r="O155" i="115"/>
  <c r="Q72" i="115"/>
  <c r="O72" i="115"/>
  <c r="Q273" i="115"/>
  <c r="O273" i="115"/>
  <c r="Q405" i="115"/>
  <c r="O405" i="115"/>
  <c r="O268" i="115"/>
  <c r="Q716" i="115"/>
  <c r="O716" i="115"/>
  <c r="Q246" i="115"/>
  <c r="Q708" i="115"/>
  <c r="O708" i="115"/>
  <c r="Q148" i="115"/>
  <c r="O148" i="115"/>
  <c r="Q540" i="115"/>
  <c r="O540" i="115"/>
  <c r="Q551" i="115"/>
  <c r="O551" i="115"/>
  <c r="O862" i="115"/>
  <c r="Q170" i="115"/>
  <c r="O170" i="115"/>
  <c r="Q664" i="115"/>
  <c r="O664" i="115"/>
  <c r="Q700" i="115"/>
  <c r="O700" i="115"/>
  <c r="Q256" i="115"/>
  <c r="O256" i="115"/>
  <c r="Q129" i="115"/>
  <c r="O129" i="115"/>
  <c r="Q114" i="115"/>
  <c r="O114" i="115"/>
  <c r="B92" i="14"/>
  <c r="O18" i="115"/>
  <c r="I56" i="144" s="1"/>
  <c r="Q596" i="115"/>
  <c r="O596" i="115"/>
  <c r="O151" i="115"/>
  <c r="O33" i="115"/>
  <c r="I94" i="144" s="1"/>
  <c r="Q107" i="115"/>
  <c r="O107" i="115"/>
  <c r="Q245" i="115"/>
  <c r="O245" i="115"/>
  <c r="Q542" i="115"/>
  <c r="O542" i="115"/>
  <c r="Q336" i="115"/>
  <c r="O336" i="115"/>
  <c r="Q833" i="115"/>
  <c r="O833" i="115"/>
  <c r="Q565" i="115"/>
  <c r="O565" i="115"/>
  <c r="Q298" i="115"/>
  <c r="O298" i="115"/>
  <c r="Q174" i="115"/>
  <c r="O174" i="115"/>
  <c r="Q437" i="115"/>
  <c r="O437" i="115"/>
  <c r="Q615" i="115"/>
  <c r="Q786" i="115"/>
  <c r="O786" i="115"/>
  <c r="O26" i="115"/>
  <c r="I87" i="144" s="1"/>
  <c r="Q452" i="115"/>
  <c r="O452" i="115"/>
  <c r="O394" i="115"/>
  <c r="Q485" i="115"/>
  <c r="O485" i="115"/>
  <c r="Q206" i="115"/>
  <c r="O206" i="115"/>
  <c r="Q561" i="115"/>
  <c r="O561" i="115"/>
  <c r="Q288" i="115"/>
  <c r="O288" i="115"/>
  <c r="Q154" i="115"/>
  <c r="O154" i="115"/>
  <c r="O927" i="115"/>
  <c r="Q97" i="115"/>
  <c r="O97" i="115"/>
  <c r="Q123" i="115"/>
  <c r="O123" i="115"/>
  <c r="Q354" i="115"/>
  <c r="O354" i="115"/>
  <c r="Q496" i="115"/>
  <c r="O496" i="115"/>
  <c r="Q729" i="115"/>
  <c r="O729" i="115"/>
  <c r="Q440" i="115"/>
  <c r="O440" i="115"/>
  <c r="Q341" i="115"/>
  <c r="Q759" i="115"/>
  <c r="O759" i="115"/>
  <c r="Q377" i="115"/>
  <c r="O377" i="115"/>
  <c r="Q104" i="115"/>
  <c r="O104" i="115"/>
  <c r="Q353" i="115"/>
  <c r="O353" i="115"/>
  <c r="Q863" i="115"/>
  <c r="O863" i="115"/>
  <c r="Q229" i="115"/>
  <c r="O229" i="115"/>
  <c r="Q581" i="115"/>
  <c r="O581" i="115"/>
  <c r="Q651" i="115"/>
  <c r="O651" i="115"/>
  <c r="Q39" i="115"/>
  <c r="O39" i="115"/>
  <c r="Q702" i="115"/>
  <c r="O702" i="115"/>
  <c r="Q705" i="115"/>
  <c r="O705" i="115"/>
  <c r="Q681" i="115"/>
  <c r="O681" i="115"/>
  <c r="Q296" i="115"/>
  <c r="O296" i="115"/>
  <c r="Q162" i="115"/>
  <c r="O162" i="115"/>
  <c r="Q406" i="115"/>
  <c r="O406" i="115"/>
  <c r="Q209" i="115"/>
  <c r="O209" i="115"/>
  <c r="O1001" i="115"/>
  <c r="Q766" i="115"/>
  <c r="O766" i="115"/>
  <c r="Q343" i="115"/>
  <c r="O343" i="115"/>
  <c r="Q356" i="115"/>
  <c r="O356" i="115"/>
  <c r="Q239" i="115"/>
  <c r="O239" i="115"/>
  <c r="Q108" i="115"/>
  <c r="Q95" i="115"/>
  <c r="O95" i="115"/>
  <c r="O842" i="115"/>
  <c r="Q980" i="115"/>
  <c r="O980" i="115"/>
  <c r="Q266" i="115"/>
  <c r="O266" i="115"/>
  <c r="Q859" i="115"/>
  <c r="O859" i="115"/>
  <c r="B54" i="14"/>
  <c r="O15" i="115"/>
  <c r="I53" i="144" s="1"/>
  <c r="O57" i="115"/>
  <c r="Q821" i="115"/>
  <c r="O821" i="115"/>
  <c r="O179" i="115"/>
  <c r="O416" i="115"/>
  <c r="O147" i="115"/>
  <c r="Q573" i="115"/>
  <c r="O573" i="115"/>
  <c r="Q428" i="115"/>
  <c r="O428" i="115"/>
  <c r="Q996" i="115"/>
  <c r="O996" i="115"/>
  <c r="Q460" i="115"/>
  <c r="O460" i="115"/>
  <c r="Q272" i="115"/>
  <c r="O272" i="115"/>
  <c r="O392" i="115"/>
  <c r="Q465" i="115"/>
  <c r="O465" i="115"/>
  <c r="Q164" i="115"/>
  <c r="O164" i="115"/>
  <c r="O37" i="115"/>
  <c r="I98" i="144" s="1"/>
  <c r="Q396" i="115"/>
  <c r="O706" i="115"/>
  <c r="Q449" i="115"/>
  <c r="O449" i="115"/>
  <c r="Q214" i="115"/>
  <c r="O214" i="115"/>
  <c r="Q632" i="115"/>
  <c r="O632" i="115"/>
  <c r="Q517" i="115"/>
  <c r="O517" i="115"/>
  <c r="Q949" i="115"/>
  <c r="O949" i="115"/>
  <c r="B95" i="14"/>
  <c r="O21" i="115"/>
  <c r="I59" i="144" s="1"/>
  <c r="Q926" i="115"/>
  <c r="Q269" i="115"/>
  <c r="O269" i="115"/>
  <c r="O491" i="115"/>
  <c r="Q444" i="115"/>
  <c r="O444" i="115"/>
  <c r="Q126" i="115"/>
  <c r="O126" i="115"/>
  <c r="Q612" i="115"/>
  <c r="O612" i="115"/>
  <c r="Q85" i="115"/>
  <c r="O85" i="115"/>
  <c r="Q556" i="115"/>
  <c r="Q386" i="115"/>
  <c r="Q990" i="115"/>
  <c r="O990" i="115"/>
  <c r="O430" i="115"/>
  <c r="O34" i="115"/>
  <c r="I95" i="144" s="1"/>
  <c r="Q130" i="115"/>
  <c r="O130" i="115"/>
  <c r="O8" i="115"/>
  <c r="I23" i="144" s="1"/>
  <c r="Q145" i="115"/>
  <c r="O145" i="115"/>
  <c r="Q431" i="115"/>
  <c r="O431" i="115"/>
  <c r="Q181" i="115"/>
  <c r="O181" i="115"/>
  <c r="Q301" i="115"/>
  <c r="O301" i="115"/>
  <c r="Q866" i="115"/>
  <c r="O866" i="115"/>
  <c r="Q308" i="115"/>
  <c r="O308" i="115"/>
  <c r="Q953" i="115"/>
  <c r="O953" i="115"/>
  <c r="Q113" i="115"/>
  <c r="O113" i="115"/>
  <c r="Q888" i="115"/>
  <c r="O888" i="115"/>
  <c r="Q367" i="115"/>
  <c r="O367" i="115"/>
  <c r="Q159" i="115"/>
  <c r="O159" i="115"/>
  <c r="Q488" i="115"/>
  <c r="O488" i="115"/>
  <c r="Q724" i="115"/>
  <c r="O724" i="115"/>
  <c r="Q82" i="115"/>
  <c r="O82" i="115"/>
  <c r="Q911" i="115"/>
  <c r="O911" i="115"/>
  <c r="Q577" i="115"/>
  <c r="Q660" i="115"/>
  <c r="O660" i="115"/>
  <c r="Q644" i="115"/>
  <c r="O644" i="115"/>
  <c r="Q750" i="115"/>
  <c r="O750" i="115"/>
  <c r="Q964" i="115"/>
  <c r="O964" i="115"/>
  <c r="Q323" i="115"/>
  <c r="O323" i="115"/>
  <c r="Q535" i="115"/>
  <c r="O535" i="115"/>
  <c r="Q920" i="115"/>
  <c r="O920" i="115"/>
  <c r="Q218" i="115"/>
  <c r="O218" i="115"/>
  <c r="Q878" i="115"/>
  <c r="O878" i="115"/>
  <c r="O173" i="115"/>
  <c r="Q186" i="115"/>
  <c r="O186" i="115"/>
  <c r="Q547" i="115"/>
  <c r="O547" i="115"/>
  <c r="Q743" i="115"/>
  <c r="O743" i="115"/>
  <c r="B52" i="14"/>
  <c r="O13" i="115"/>
  <c r="I28" i="144" s="1"/>
  <c r="Q363" i="115"/>
  <c r="O363" i="115"/>
  <c r="Q929" i="115"/>
  <c r="Q807" i="115"/>
  <c r="Q294" i="115"/>
  <c r="Q161" i="115"/>
  <c r="O161" i="115"/>
  <c r="Q830" i="115"/>
  <c r="O830" i="115"/>
  <c r="Q178" i="115"/>
  <c r="O178" i="115"/>
  <c r="Q274" i="115"/>
  <c r="O274" i="115"/>
  <c r="Q139" i="115"/>
  <c r="O139" i="115"/>
  <c r="Q399" i="115"/>
  <c r="O399" i="115"/>
  <c r="O909" i="115"/>
  <c r="Q96" i="115"/>
  <c r="O96" i="115"/>
  <c r="Q153" i="115"/>
  <c r="O153" i="115"/>
  <c r="Q267" i="115"/>
  <c r="O267" i="115"/>
  <c r="Q446" i="115"/>
  <c r="O446" i="115"/>
  <c r="Q408" i="115"/>
  <c r="O408" i="115"/>
  <c r="Q963" i="115"/>
  <c r="O963" i="115"/>
  <c r="Q99" i="115"/>
  <c r="O99" i="115"/>
  <c r="Q118" i="115"/>
  <c r="O118" i="115"/>
  <c r="Q324" i="115"/>
  <c r="O324" i="115"/>
  <c r="Q401" i="115"/>
  <c r="Q453" i="115"/>
  <c r="O453" i="115"/>
  <c r="Q43" i="115"/>
  <c r="O43" i="115"/>
  <c r="Q988" i="115"/>
  <c r="O988" i="115"/>
  <c r="Q599" i="115"/>
  <c r="O599" i="115"/>
  <c r="Q221" i="115"/>
  <c r="O221" i="115"/>
  <c r="Q894" i="115"/>
  <c r="Q40" i="115"/>
  <c r="O40" i="115"/>
  <c r="Q60" i="115"/>
  <c r="Q409" i="115"/>
  <c r="O409" i="115"/>
  <c r="Q69" i="115"/>
  <c r="O69" i="115"/>
  <c r="Q366" i="115"/>
  <c r="O366" i="115"/>
  <c r="Q312" i="115"/>
  <c r="O312" i="115"/>
  <c r="Q71" i="115"/>
  <c r="Q525" i="115"/>
  <c r="Q150" i="115"/>
  <c r="O150" i="115"/>
  <c r="Q524" i="115"/>
  <c r="O524" i="115"/>
  <c r="Q760" i="115"/>
  <c r="O760" i="115"/>
  <c r="C126" i="78"/>
  <c r="B107" i="14"/>
  <c r="C125" i="78"/>
  <c r="B106" i="14"/>
  <c r="C123" i="78"/>
  <c r="B104" i="14"/>
  <c r="Q14" i="115"/>
  <c r="C56" i="112"/>
  <c r="C113" i="78"/>
  <c r="Q2" i="115"/>
  <c r="C14" i="112"/>
  <c r="Q33" i="115"/>
  <c r="Q37" i="115"/>
  <c r="Q22" i="115"/>
  <c r="C94" i="112"/>
  <c r="C121" i="78"/>
  <c r="C23" i="78"/>
  <c r="C61" i="78"/>
  <c r="C13" i="78"/>
  <c r="Q16" i="115"/>
  <c r="C61" i="112"/>
  <c r="C69" i="78"/>
  <c r="C119" i="78"/>
  <c r="Q26" i="115"/>
  <c r="C98" i="112"/>
  <c r="Q13" i="115"/>
  <c r="C55" i="112"/>
  <c r="Q27" i="115"/>
  <c r="C99" i="112"/>
  <c r="C12" i="78"/>
  <c r="C11" i="78"/>
  <c r="C75" i="78"/>
  <c r="C9" i="78"/>
  <c r="C73" i="78"/>
  <c r="Q21" i="115"/>
  <c r="C63" i="112"/>
  <c r="Q15" i="115"/>
  <c r="C57" i="112"/>
  <c r="Q17" i="115"/>
  <c r="C59" i="112"/>
  <c r="Q29" i="115"/>
  <c r="C101" i="112"/>
  <c r="Q8" i="115"/>
  <c r="B12" i="14"/>
  <c r="C20" i="112"/>
  <c r="C68" i="78"/>
  <c r="Q32" i="115"/>
  <c r="Q7" i="115"/>
  <c r="C19" i="112"/>
  <c r="B11" i="14"/>
  <c r="C116" i="78"/>
  <c r="C10" i="78"/>
  <c r="C100" i="112"/>
  <c r="Q23" i="115"/>
  <c r="C120" i="78"/>
  <c r="C111" i="78"/>
  <c r="Q34" i="115"/>
  <c r="Q11" i="115"/>
  <c r="C23" i="112"/>
  <c r="C122" i="78"/>
  <c r="C17" i="78"/>
  <c r="Q18" i="115"/>
  <c r="C60" i="112"/>
  <c r="O249" i="115" l="1"/>
  <c r="Q539" i="115"/>
  <c r="Q749" i="115"/>
  <c r="O923" i="115"/>
  <c r="O747" i="115"/>
  <c r="Q491" i="115"/>
  <c r="Q392" i="115"/>
  <c r="Q784" i="115"/>
  <c r="O699" i="115"/>
  <c r="Q480" i="115"/>
  <c r="O348" i="115"/>
  <c r="Q916" i="115"/>
  <c r="Q261" i="115"/>
  <c r="Q103" i="115"/>
  <c r="Q471" i="115"/>
  <c r="Q222" i="115"/>
  <c r="C73" i="123"/>
  <c r="C73" i="140"/>
  <c r="O928" i="115"/>
  <c r="Q779" i="115"/>
  <c r="Q179" i="115"/>
  <c r="Q832" i="115"/>
  <c r="O25" i="115"/>
  <c r="I63" i="144" s="1"/>
  <c r="Q25" i="115"/>
  <c r="C24" i="78"/>
  <c r="O872" i="115"/>
  <c r="O728" i="115"/>
  <c r="Q710" i="115"/>
  <c r="Q371" i="115"/>
  <c r="Q348" i="115"/>
  <c r="O822" i="115"/>
  <c r="O457" i="115"/>
  <c r="C121" i="123"/>
  <c r="B61" i="122"/>
  <c r="C103" i="112"/>
  <c r="O401" i="115"/>
  <c r="Q872" i="115"/>
  <c r="O386" i="115"/>
  <c r="Q728" i="115"/>
  <c r="O615" i="115"/>
  <c r="O246" i="115"/>
  <c r="O617" i="115"/>
  <c r="O314" i="115"/>
  <c r="O955" i="115"/>
  <c r="O232" i="115"/>
  <c r="O476" i="115"/>
  <c r="O647" i="115"/>
  <c r="O152" i="115"/>
  <c r="B54" i="135"/>
  <c r="N20" i="115"/>
  <c r="B14" i="14"/>
  <c r="O512" i="115"/>
  <c r="O176" i="115"/>
  <c r="F59" i="135"/>
  <c r="O689" i="115"/>
  <c r="O613" i="115"/>
  <c r="O276" i="115"/>
  <c r="B97" i="14"/>
  <c r="Q6" i="115"/>
  <c r="Q613" i="115"/>
  <c r="Q276" i="115"/>
  <c r="O231" i="115"/>
  <c r="Q864" i="115"/>
  <c r="O427" i="115"/>
  <c r="O819" i="115"/>
  <c r="B59" i="122"/>
  <c r="C14" i="78"/>
  <c r="Q764" i="115"/>
  <c r="O867" i="115"/>
  <c r="Q124" i="115"/>
  <c r="E114" i="14"/>
  <c r="B6" i="14"/>
  <c r="O80" i="115"/>
  <c r="Q903" i="115"/>
  <c r="Q176" i="115"/>
  <c r="Q286" i="115"/>
  <c r="O962" i="115"/>
  <c r="Q489" i="115"/>
  <c r="B17" i="136"/>
  <c r="B17" i="144"/>
  <c r="F59" i="144"/>
  <c r="C114" i="123"/>
  <c r="B17" i="118"/>
  <c r="N2" i="115"/>
  <c r="A17" i="144" s="1"/>
  <c r="E17" i="144" s="1"/>
  <c r="F59" i="136"/>
  <c r="C17" i="140"/>
  <c r="O243" i="115"/>
  <c r="Q655" i="115"/>
  <c r="C65" i="78"/>
  <c r="Q574" i="115"/>
  <c r="O143" i="115"/>
  <c r="O303" i="115"/>
  <c r="Q189" i="115"/>
  <c r="O101" i="115"/>
  <c r="O2" i="115"/>
  <c r="O197" i="115"/>
  <c r="B17" i="119"/>
  <c r="C17" i="123"/>
  <c r="B54" i="12"/>
  <c r="B55" i="145" s="1"/>
  <c r="B17" i="135"/>
  <c r="C114" i="140"/>
  <c r="B14" i="139"/>
  <c r="Q127" i="115"/>
  <c r="Q35" i="115"/>
  <c r="C114" i="78"/>
  <c r="O680" i="115"/>
  <c r="O403" i="115"/>
  <c r="Q881" i="115"/>
  <c r="O571" i="115"/>
  <c r="Q843" i="115"/>
  <c r="O589" i="115"/>
  <c r="O458" i="115"/>
  <c r="O718" i="115"/>
  <c r="Q303" i="115"/>
  <c r="O642" i="115"/>
  <c r="O489" i="115"/>
  <c r="O330" i="115"/>
  <c r="Q101" i="115"/>
  <c r="O674" i="115"/>
  <c r="Q197" i="115"/>
  <c r="B6" i="122"/>
  <c r="C15" i="112"/>
  <c r="Q828" i="115"/>
  <c r="O713" i="115"/>
  <c r="Q896" i="115"/>
  <c r="O941" i="115"/>
  <c r="Q143" i="115"/>
  <c r="Q543" i="115"/>
  <c r="O304" i="115"/>
  <c r="O149" i="115"/>
  <c r="Q438" i="115"/>
  <c r="O744" i="115"/>
  <c r="O791" i="115"/>
  <c r="O38" i="115"/>
  <c r="C173" i="78"/>
  <c r="B144" i="122"/>
  <c r="B143" i="122"/>
  <c r="Q357" i="115"/>
  <c r="Q797" i="115"/>
  <c r="O870" i="115"/>
  <c r="O686" i="115"/>
  <c r="Q416" i="115"/>
  <c r="B55" i="14"/>
  <c r="O425" i="115"/>
  <c r="C140" i="112"/>
  <c r="C62" i="112"/>
  <c r="C60" i="78"/>
  <c r="O191" i="115"/>
  <c r="O376" i="115"/>
  <c r="Q415" i="115"/>
  <c r="O327" i="115"/>
  <c r="O41" i="115"/>
  <c r="Q212" i="115"/>
  <c r="O418" i="115"/>
  <c r="Q425" i="115"/>
  <c r="O725" i="115"/>
  <c r="Q304" i="115"/>
  <c r="Q472" i="115"/>
  <c r="Q816" i="115"/>
  <c r="O192" i="115"/>
  <c r="Q327" i="115"/>
  <c r="O127" i="115"/>
  <c r="O556" i="115"/>
  <c r="O630" i="115"/>
  <c r="O396" i="115"/>
  <c r="O482" i="115"/>
  <c r="O339" i="115"/>
  <c r="O637" i="115"/>
  <c r="O163" i="115"/>
  <c r="Q38" i="115"/>
  <c r="O473" i="115"/>
  <c r="O510" i="115"/>
  <c r="Q687" i="115"/>
  <c r="Q984" i="115"/>
  <c r="O802" i="115"/>
  <c r="O954" i="115"/>
  <c r="Q316" i="115"/>
  <c r="O848" i="115"/>
  <c r="Q486" i="115"/>
  <c r="Q985" i="115"/>
  <c r="O597" i="115"/>
  <c r="O522" i="115"/>
  <c r="Q688" i="115"/>
  <c r="O240" i="115"/>
  <c r="C124" i="123"/>
  <c r="B24" i="119"/>
  <c r="Q619" i="115"/>
  <c r="O445" i="115"/>
  <c r="Q265" i="115"/>
  <c r="Q462" i="115"/>
  <c r="O635" i="115"/>
  <c r="Q795" i="115"/>
  <c r="O9" i="115"/>
  <c r="I24" i="144" s="1"/>
  <c r="O578" i="115"/>
  <c r="Q284" i="115"/>
  <c r="O693" i="115"/>
  <c r="C21" i="112"/>
  <c r="C54" i="112"/>
  <c r="Q789" i="115"/>
  <c r="O368" i="115"/>
  <c r="Q436" i="115"/>
  <c r="Q972" i="115"/>
  <c r="O58" i="115"/>
  <c r="Q882" i="115"/>
  <c r="O873" i="115"/>
  <c r="O855" i="115"/>
  <c r="Q383" i="115"/>
  <c r="O112" i="115"/>
  <c r="O121" i="115"/>
  <c r="O291" i="115"/>
  <c r="Q199" i="115"/>
  <c r="O732" i="115"/>
  <c r="Q974" i="115"/>
  <c r="Q569" i="115"/>
  <c r="O775" i="115"/>
  <c r="Q390" i="115"/>
  <c r="O115" i="115"/>
  <c r="O823" i="115"/>
  <c r="Q413" i="115"/>
  <c r="Q240" i="115"/>
  <c r="B105" i="14"/>
  <c r="O560" i="115"/>
  <c r="O374" i="115"/>
  <c r="O906" i="115"/>
  <c r="O977" i="115"/>
  <c r="O813" i="115"/>
  <c r="O965" i="115"/>
  <c r="Q806" i="115"/>
  <c r="O604" i="115"/>
  <c r="O654" i="115"/>
  <c r="O447" i="115"/>
  <c r="Q112" i="115"/>
  <c r="O879" i="115"/>
  <c r="O746" i="115"/>
  <c r="Q9" i="115"/>
  <c r="Q12" i="115"/>
  <c r="C70" i="78"/>
  <c r="O815" i="115"/>
  <c r="Q368" i="115"/>
  <c r="Q512" i="115"/>
  <c r="Q906" i="115"/>
  <c r="O971" i="115"/>
  <c r="O307" i="115"/>
  <c r="O439" i="115"/>
  <c r="Q445" i="115"/>
  <c r="O217" i="115"/>
  <c r="O450" i="115"/>
  <c r="O640" i="115"/>
  <c r="Q977" i="115"/>
  <c r="Q443" i="115"/>
  <c r="Q560" i="115"/>
  <c r="O782" i="115"/>
  <c r="Q374" i="115"/>
  <c r="O436" i="115"/>
  <c r="O316" i="115"/>
  <c r="O627" i="115"/>
  <c r="O120" i="115"/>
  <c r="Q80" i="115"/>
  <c r="Q813" i="115"/>
  <c r="Q58" i="115"/>
  <c r="O903" i="115"/>
  <c r="Q962" i="115"/>
  <c r="Q965" i="115"/>
  <c r="Q873" i="115"/>
  <c r="Q635" i="115"/>
  <c r="O691" i="115"/>
  <c r="Q848" i="115"/>
  <c r="Q604" i="115"/>
  <c r="Q295" i="115"/>
  <c r="O659" i="115"/>
  <c r="Q447" i="115"/>
  <c r="Q597" i="115"/>
  <c r="O795" i="115"/>
  <c r="Q121" i="115"/>
  <c r="Q522" i="115"/>
  <c r="O309" i="115"/>
  <c r="Q291" i="115"/>
  <c r="O858" i="115"/>
  <c r="Q879" i="115"/>
  <c r="Q732" i="115"/>
  <c r="O838" i="115"/>
  <c r="O569" i="115"/>
  <c r="Q775" i="115"/>
  <c r="Q578" i="115"/>
  <c r="Q115" i="115"/>
  <c r="O840" i="115"/>
  <c r="Q746" i="115"/>
  <c r="Q823" i="115"/>
  <c r="Q693" i="115"/>
  <c r="O337" i="115"/>
  <c r="O960" i="115"/>
  <c r="O717" i="115"/>
  <c r="B24" i="12"/>
  <c r="B24" i="145" s="1"/>
  <c r="C22" i="78"/>
  <c r="C21" i="78"/>
  <c r="Q815" i="115"/>
  <c r="O320" i="115"/>
  <c r="Q450" i="115"/>
  <c r="Q640" i="115"/>
  <c r="O979" i="115"/>
  <c r="Q627" i="115"/>
  <c r="Q120" i="115"/>
  <c r="O365" i="115"/>
  <c r="O783" i="115"/>
  <c r="Q42" i="115"/>
  <c r="O202" i="115"/>
  <c r="O641" i="115"/>
  <c r="Q156" i="115"/>
  <c r="Q83" i="115"/>
  <c r="Q753" i="115"/>
  <c r="Q590" i="115"/>
  <c r="Q309" i="115"/>
  <c r="Q858" i="115"/>
  <c r="O891" i="115"/>
  <c r="O591" i="115"/>
  <c r="Q838" i="115"/>
  <c r="O263" i="115"/>
  <c r="O661" i="115"/>
  <c r="Q334" i="115"/>
  <c r="Q857" i="115"/>
  <c r="Q840" i="115"/>
  <c r="Q337" i="115"/>
  <c r="Q960" i="115"/>
  <c r="O61" i="115"/>
  <c r="Q717" i="115"/>
  <c r="A93" i="12"/>
  <c r="A95" i="145" s="1"/>
  <c r="O73" i="115"/>
  <c r="Q971" i="115"/>
  <c r="O293" i="115"/>
  <c r="Q307" i="115"/>
  <c r="Q439" i="115"/>
  <c r="Q217" i="115"/>
  <c r="Q135" i="115"/>
  <c r="Q782" i="115"/>
  <c r="O234" i="115"/>
  <c r="Q691" i="115"/>
  <c r="O64" i="115"/>
  <c r="Q659" i="115"/>
  <c r="C16" i="78"/>
  <c r="B13" i="14"/>
  <c r="B19" i="14"/>
  <c r="C112" i="78"/>
  <c r="C124" i="78"/>
  <c r="Q73" i="115"/>
  <c r="O574" i="115"/>
  <c r="Q310" i="115"/>
  <c r="O619" i="115"/>
  <c r="O521" i="115"/>
  <c r="Q320" i="115"/>
  <c r="Q979" i="115"/>
  <c r="O265" i="115"/>
  <c r="O972" i="115"/>
  <c r="Q365" i="115"/>
  <c r="Q234" i="115"/>
  <c r="Q403" i="115"/>
  <c r="O286" i="115"/>
  <c r="O882" i="115"/>
  <c r="O462" i="115"/>
  <c r="Q783" i="115"/>
  <c r="O806" i="115"/>
  <c r="Q855" i="115"/>
  <c r="Q64" i="115"/>
  <c r="O754" i="115"/>
  <c r="O175" i="115"/>
  <c r="Q641" i="115"/>
  <c r="O486" i="115"/>
  <c r="O620" i="115"/>
  <c r="O346" i="115"/>
  <c r="O383" i="115"/>
  <c r="O985" i="115"/>
  <c r="O402" i="115"/>
  <c r="O843" i="115"/>
  <c r="O876" i="115"/>
  <c r="Q891" i="115"/>
  <c r="Q689" i="115"/>
  <c r="Q591" i="115"/>
  <c r="O199" i="115"/>
  <c r="O974" i="115"/>
  <c r="Q458" i="115"/>
  <c r="Q263" i="115"/>
  <c r="Q661" i="115"/>
  <c r="O737" i="115"/>
  <c r="O284" i="115"/>
  <c r="O688" i="115"/>
  <c r="O189" i="115"/>
  <c r="Q313" i="115"/>
  <c r="Q347" i="115"/>
  <c r="Q376" i="115"/>
  <c r="Q257" i="115"/>
  <c r="Q4" i="115"/>
  <c r="C18" i="78"/>
  <c r="O525" i="115"/>
  <c r="O71" i="115"/>
  <c r="O789" i="115"/>
  <c r="O60" i="115"/>
  <c r="Q824" i="115"/>
  <c r="Q134" i="115"/>
  <c r="Q44" i="115"/>
  <c r="Q975" i="115"/>
  <c r="Q315" i="115"/>
  <c r="O807" i="115"/>
  <c r="O929" i="115"/>
  <c r="Q712" i="115"/>
  <c r="Q541" i="115"/>
  <c r="Q55" i="115"/>
  <c r="Q507" i="115"/>
  <c r="Q138" i="115"/>
  <c r="O142" i="115"/>
  <c r="O108" i="115"/>
  <c r="Q382" i="115"/>
  <c r="O492" i="115"/>
  <c r="O341" i="115"/>
  <c r="O895" i="115"/>
  <c r="Q534" i="115"/>
  <c r="O829" i="115"/>
  <c r="O141" i="115"/>
  <c r="O158" i="115"/>
  <c r="Q511" i="115"/>
  <c r="Q442" i="115"/>
  <c r="O68" i="115"/>
  <c r="Q593" i="115"/>
  <c r="Q608" i="115"/>
  <c r="Q434" i="115"/>
  <c r="O886" i="115"/>
  <c r="O908" i="115"/>
  <c r="O281" i="115"/>
  <c r="Q652" i="115"/>
  <c r="Q381" i="115"/>
  <c r="O94" i="115"/>
  <c r="Q467" i="115"/>
  <c r="O682" i="115"/>
  <c r="Q727" i="115"/>
  <c r="Q667" i="115"/>
  <c r="O400" i="115"/>
  <c r="O970" i="115"/>
  <c r="O351" i="115"/>
  <c r="Q493" i="115"/>
  <c r="O792" i="115"/>
  <c r="Q557" i="115"/>
  <c r="B137" i="14"/>
  <c r="B61" i="14"/>
  <c r="B89" i="119"/>
  <c r="B142" i="122"/>
  <c r="B15" i="139"/>
  <c r="N28" i="115"/>
  <c r="A89" i="136" s="1"/>
  <c r="C72" i="78"/>
  <c r="Q28" i="115"/>
  <c r="O244" i="115"/>
  <c r="Q533" i="115"/>
  <c r="Q576" i="115"/>
  <c r="Q603" i="115"/>
  <c r="Q909" i="115"/>
  <c r="Q173" i="115"/>
  <c r="Q672" i="115"/>
  <c r="Q914" i="115"/>
  <c r="O387" i="115"/>
  <c r="Q430" i="115"/>
  <c r="Q706" i="115"/>
  <c r="O841" i="115"/>
  <c r="Q147" i="115"/>
  <c r="Q57" i="115"/>
  <c r="O945" i="115"/>
  <c r="Q1001" i="115"/>
  <c r="O940" i="115"/>
  <c r="O125" i="115"/>
  <c r="O952" i="115"/>
  <c r="Q862" i="115"/>
  <c r="O722" i="115"/>
  <c r="O410" i="115"/>
  <c r="Q268" i="115"/>
  <c r="O77" i="115"/>
  <c r="O679" i="115"/>
  <c r="Q528" i="115"/>
  <c r="O723" i="115"/>
  <c r="O825" i="115"/>
  <c r="Q423" i="115"/>
  <c r="Q930" i="115"/>
  <c r="O238" i="115"/>
  <c r="Q805" i="115"/>
  <c r="Q433" i="115"/>
  <c r="O487" i="115"/>
  <c r="Q885" i="115"/>
  <c r="O555" i="115"/>
  <c r="O205" i="115"/>
  <c r="O778" i="115"/>
  <c r="Q767" i="115"/>
  <c r="Q567" i="115"/>
  <c r="Q582" i="115"/>
  <c r="Q198" i="115"/>
  <c r="B145" i="14"/>
  <c r="B15" i="122"/>
  <c r="B89" i="136"/>
  <c r="B15" i="14"/>
  <c r="Q244" i="115"/>
  <c r="Q514" i="115"/>
  <c r="O975" i="115"/>
  <c r="O315" i="115"/>
  <c r="Q924" i="115"/>
  <c r="O712" i="115"/>
  <c r="Q933" i="115"/>
  <c r="O541" i="115"/>
  <c r="O55" i="115"/>
  <c r="Q942" i="115"/>
  <c r="O138" i="115"/>
  <c r="Q387" i="115"/>
  <c r="Q841" i="115"/>
  <c r="Q945" i="115"/>
  <c r="O534" i="115"/>
  <c r="Q952" i="115"/>
  <c r="O566" i="115"/>
  <c r="O912" i="115"/>
  <c r="Q722" i="115"/>
  <c r="Q410" i="115"/>
  <c r="O671" i="115"/>
  <c r="Q77" i="115"/>
  <c r="Q679" i="115"/>
  <c r="O511" i="115"/>
  <c r="O442" i="115"/>
  <c r="O902" i="115"/>
  <c r="Q723" i="115"/>
  <c r="Q825" i="115"/>
  <c r="O593" i="115"/>
  <c r="Q238" i="115"/>
  <c r="O608" i="115"/>
  <c r="O434" i="115"/>
  <c r="O748" i="115"/>
  <c r="Q555" i="115"/>
  <c r="Q205" i="115"/>
  <c r="Q778" i="115"/>
  <c r="O467" i="115"/>
  <c r="O727" i="115"/>
  <c r="O667" i="115"/>
  <c r="O28" i="115"/>
  <c r="I89" i="144" s="1"/>
  <c r="C72" i="123"/>
  <c r="B89" i="118"/>
  <c r="B61" i="139"/>
  <c r="B137" i="139"/>
  <c r="B7" i="14"/>
  <c r="Q191" i="115"/>
  <c r="O797" i="115"/>
  <c r="Q149" i="115"/>
  <c r="Q249" i="115"/>
  <c r="Q192" i="115"/>
  <c r="Q680" i="115"/>
  <c r="O983" i="115"/>
  <c r="Q339" i="115"/>
  <c r="Q713" i="115"/>
  <c r="Q744" i="115"/>
  <c r="Q791" i="115"/>
  <c r="Q941" i="115"/>
  <c r="Q502" i="115"/>
  <c r="Q589" i="115"/>
  <c r="Q637" i="115"/>
  <c r="Q163" i="115"/>
  <c r="Q747" i="115"/>
  <c r="Q642" i="115"/>
  <c r="Q802" i="115"/>
  <c r="Q725" i="115"/>
  <c r="Q674" i="115"/>
  <c r="O516" i="115"/>
  <c r="O969" i="115"/>
  <c r="B58" i="118"/>
  <c r="O419" i="115"/>
  <c r="O260" i="115"/>
  <c r="O429" i="115"/>
  <c r="O35" i="115"/>
  <c r="I96" i="144" s="1"/>
  <c r="Q875" i="115"/>
  <c r="O776" i="115"/>
  <c r="O20" i="115"/>
  <c r="I58" i="144" s="1"/>
  <c r="O624" i="115"/>
  <c r="O275" i="115"/>
  <c r="O598" i="115"/>
  <c r="Q516" i="115"/>
  <c r="Q969" i="115"/>
  <c r="B58" i="12"/>
  <c r="B59" i="145" s="1"/>
  <c r="C173" i="140"/>
  <c r="Q983" i="115"/>
  <c r="Q252" i="115"/>
  <c r="O798" i="115"/>
  <c r="Q5" i="115"/>
  <c r="Q20" i="115"/>
  <c r="C58" i="112"/>
  <c r="B20" i="14"/>
  <c r="Q30" i="115"/>
  <c r="A62" i="12"/>
  <c r="A63" i="145" s="1"/>
  <c r="B114" i="14"/>
  <c r="O415" i="115"/>
  <c r="O828" i="115"/>
  <c r="O539" i="115"/>
  <c r="Q630" i="115"/>
  <c r="Q686" i="115"/>
  <c r="O881" i="115"/>
  <c r="O332" i="115"/>
  <c r="Q571" i="115"/>
  <c r="Q677" i="115"/>
  <c r="O212" i="115"/>
  <c r="O438" i="115"/>
  <c r="O793" i="115"/>
  <c r="Q798" i="115"/>
  <c r="O687" i="115"/>
  <c r="O896" i="115"/>
  <c r="O749" i="115"/>
  <c r="O846" i="115"/>
  <c r="Q429" i="115"/>
  <c r="O731" i="115"/>
  <c r="O987" i="115"/>
  <c r="O543" i="115"/>
  <c r="Q776" i="115"/>
  <c r="Q959" i="115"/>
  <c r="O849" i="115"/>
  <c r="Q950" i="115"/>
  <c r="Q451" i="115"/>
  <c r="Q331" i="115"/>
  <c r="Q624" i="115"/>
  <c r="Q598" i="115"/>
  <c r="B147" i="14"/>
  <c r="C172" i="78"/>
  <c r="C173" i="123"/>
  <c r="B54" i="118"/>
  <c r="A94" i="12"/>
  <c r="A96" i="145" s="1"/>
  <c r="Q424" i="115"/>
  <c r="O463" i="115"/>
  <c r="O583" i="115"/>
  <c r="O810" i="115"/>
  <c r="O764" i="115"/>
  <c r="O864" i="115"/>
  <c r="O926" i="115"/>
  <c r="O710" i="115"/>
  <c r="O779" i="115"/>
  <c r="Q770" i="115"/>
  <c r="Q844" i="115"/>
  <c r="O832" i="115"/>
  <c r="Q755" i="115"/>
  <c r="O784" i="115"/>
  <c r="Q992" i="115"/>
  <c r="O124" i="115"/>
  <c r="Q742" i="115"/>
  <c r="O480" i="115"/>
  <c r="Q201" i="115"/>
  <c r="Q752" i="115"/>
  <c r="O371" i="115"/>
  <c r="Q726" i="115"/>
  <c r="Q995" i="115"/>
  <c r="Q982" i="115"/>
  <c r="Q237" i="115"/>
  <c r="Q741" i="115"/>
  <c r="O282" i="115"/>
  <c r="O103" i="115"/>
  <c r="O947" i="115"/>
  <c r="Q936" i="115"/>
  <c r="O222" i="115"/>
  <c r="O684" i="115"/>
  <c r="B100" i="122"/>
  <c r="B21" i="122"/>
  <c r="C74" i="78"/>
  <c r="C22" i="112"/>
  <c r="Q19" i="115"/>
  <c r="Q31" i="115"/>
  <c r="B21" i="14"/>
  <c r="O184" i="115"/>
  <c r="Q160" i="115"/>
  <c r="O531" i="115"/>
  <c r="Q928" i="115"/>
  <c r="O106" i="115"/>
  <c r="Q231" i="115"/>
  <c r="O656" i="115"/>
  <c r="O233" i="115"/>
  <c r="Q867" i="115"/>
  <c r="O250" i="115"/>
  <c r="O195" i="115"/>
  <c r="O989" i="115"/>
  <c r="O890" i="115"/>
  <c r="O538" i="115"/>
  <c r="O639" i="115"/>
  <c r="B99" i="14"/>
  <c r="Q227" i="115"/>
  <c r="Q378" i="115"/>
  <c r="O709" i="115"/>
  <c r="Q151" i="115"/>
  <c r="Q699" i="115"/>
  <c r="Q427" i="115"/>
  <c r="Q819" i="115"/>
  <c r="Q617" i="115"/>
  <c r="O997" i="115"/>
  <c r="O532" i="115"/>
  <c r="Q208" i="115"/>
  <c r="Q314" i="115"/>
  <c r="Q730" i="115"/>
  <c r="Q955" i="115"/>
  <c r="Q822" i="115"/>
  <c r="Q243" i="115"/>
  <c r="O761" i="115"/>
  <c r="Q464" i="115"/>
  <c r="Q457" i="115"/>
  <c r="O372" i="115"/>
  <c r="O385" i="115"/>
  <c r="O856" i="115"/>
  <c r="O62" i="115"/>
  <c r="Q621" i="115"/>
  <c r="O854" i="115"/>
  <c r="C118" i="78"/>
  <c r="O817" i="115"/>
  <c r="O515" i="115"/>
  <c r="O668" i="115"/>
  <c r="O892" i="115"/>
  <c r="C97" i="112"/>
  <c r="C95" i="112"/>
  <c r="B10" i="14"/>
  <c r="C71" i="78"/>
  <c r="Q919" i="115"/>
  <c r="Q184" i="115"/>
  <c r="Q771" i="115"/>
  <c r="Q973" i="115"/>
  <c r="Q817" i="115"/>
  <c r="Q531" i="115"/>
  <c r="Q601" i="115"/>
  <c r="Q106" i="115"/>
  <c r="Q656" i="115"/>
  <c r="Q233" i="115"/>
  <c r="Q250" i="115"/>
  <c r="Q515" i="115"/>
  <c r="Q195" i="115"/>
  <c r="Q668" i="115"/>
  <c r="Q989" i="115"/>
  <c r="Q892" i="115"/>
  <c r="O770" i="115"/>
  <c r="O844" i="115"/>
  <c r="Q890" i="115"/>
  <c r="Q538" i="115"/>
  <c r="Q639" i="115"/>
  <c r="O536" i="115"/>
  <c r="O889" i="115"/>
  <c r="Q709" i="115"/>
  <c r="O742" i="115"/>
  <c r="O201" i="115"/>
  <c r="O752" i="115"/>
  <c r="Q997" i="115"/>
  <c r="Q532" i="115"/>
  <c r="O726" i="115"/>
  <c r="Q761" i="115"/>
  <c r="O995" i="115"/>
  <c r="O982" i="115"/>
  <c r="O237" i="115"/>
  <c r="Q372" i="115"/>
  <c r="Q483" i="115"/>
  <c r="Q385" i="115"/>
  <c r="Q856" i="115"/>
  <c r="Q62" i="115"/>
  <c r="O936" i="115"/>
  <c r="Q854" i="115"/>
  <c r="I62" i="12"/>
  <c r="O23" i="115"/>
  <c r="I61" i="144" s="1"/>
  <c r="O741" i="115"/>
  <c r="Q719" i="115"/>
  <c r="B102" i="14"/>
  <c r="C24" i="123"/>
  <c r="C121" i="140"/>
  <c r="C20" i="78"/>
  <c r="C117" i="78"/>
  <c r="C67" i="78"/>
  <c r="O490" i="115"/>
  <c r="O230" i="115"/>
  <c r="O102" i="115"/>
  <c r="O907" i="115"/>
  <c r="C115" i="78"/>
  <c r="C18" i="112"/>
  <c r="O533" i="115"/>
  <c r="O498" i="115"/>
  <c r="Q490" i="115"/>
  <c r="Q937" i="115"/>
  <c r="Q600" i="115"/>
  <c r="Q230" i="115"/>
  <c r="Q537" i="115"/>
  <c r="Q102" i="115"/>
  <c r="Q889" i="115"/>
  <c r="O464" i="115"/>
  <c r="B18" i="14"/>
  <c r="O919" i="115"/>
  <c r="Q954" i="115"/>
  <c r="Q583" i="115"/>
  <c r="O310" i="115"/>
  <c r="Q293" i="115"/>
  <c r="Q521" i="115"/>
  <c r="O443" i="115"/>
  <c r="O135" i="115"/>
  <c r="O42" i="115"/>
  <c r="O831" i="115"/>
  <c r="Q202" i="115"/>
  <c r="O655" i="115"/>
  <c r="O156" i="115"/>
  <c r="Q620" i="115"/>
  <c r="O83" i="115"/>
  <c r="Q758" i="115"/>
  <c r="O420" i="115"/>
  <c r="Q654" i="115"/>
  <c r="Q876" i="115"/>
  <c r="O390" i="115"/>
  <c r="O334" i="115"/>
  <c r="Q737" i="115"/>
  <c r="Q330" i="115"/>
  <c r="Q61" i="115"/>
  <c r="O413" i="115"/>
  <c r="Q915" i="115"/>
  <c r="O347" i="115"/>
  <c r="B13" i="122"/>
  <c r="B24" i="136"/>
  <c r="C124" i="140"/>
  <c r="O905" i="115"/>
  <c r="O857" i="115"/>
  <c r="O313" i="115"/>
  <c r="Q623" i="115"/>
  <c r="O714" i="115"/>
  <c r="O475" i="115"/>
  <c r="O771" i="115"/>
  <c r="O160" i="115"/>
  <c r="Q46" i="115"/>
  <c r="Q338" i="115"/>
  <c r="O50" i="115"/>
  <c r="Q938" i="115"/>
  <c r="Q481" i="115"/>
  <c r="B62" i="122"/>
  <c r="B91" i="122"/>
  <c r="B61" i="12"/>
  <c r="B62" i="145" s="1"/>
  <c r="B25" i="144"/>
  <c r="B25" i="135"/>
  <c r="Q562" i="115"/>
  <c r="O762" i="115"/>
  <c r="O283" i="115"/>
  <c r="O860" i="115"/>
  <c r="Q780" i="115"/>
  <c r="O357" i="115"/>
  <c r="O942" i="115"/>
  <c r="Q492" i="115"/>
  <c r="O530" i="115"/>
  <c r="O562" i="115"/>
  <c r="O501" i="115"/>
  <c r="O36" i="115"/>
  <c r="I97" i="144" s="1"/>
  <c r="Q690" i="115"/>
  <c r="O610" i="115"/>
  <c r="Q734" i="115"/>
  <c r="Q643" i="115"/>
  <c r="C14" i="123"/>
  <c r="B16" i="14"/>
  <c r="O887" i="115"/>
  <c r="O470" i="115"/>
  <c r="Q905" i="115"/>
  <c r="Q536" i="115"/>
  <c r="C15" i="78"/>
  <c r="C19" i="78"/>
  <c r="Q36" i="115"/>
  <c r="Q887" i="115"/>
  <c r="Q501" i="115"/>
  <c r="O424" i="115"/>
  <c r="O31" i="115"/>
  <c r="I92" i="144" s="1"/>
  <c r="Q463" i="115"/>
  <c r="O973" i="115"/>
  <c r="O894" i="115"/>
  <c r="Q810" i="115"/>
  <c r="O601" i="115"/>
  <c r="O600" i="115"/>
  <c r="Q470" i="115"/>
  <c r="O227" i="115"/>
  <c r="O523" i="115"/>
  <c r="O378" i="115"/>
  <c r="Q345" i="115"/>
  <c r="Q545" i="115"/>
  <c r="N23" i="115"/>
  <c r="Q253" i="115"/>
  <c r="Q369" i="115"/>
  <c r="O338" i="115"/>
  <c r="Q769" i="115"/>
  <c r="Q649" i="115"/>
  <c r="N10" i="115"/>
  <c r="A25" i="144" s="1"/>
  <c r="E25" i="144" s="1"/>
  <c r="O653" i="115"/>
  <c r="O621" i="115"/>
  <c r="B63" i="119"/>
  <c r="B92" i="119"/>
  <c r="B25" i="118"/>
  <c r="B63" i="139"/>
  <c r="B63" i="135"/>
  <c r="F96" i="135"/>
  <c r="B93" i="139"/>
  <c r="O46" i="115"/>
  <c r="Q523" i="115"/>
  <c r="O967" i="115"/>
  <c r="O546" i="115"/>
  <c r="O690" i="115"/>
  <c r="O361" i="115"/>
  <c r="O755" i="115"/>
  <c r="O369" i="115"/>
  <c r="Q219" i="115"/>
  <c r="O362" i="115"/>
  <c r="O938" i="115"/>
  <c r="O871" i="115"/>
  <c r="O646" i="115"/>
  <c r="O978" i="115"/>
  <c r="O299" i="115"/>
  <c r="O548" i="115"/>
  <c r="Q865" i="115"/>
  <c r="Q646" i="115"/>
  <c r="Q526" i="115"/>
  <c r="Q978" i="115"/>
  <c r="C112" i="140"/>
  <c r="C16" i="112"/>
  <c r="Q459" i="115"/>
  <c r="O257" i="115"/>
  <c r="Q870" i="115"/>
  <c r="O54" i="115"/>
  <c r="Q66" i="115"/>
  <c r="C63" i="78"/>
  <c r="O500" i="115"/>
  <c r="Q419" i="115"/>
  <c r="Q907" i="115"/>
  <c r="O992" i="115"/>
  <c r="O645" i="115"/>
  <c r="Q215" i="115"/>
  <c r="O670" i="115"/>
  <c r="O172" i="115"/>
  <c r="Q380" i="115"/>
  <c r="O10" i="115"/>
  <c r="I25" i="144" s="1"/>
  <c r="Q282" i="115"/>
  <c r="Q947" i="115"/>
  <c r="O799" i="115"/>
  <c r="Q165" i="115"/>
  <c r="Q183" i="115"/>
  <c r="Q765" i="115"/>
  <c r="O939" i="115"/>
  <c r="B93" i="14"/>
  <c r="B63" i="14"/>
  <c r="B57" i="118"/>
  <c r="B61" i="119"/>
  <c r="B63" i="12"/>
  <c r="B64" i="145" s="1"/>
  <c r="B60" i="14"/>
  <c r="B48" i="122"/>
  <c r="F63" i="12"/>
  <c r="F63" i="119" s="1"/>
  <c r="F63" i="118" s="1"/>
  <c r="C71" i="140"/>
  <c r="B99" i="139"/>
  <c r="B61" i="136"/>
  <c r="F63" i="136"/>
  <c r="B57" i="135"/>
  <c r="B21" i="139"/>
  <c r="B25" i="136"/>
  <c r="O537" i="115"/>
  <c r="Q645" i="115"/>
  <c r="Q70" i="115"/>
  <c r="Q670" i="115"/>
  <c r="Q172" i="115"/>
  <c r="O734" i="115"/>
  <c r="O545" i="115"/>
  <c r="O483" i="115"/>
  <c r="B49" i="14"/>
  <c r="Q799" i="115"/>
  <c r="O719" i="115"/>
  <c r="B57" i="119"/>
  <c r="B95" i="122"/>
  <c r="B63" i="118"/>
  <c r="B25" i="12"/>
  <c r="B25" i="145" s="1"/>
  <c r="B60" i="139"/>
  <c r="C74" i="140"/>
  <c r="F96" i="136"/>
  <c r="N25" i="115"/>
  <c r="D115" i="139" s="1"/>
  <c r="B97" i="139"/>
  <c r="C118" i="140"/>
  <c r="B57" i="136"/>
  <c r="B49" i="139"/>
  <c r="B61" i="144"/>
  <c r="O215" i="115"/>
  <c r="Q610" i="115"/>
  <c r="O808" i="115"/>
  <c r="Q393" i="115"/>
  <c r="O380" i="115"/>
  <c r="Q653" i="115"/>
  <c r="O796" i="115"/>
  <c r="O19" i="115"/>
  <c r="I57" i="144" s="1"/>
  <c r="B57" i="12"/>
  <c r="B58" i="145" s="1"/>
  <c r="B61" i="118"/>
  <c r="C118" i="123"/>
  <c r="B97" i="122"/>
  <c r="B25" i="119"/>
  <c r="F96" i="12"/>
  <c r="F96" i="119" s="1"/>
  <c r="F96" i="118" s="1"/>
  <c r="B63" i="136"/>
  <c r="F63" i="135"/>
  <c r="N19" i="115"/>
  <c r="C169" i="78"/>
  <c r="N35" i="115"/>
  <c r="B146" i="14"/>
  <c r="B91" i="118"/>
  <c r="Q546" i="115"/>
  <c r="O785" i="115"/>
  <c r="Q67" i="115"/>
  <c r="Q477" i="115"/>
  <c r="O359" i="115"/>
  <c r="O342" i="115"/>
  <c r="O915" i="115"/>
  <c r="Q714" i="115"/>
  <c r="B103" i="122"/>
  <c r="B24" i="118"/>
  <c r="N9" i="115"/>
  <c r="A24" i="144" s="1"/>
  <c r="C70" i="140"/>
  <c r="B24" i="135"/>
  <c r="O925" i="115"/>
  <c r="O662" i="115"/>
  <c r="O623" i="115"/>
  <c r="O74" i="115"/>
  <c r="B13" i="139"/>
  <c r="Q241" i="115"/>
  <c r="O300" i="115"/>
  <c r="Q553" i="115"/>
  <c r="Q803" i="115"/>
  <c r="C161" i="123"/>
  <c r="F87" i="135"/>
  <c r="C18" i="140"/>
  <c r="O478" i="115"/>
  <c r="O65" i="115"/>
  <c r="Q500" i="115"/>
  <c r="Q283" i="115"/>
  <c r="Q478" i="115"/>
  <c r="Q65" i="115"/>
  <c r="Q530" i="115"/>
  <c r="Q394" i="115"/>
  <c r="Q704" i="115"/>
  <c r="Q976" i="115"/>
  <c r="O509" i="115"/>
  <c r="O455" i="115"/>
  <c r="O137" i="115"/>
  <c r="O384" i="115"/>
  <c r="Q586" i="115"/>
  <c r="O277" i="115"/>
  <c r="O53" i="115"/>
  <c r="O616" i="115"/>
  <c r="C171" i="78"/>
  <c r="B60" i="122"/>
  <c r="C171" i="123"/>
  <c r="Q768" i="115"/>
  <c r="B140" i="14"/>
  <c r="B21" i="119"/>
  <c r="O253" i="115"/>
  <c r="O769" i="115"/>
  <c r="Q967" i="115"/>
  <c r="Q362" i="115"/>
  <c r="Q50" i="115"/>
  <c r="O481" i="115"/>
  <c r="O976" i="115"/>
  <c r="Q871" i="115"/>
  <c r="Q359" i="115"/>
  <c r="C138" i="112"/>
  <c r="B27" i="12"/>
  <c r="B27" i="145" s="1"/>
  <c r="F57" i="12"/>
  <c r="F57" i="119" s="1"/>
  <c r="F57" i="118" s="1"/>
  <c r="F24" i="12"/>
  <c r="F24" i="119" s="1"/>
  <c r="F24" i="118" s="1"/>
  <c r="Q92" i="115"/>
  <c r="O350" i="115"/>
  <c r="B97" i="12"/>
  <c r="B99" i="145" s="1"/>
  <c r="O219" i="115"/>
  <c r="O241" i="115"/>
  <c r="O649" i="115"/>
  <c r="Q350" i="115"/>
  <c r="B17" i="14"/>
  <c r="Q498" i="115"/>
  <c r="O937" i="115"/>
  <c r="Q287" i="115"/>
  <c r="Q754" i="115"/>
  <c r="Q831" i="115"/>
  <c r="Q54" i="115"/>
  <c r="Q175" i="115"/>
  <c r="O295" i="115"/>
  <c r="O758" i="115"/>
  <c r="O753" i="115"/>
  <c r="Q420" i="115"/>
  <c r="Q402" i="115"/>
  <c r="Q925" i="115"/>
  <c r="O590" i="115"/>
  <c r="Q827" i="115"/>
  <c r="O190" i="115"/>
  <c r="Q475" i="115"/>
  <c r="Q626" i="115"/>
  <c r="O763" i="115"/>
  <c r="B145" i="122"/>
  <c r="C16" i="123"/>
  <c r="F24" i="136"/>
  <c r="Q657" i="115"/>
  <c r="Q763" i="115"/>
  <c r="Q329" i="115"/>
  <c r="C22" i="123"/>
  <c r="Q422" i="115"/>
  <c r="O812" i="115"/>
  <c r="Q297" i="115"/>
  <c r="O278" i="115"/>
  <c r="Q901" i="115"/>
  <c r="Q883" i="115"/>
  <c r="B58" i="122"/>
  <c r="B50" i="122"/>
  <c r="F54" i="144"/>
  <c r="C66" i="78"/>
  <c r="N592" i="115"/>
  <c r="Q592" i="115"/>
  <c r="N78" i="115"/>
  <c r="Q78" i="115"/>
  <c r="N497" i="115"/>
  <c r="Q497" i="115"/>
  <c r="N790" i="115"/>
  <c r="O790" i="115"/>
  <c r="B20" i="118"/>
  <c r="B9" i="14"/>
  <c r="N948" i="115"/>
  <c r="Q948" i="115"/>
  <c r="O948" i="115"/>
  <c r="N228" i="115"/>
  <c r="Q228" i="115"/>
  <c r="N853" i="115"/>
  <c r="O853" i="115"/>
  <c r="N868" i="115"/>
  <c r="O868" i="115"/>
  <c r="A96" i="112"/>
  <c r="D114" i="14"/>
  <c r="G96" i="112"/>
  <c r="N79" i="115"/>
  <c r="Q79" i="115"/>
  <c r="O79" i="115"/>
  <c r="N207" i="115"/>
  <c r="Q207" i="115"/>
  <c r="O207" i="115"/>
  <c r="N262" i="115"/>
  <c r="O262" i="115"/>
  <c r="N326" i="115"/>
  <c r="Q326" i="115"/>
  <c r="O326" i="115"/>
  <c r="N994" i="115"/>
  <c r="O994" i="115"/>
  <c r="N991" i="115"/>
  <c r="Q991" i="115"/>
  <c r="N358" i="115"/>
  <c r="Q358" i="115"/>
  <c r="O358" i="115"/>
  <c r="N958" i="115"/>
  <c r="O958" i="115"/>
  <c r="F27" i="144"/>
  <c r="N426" i="115"/>
  <c r="O426" i="115"/>
  <c r="N944" i="115"/>
  <c r="Q944" i="115"/>
  <c r="O944" i="115"/>
  <c r="N800" i="115"/>
  <c r="Q800" i="115"/>
  <c r="N880" i="115"/>
  <c r="Q880" i="115"/>
  <c r="N609" i="115"/>
  <c r="O609" i="115"/>
  <c r="N311" i="115"/>
  <c r="Q311" i="115"/>
  <c r="N665" i="115"/>
  <c r="Q665" i="115"/>
  <c r="N847" i="115"/>
  <c r="Q847" i="115"/>
  <c r="N570" i="115"/>
  <c r="Q570" i="115"/>
  <c r="O570" i="115"/>
  <c r="N506" i="115"/>
  <c r="Q506" i="115"/>
  <c r="N650" i="115"/>
  <c r="O650" i="115"/>
  <c r="N869" i="115"/>
  <c r="Q869" i="115"/>
  <c r="N105" i="115"/>
  <c r="Q105" i="115"/>
  <c r="O105" i="115"/>
  <c r="N370" i="115"/>
  <c r="O370" i="115"/>
  <c r="N910" i="115"/>
  <c r="Q910" i="115"/>
  <c r="N435" i="115"/>
  <c r="O435" i="115"/>
  <c r="N588" i="115"/>
  <c r="Q588" i="115"/>
  <c r="B18" i="144"/>
  <c r="B18" i="12"/>
  <c r="B18" i="145" s="1"/>
  <c r="B7" i="139"/>
  <c r="B18" i="118"/>
  <c r="O3" i="115"/>
  <c r="I18" i="144" s="1"/>
  <c r="B96" i="144"/>
  <c r="B96" i="12"/>
  <c r="B98" i="145" s="1"/>
  <c r="N51" i="115"/>
  <c r="O51" i="115"/>
  <c r="N211" i="115"/>
  <c r="O211" i="115"/>
  <c r="N259" i="115"/>
  <c r="O259" i="115"/>
  <c r="N41" i="115"/>
  <c r="A143" i="112" s="1"/>
  <c r="Q41" i="115"/>
  <c r="N89" i="115"/>
  <c r="O89" i="115"/>
  <c r="C169" i="140"/>
  <c r="B143" i="139"/>
  <c r="B143" i="14"/>
  <c r="N122" i="115"/>
  <c r="Q122" i="115"/>
  <c r="N196" i="115"/>
  <c r="Q196" i="115"/>
  <c r="N845" i="115"/>
  <c r="Q845" i="115"/>
  <c r="N707" i="115"/>
  <c r="O707" i="115"/>
  <c r="N602" i="115"/>
  <c r="Q602" i="115"/>
  <c r="N739" i="115"/>
  <c r="O739" i="115"/>
  <c r="N529" i="115"/>
  <c r="Q529" i="115"/>
  <c r="O529" i="115"/>
  <c r="B146" i="139"/>
  <c r="N685" i="115"/>
  <c r="Q685" i="115"/>
  <c r="O685" i="115"/>
  <c r="N302" i="115"/>
  <c r="Q302" i="115"/>
  <c r="N666" i="115"/>
  <c r="O666" i="115"/>
  <c r="N787" i="115"/>
  <c r="Q787" i="115"/>
  <c r="O787" i="115"/>
  <c r="N247" i="115"/>
  <c r="Q247" i="115"/>
  <c r="O247" i="115"/>
  <c r="N606" i="115"/>
  <c r="Q606" i="115"/>
  <c r="N922" i="115"/>
  <c r="O922" i="115"/>
  <c r="C23" i="140"/>
  <c r="B20" i="122"/>
  <c r="N144" i="115"/>
  <c r="Q144" i="115"/>
  <c r="B91" i="136"/>
  <c r="B136" i="122"/>
  <c r="B91" i="12"/>
  <c r="B93" i="145" s="1"/>
  <c r="O30" i="115"/>
  <c r="I91" i="136" s="1"/>
  <c r="C102" i="112"/>
  <c r="B91" i="119"/>
  <c r="B139" i="14"/>
  <c r="N132" i="115"/>
  <c r="Q132" i="115"/>
  <c r="N454" i="115"/>
  <c r="Q454" i="115"/>
  <c r="O850" i="115"/>
  <c r="O497" i="115"/>
  <c r="O594" i="115"/>
  <c r="C137" i="112"/>
  <c r="N648" i="115"/>
  <c r="O648" i="115"/>
  <c r="N897" i="115"/>
  <c r="O897" i="115"/>
  <c r="Q482" i="115"/>
  <c r="Q332" i="115"/>
  <c r="O636" i="115"/>
  <c r="O935" i="115"/>
  <c r="Q846" i="115"/>
  <c r="Q731" i="115"/>
  <c r="O614" i="115"/>
  <c r="Q190" i="115"/>
  <c r="Q342" i="115"/>
  <c r="O558" i="115"/>
  <c r="O279" i="115"/>
  <c r="Q849" i="115"/>
  <c r="B94" i="14"/>
  <c r="Q275" i="115"/>
  <c r="Q812" i="115"/>
  <c r="Q53" i="115"/>
  <c r="Q278" i="115"/>
  <c r="O12" i="115"/>
  <c r="I27" i="144" s="1"/>
  <c r="Q74" i="115"/>
  <c r="Q204" i="115"/>
  <c r="Q923" i="115"/>
  <c r="O584" i="115"/>
  <c r="C70" i="123"/>
  <c r="B27" i="118"/>
  <c r="B54" i="119"/>
  <c r="B58" i="119"/>
  <c r="C16" i="140"/>
  <c r="F57" i="136"/>
  <c r="B54" i="136"/>
  <c r="B58" i="136"/>
  <c r="B58" i="144"/>
  <c r="Q260" i="115"/>
  <c r="O16" i="115"/>
  <c r="I54" i="144" s="1"/>
  <c r="O677" i="115"/>
  <c r="Q636" i="115"/>
  <c r="O287" i="115"/>
  <c r="Q935" i="115"/>
  <c r="Q346" i="115"/>
  <c r="Q662" i="115"/>
  <c r="O657" i="115"/>
  <c r="O827" i="115"/>
  <c r="Q614" i="115"/>
  <c r="O422" i="115"/>
  <c r="O865" i="115"/>
  <c r="O626" i="115"/>
  <c r="Q558" i="115"/>
  <c r="Q279" i="115"/>
  <c r="O959" i="115"/>
  <c r="O950" i="115"/>
  <c r="O67" i="115"/>
  <c r="O451" i="115"/>
  <c r="O477" i="115"/>
  <c r="O297" i="115"/>
  <c r="Q379" i="115"/>
  <c r="B51" i="14"/>
  <c r="O901" i="115"/>
  <c r="O883" i="115"/>
  <c r="Q584" i="115"/>
  <c r="O329" i="115"/>
  <c r="C112" i="123"/>
  <c r="B19" i="122"/>
  <c r="B59" i="14"/>
  <c r="B27" i="119"/>
  <c r="B54" i="122"/>
  <c r="B92" i="122"/>
  <c r="F57" i="135"/>
  <c r="B55" i="139"/>
  <c r="B58" i="135"/>
  <c r="N16" i="115"/>
  <c r="A54" i="144" s="1"/>
  <c r="H54" i="144" s="1"/>
  <c r="O553" i="115"/>
  <c r="O92" i="115"/>
  <c r="O803" i="115"/>
  <c r="O379" i="115"/>
  <c r="O204" i="115"/>
  <c r="B97" i="118"/>
  <c r="O579" i="115"/>
  <c r="O986" i="115"/>
  <c r="Q441" i="115"/>
  <c r="Q572" i="115"/>
  <c r="F25" i="135"/>
  <c r="N3" i="115"/>
  <c r="A18" i="144" s="1"/>
  <c r="E18" i="144" s="1"/>
  <c r="B20" i="139"/>
  <c r="N30" i="115"/>
  <c r="A91" i="144" s="1"/>
  <c r="B91" i="144"/>
  <c r="O78" i="115"/>
  <c r="Q594" i="115"/>
  <c r="O768" i="115"/>
  <c r="O633" i="115"/>
  <c r="O678" i="115"/>
  <c r="O720" i="115"/>
  <c r="Q893" i="115"/>
  <c r="O836" i="115"/>
  <c r="Q412" i="115"/>
  <c r="B18" i="119"/>
  <c r="B96" i="119"/>
  <c r="B18" i="135"/>
  <c r="B96" i="135"/>
  <c r="C172" i="140"/>
  <c r="B91" i="135"/>
  <c r="O146" i="115"/>
  <c r="O331" i="115"/>
  <c r="O311" i="115"/>
  <c r="O466" i="115"/>
  <c r="O931" i="115"/>
  <c r="O611" i="115"/>
  <c r="B7" i="122"/>
  <c r="C60" i="123"/>
  <c r="C169" i="123"/>
  <c r="F25" i="12"/>
  <c r="F25" i="119" s="1"/>
  <c r="F25" i="118" s="1"/>
  <c r="B18" i="136"/>
  <c r="B96" i="136"/>
  <c r="O921" i="115"/>
  <c r="Q897" i="115"/>
  <c r="O993" i="115"/>
  <c r="O918" i="115"/>
  <c r="O6" i="115"/>
  <c r="I21" i="144" s="1"/>
  <c r="Q684" i="115"/>
  <c r="Q796" i="115"/>
  <c r="Q939" i="115"/>
  <c r="O398" i="115"/>
  <c r="B92" i="12"/>
  <c r="B94" i="145" s="1"/>
  <c r="B10" i="122"/>
  <c r="B137" i="122"/>
  <c r="F60" i="12"/>
  <c r="F60" i="119" s="1"/>
  <c r="F60" i="118" s="1"/>
  <c r="C14" i="140"/>
  <c r="Q921" i="115"/>
  <c r="O187" i="115"/>
  <c r="Q993" i="115"/>
  <c r="O70" i="115"/>
  <c r="O781" i="115"/>
  <c r="Q808" i="115"/>
  <c r="O345" i="115"/>
  <c r="O393" i="115"/>
  <c r="O625" i="115"/>
  <c r="Q918" i="115"/>
  <c r="Q834" i="115"/>
  <c r="O87" i="115"/>
  <c r="O448" i="115"/>
  <c r="O663" i="115"/>
  <c r="O736" i="115"/>
  <c r="O715" i="115"/>
  <c r="Q398" i="115"/>
  <c r="B21" i="12"/>
  <c r="B21" i="145" s="1"/>
  <c r="F22" i="12"/>
  <c r="F22" i="119" s="1"/>
  <c r="F22" i="118" s="1"/>
  <c r="Q187" i="115"/>
  <c r="Q781" i="115"/>
  <c r="Q625" i="115"/>
  <c r="Q87" i="115"/>
  <c r="Q448" i="115"/>
  <c r="Q663" i="115"/>
  <c r="O165" i="115"/>
  <c r="O183" i="115"/>
  <c r="Q360" i="115"/>
  <c r="O765" i="115"/>
  <c r="Q715" i="115"/>
  <c r="O643" i="115"/>
  <c r="C115" i="123"/>
  <c r="B21" i="118"/>
  <c r="O585" i="115"/>
  <c r="B19" i="139"/>
  <c r="O834" i="115"/>
  <c r="Q585" i="115"/>
  <c r="O360" i="115"/>
  <c r="C21" i="123"/>
  <c r="C117" i="123"/>
  <c r="C60" i="140"/>
  <c r="F24" i="135"/>
  <c r="O595" i="115"/>
  <c r="O816" i="115"/>
  <c r="Q793" i="115"/>
  <c r="Q510" i="115"/>
  <c r="O999" i="115"/>
  <c r="O252" i="115"/>
  <c r="O991" i="115"/>
  <c r="Q958" i="115"/>
  <c r="Q609" i="115"/>
  <c r="Q418" i="115"/>
  <c r="Q900" i="115"/>
  <c r="O110" i="115"/>
  <c r="O111" i="115"/>
  <c r="O757" i="115"/>
  <c r="O773" i="115"/>
  <c r="Q168" i="115"/>
  <c r="Q698" i="115"/>
  <c r="O694" i="115"/>
  <c r="O913" i="115"/>
  <c r="Q117" i="115"/>
  <c r="O119" i="115"/>
  <c r="Q696" i="115"/>
  <c r="O213" i="115"/>
  <c r="Q835" i="115"/>
  <c r="B97" i="119"/>
  <c r="F27" i="12"/>
  <c r="F27" i="119" s="1"/>
  <c r="F27" i="118" s="1"/>
  <c r="C62" i="140"/>
  <c r="O575" i="115"/>
  <c r="Q917" i="115"/>
  <c r="O875" i="115"/>
  <c r="O893" i="115"/>
  <c r="Q110" i="115"/>
  <c r="Q111" i="115"/>
  <c r="Q773" i="115"/>
  <c r="O441" i="115"/>
  <c r="Q694" i="115"/>
  <c r="O800" i="115"/>
  <c r="Q913" i="115"/>
  <c r="O412" i="115"/>
  <c r="O572" i="115"/>
  <c r="Q119" i="115"/>
  <c r="Q213" i="115"/>
  <c r="C62" i="123"/>
  <c r="Q877" i="115"/>
  <c r="Q634" i="115"/>
  <c r="Q874" i="115"/>
  <c r="Q785" i="115"/>
  <c r="Q987" i="115"/>
  <c r="Q718" i="115"/>
  <c r="Q986" i="115"/>
  <c r="O168" i="115"/>
  <c r="O698" i="115"/>
  <c r="Q466" i="115"/>
  <c r="O117" i="115"/>
  <c r="O696" i="115"/>
  <c r="Q994" i="115"/>
  <c r="Q931" i="115"/>
  <c r="Q611" i="115"/>
  <c r="O835" i="115"/>
  <c r="A62" i="119"/>
  <c r="E62" i="119" s="1"/>
  <c r="B27" i="136"/>
  <c r="B8" i="14"/>
  <c r="Q595" i="115"/>
  <c r="O472" i="115"/>
  <c r="O459" i="115"/>
  <c r="O514" i="115"/>
  <c r="O824" i="115"/>
  <c r="O576" i="115"/>
  <c r="O526" i="115"/>
  <c r="O134" i="115"/>
  <c r="O44" i="115"/>
  <c r="O603" i="115"/>
  <c r="O294" i="115"/>
  <c r="O924" i="115"/>
  <c r="O577" i="115"/>
  <c r="O933" i="115"/>
  <c r="O672" i="115"/>
  <c r="O507" i="115"/>
  <c r="O914" i="115"/>
  <c r="Q142" i="115"/>
  <c r="Q842" i="115"/>
  <c r="O382" i="115"/>
  <c r="Q940" i="115"/>
  <c r="Q548" i="115"/>
  <c r="Q575" i="115"/>
  <c r="Q999" i="115"/>
  <c r="O224" i="115"/>
  <c r="O961" i="115"/>
  <c r="Q927" i="115"/>
  <c r="Q895" i="115"/>
  <c r="O704" i="115"/>
  <c r="Q125" i="115"/>
  <c r="Q829" i="115"/>
  <c r="Q566" i="115"/>
  <c r="Q141" i="115"/>
  <c r="Q912" i="115"/>
  <c r="Q671" i="115"/>
  <c r="Q902" i="115"/>
  <c r="Q908" i="115"/>
  <c r="O851" i="115"/>
  <c r="O325" i="115"/>
  <c r="O622" i="115"/>
  <c r="O658" i="115"/>
  <c r="O90" i="115"/>
  <c r="O811" i="115"/>
  <c r="Q757" i="115"/>
  <c r="Q509" i="115"/>
  <c r="Q361" i="115"/>
  <c r="Q455" i="115"/>
  <c r="Q487" i="115"/>
  <c r="Q137" i="115"/>
  <c r="Q300" i="115"/>
  <c r="Q384" i="115"/>
  <c r="Q748" i="115"/>
  <c r="Q762" i="115"/>
  <c r="O349" i="115"/>
  <c r="Q277" i="115"/>
  <c r="O554" i="115"/>
  <c r="O837" i="115"/>
  <c r="O904" i="115"/>
  <c r="Q616" i="115"/>
  <c r="Q860" i="115"/>
  <c r="B148" i="14"/>
  <c r="C161" i="78"/>
  <c r="F25" i="136"/>
  <c r="F87" i="136"/>
  <c r="F27" i="135"/>
  <c r="O877" i="115"/>
  <c r="O673" i="115"/>
  <c r="Q224" i="115"/>
  <c r="O805" i="115"/>
  <c r="Q622" i="115"/>
  <c r="Q658" i="115"/>
  <c r="Q90" i="115"/>
  <c r="Q811" i="115"/>
  <c r="O544" i="115"/>
  <c r="O333" i="115"/>
  <c r="O721" i="115"/>
  <c r="O966" i="115"/>
  <c r="O703" i="115"/>
  <c r="O652" i="115"/>
  <c r="O738" i="115"/>
  <c r="O381" i="115"/>
  <c r="O586" i="115"/>
  <c r="O582" i="115"/>
  <c r="Q349" i="115"/>
  <c r="O116" i="115"/>
  <c r="O131" i="115"/>
  <c r="Q554" i="115"/>
  <c r="Q837" i="115"/>
  <c r="Q904" i="115"/>
  <c r="O638" i="115"/>
  <c r="C174" i="78"/>
  <c r="F87" i="12"/>
  <c r="F87" i="119" s="1"/>
  <c r="F87" i="118" s="1"/>
  <c r="C161" i="140"/>
  <c r="F27" i="136"/>
  <c r="O634" i="115"/>
  <c r="O66" i="115"/>
  <c r="O874" i="115"/>
  <c r="O917" i="115"/>
  <c r="O900" i="115"/>
  <c r="Q544" i="115"/>
  <c r="Q333" i="115"/>
  <c r="Q721" i="115"/>
  <c r="Q966" i="115"/>
  <c r="Q703" i="115"/>
  <c r="Q738" i="115"/>
  <c r="Q116" i="115"/>
  <c r="Q131" i="115"/>
  <c r="Q638" i="115"/>
  <c r="O780" i="115"/>
  <c r="O493" i="115"/>
  <c r="O557" i="115"/>
  <c r="C65" i="140"/>
  <c r="N31" i="115"/>
  <c r="A92" i="135" s="1"/>
  <c r="F60" i="136"/>
  <c r="N6" i="115"/>
  <c r="A21" i="144" s="1"/>
  <c r="E21" i="144" s="1"/>
  <c r="B148" i="139"/>
  <c r="F60" i="135"/>
  <c r="B21" i="135"/>
  <c r="B92" i="135"/>
  <c r="B92" i="144"/>
  <c r="Q736" i="115"/>
  <c r="C115" i="140"/>
  <c r="F22" i="136"/>
  <c r="B21" i="136"/>
  <c r="B92" i="136"/>
  <c r="F22" i="135"/>
  <c r="B10" i="139"/>
  <c r="B140" i="139"/>
  <c r="F92" i="135"/>
  <c r="F98" i="12"/>
  <c r="F98" i="119" s="1"/>
  <c r="F98" i="118" s="1"/>
  <c r="C174" i="140"/>
  <c r="F98" i="135"/>
  <c r="Q45" i="115"/>
  <c r="Q899" i="115"/>
  <c r="Q818" i="115"/>
  <c r="O981" i="115"/>
  <c r="B18" i="122"/>
  <c r="C167" i="123"/>
  <c r="C21" i="140"/>
  <c r="B27" i="135"/>
  <c r="O235" i="115"/>
  <c r="O519" i="115"/>
  <c r="C166" i="123"/>
  <c r="C166" i="140"/>
  <c r="B51" i="139"/>
  <c r="Q826" i="115"/>
  <c r="O899" i="115"/>
  <c r="O818" i="115"/>
  <c r="C166" i="78"/>
  <c r="C65" i="123"/>
  <c r="F53" i="12"/>
  <c r="F53" i="119" s="1"/>
  <c r="F53" i="118" s="1"/>
  <c r="N12" i="115"/>
  <c r="A27" i="144" s="1"/>
  <c r="F92" i="144"/>
  <c r="F92" i="136"/>
  <c r="F98" i="136"/>
  <c r="F53" i="136"/>
  <c r="F53" i="135"/>
  <c r="A62" i="144"/>
  <c r="E62" i="144" s="1"/>
  <c r="A87" i="144"/>
  <c r="E87" i="144" s="1"/>
  <c r="A57" i="144"/>
  <c r="H57" i="144" s="1"/>
  <c r="A88" i="144"/>
  <c r="H88" i="144" s="1"/>
  <c r="A58" i="144"/>
  <c r="E58" i="144" s="1"/>
  <c r="A89" i="144"/>
  <c r="H89" i="144" s="1"/>
  <c r="C67" i="123"/>
  <c r="B17" i="122"/>
  <c r="F55" i="12"/>
  <c r="F55" i="119" s="1"/>
  <c r="F55" i="118" s="1"/>
  <c r="C162" i="78"/>
  <c r="F90" i="144"/>
  <c r="A94" i="144"/>
  <c r="H94" i="144" s="1"/>
  <c r="A56" i="144"/>
  <c r="H56" i="144" s="1"/>
  <c r="A61" i="144"/>
  <c r="H61" i="144" s="1"/>
  <c r="A90" i="144"/>
  <c r="H90" i="144" s="1"/>
  <c r="F62" i="144"/>
  <c r="A93" i="144"/>
  <c r="H93" i="144" s="1"/>
  <c r="A60" i="144"/>
  <c r="H60" i="144" s="1"/>
  <c r="A59" i="144"/>
  <c r="E59" i="144" s="1"/>
  <c r="C19" i="123"/>
  <c r="Q851" i="115"/>
  <c r="Q579" i="115"/>
  <c r="Q836" i="115"/>
  <c r="O495" i="115"/>
  <c r="O254" i="115"/>
  <c r="O675" i="115"/>
  <c r="D112" i="122"/>
  <c r="O236" i="115"/>
  <c r="Q495" i="115"/>
  <c r="Q254" i="115"/>
  <c r="Q675" i="115"/>
  <c r="E112" i="122"/>
  <c r="Q633" i="115"/>
  <c r="Q678" i="115"/>
  <c r="Q850" i="115"/>
  <c r="Q720" i="115"/>
  <c r="Q146" i="115"/>
  <c r="Q325" i="115"/>
  <c r="Q236" i="115"/>
  <c r="A62" i="118"/>
  <c r="E62" i="118" s="1"/>
  <c r="B112" i="122"/>
  <c r="B8" i="122"/>
  <c r="B19" i="144"/>
  <c r="F94" i="144"/>
  <c r="F93" i="144"/>
  <c r="H95" i="144"/>
  <c r="E95" i="144"/>
  <c r="H24" i="144"/>
  <c r="E24" i="144"/>
  <c r="H53" i="144"/>
  <c r="E53" i="144"/>
  <c r="C162" i="123"/>
  <c r="F88" i="144"/>
  <c r="C64" i="123"/>
  <c r="F52" i="144"/>
  <c r="C15" i="123"/>
  <c r="F23" i="144"/>
  <c r="H98" i="144"/>
  <c r="E98" i="144"/>
  <c r="I17" i="144"/>
  <c r="B20" i="12"/>
  <c r="B20" i="145" s="1"/>
  <c r="B20" i="144"/>
  <c r="H22" i="144"/>
  <c r="E22" i="144"/>
  <c r="H28" i="144"/>
  <c r="E28" i="144"/>
  <c r="H55" i="144"/>
  <c r="E55" i="144"/>
  <c r="H23" i="144"/>
  <c r="E23" i="144"/>
  <c r="H26" i="144"/>
  <c r="E26" i="144"/>
  <c r="H52" i="144"/>
  <c r="E52" i="144"/>
  <c r="Q335" i="115"/>
  <c r="Q981" i="115"/>
  <c r="C167" i="78"/>
  <c r="C168" i="78"/>
  <c r="C168" i="123"/>
  <c r="Q299" i="115"/>
  <c r="Q673" i="115"/>
  <c r="Q961" i="115"/>
  <c r="O335" i="115"/>
  <c r="Q235" i="115"/>
  <c r="Q355" i="115"/>
  <c r="O45" i="115"/>
  <c r="B19" i="118"/>
  <c r="O957" i="115"/>
  <c r="Q519" i="115"/>
  <c r="O355" i="115"/>
  <c r="O774" i="115"/>
  <c r="O404" i="115"/>
  <c r="F52" i="12"/>
  <c r="F52" i="119" s="1"/>
  <c r="F52" i="118" s="1"/>
  <c r="F88" i="12"/>
  <c r="F88" i="119" s="1"/>
  <c r="F88" i="118" s="1"/>
  <c r="Q285" i="115"/>
  <c r="Q957" i="115"/>
  <c r="B90" i="141"/>
  <c r="B90" i="142"/>
  <c r="B55" i="142"/>
  <c r="B55" i="141"/>
  <c r="B23" i="141"/>
  <c r="B23" i="142"/>
  <c r="B61" i="141"/>
  <c r="B61" i="142"/>
  <c r="A95" i="142"/>
  <c r="A95" i="141"/>
  <c r="B96" i="142"/>
  <c r="B96" i="141"/>
  <c r="B97" i="142"/>
  <c r="B97" i="141"/>
  <c r="B100" i="142"/>
  <c r="B100" i="141"/>
  <c r="B17" i="142"/>
  <c r="B17" i="141"/>
  <c r="B22" i="141"/>
  <c r="B22" i="142"/>
  <c r="B56" i="142"/>
  <c r="B56" i="141"/>
  <c r="B63" i="142"/>
  <c r="B63" i="141"/>
  <c r="B89" i="142"/>
  <c r="B89" i="141"/>
  <c r="B28" i="142"/>
  <c r="B28" i="141"/>
  <c r="B57" i="142"/>
  <c r="B57" i="141"/>
  <c r="B60" i="142"/>
  <c r="B60" i="141"/>
  <c r="B26" i="141"/>
  <c r="B26" i="142"/>
  <c r="B92" i="142"/>
  <c r="B92" i="141"/>
  <c r="B91" i="142"/>
  <c r="B91" i="141"/>
  <c r="B95" i="142"/>
  <c r="B95" i="141"/>
  <c r="B54" i="142"/>
  <c r="B54" i="141"/>
  <c r="B53" i="142"/>
  <c r="B53" i="141"/>
  <c r="B96" i="137"/>
  <c r="B97" i="137"/>
  <c r="B100" i="137"/>
  <c r="B58" i="137"/>
  <c r="B54" i="137"/>
  <c r="B53" i="137"/>
  <c r="B63" i="137"/>
  <c r="F54" i="12"/>
  <c r="F54" i="119" s="1"/>
  <c r="F54" i="118" s="1"/>
  <c r="C66" i="140"/>
  <c r="F54" i="136"/>
  <c r="F54" i="135"/>
  <c r="C170" i="123"/>
  <c r="C170" i="140"/>
  <c r="B144" i="139"/>
  <c r="F28" i="12"/>
  <c r="F28" i="119" s="1"/>
  <c r="F28" i="118" s="1"/>
  <c r="C63" i="140"/>
  <c r="F28" i="135"/>
  <c r="F28" i="136"/>
  <c r="N5" i="115"/>
  <c r="E25" i="14" s="1"/>
  <c r="B20" i="135"/>
  <c r="B9" i="139"/>
  <c r="B20" i="136"/>
  <c r="F95" i="12"/>
  <c r="F95" i="119" s="1"/>
  <c r="F95" i="118" s="1"/>
  <c r="F95" i="136"/>
  <c r="F95" i="135"/>
  <c r="B114" i="139"/>
  <c r="E114" i="139"/>
  <c r="D114" i="139"/>
  <c r="A62" i="136"/>
  <c r="A62" i="135"/>
  <c r="D27" i="139"/>
  <c r="B27" i="139"/>
  <c r="E27" i="139"/>
  <c r="A22" i="135"/>
  <c r="A22" i="136"/>
  <c r="B151" i="139"/>
  <c r="E151" i="139"/>
  <c r="D151" i="139"/>
  <c r="A87" i="136"/>
  <c r="A87" i="135"/>
  <c r="E109" i="139"/>
  <c r="D109" i="139"/>
  <c r="B109" i="139"/>
  <c r="A57" i="136"/>
  <c r="A57" i="135"/>
  <c r="D152" i="139"/>
  <c r="B152" i="139"/>
  <c r="E152" i="139"/>
  <c r="A88" i="136"/>
  <c r="A88" i="135"/>
  <c r="E68" i="139"/>
  <c r="D68" i="139"/>
  <c r="B68" i="139"/>
  <c r="A28" i="136"/>
  <c r="A28" i="135"/>
  <c r="E72" i="139"/>
  <c r="D72" i="139"/>
  <c r="B72" i="139"/>
  <c r="A55" i="136"/>
  <c r="A55" i="135"/>
  <c r="E28" i="139"/>
  <c r="D28" i="139"/>
  <c r="B28" i="139"/>
  <c r="A23" i="136"/>
  <c r="A23" i="135"/>
  <c r="B110" i="139"/>
  <c r="E110" i="139"/>
  <c r="D110" i="139"/>
  <c r="A58" i="136"/>
  <c r="A58" i="135"/>
  <c r="D66" i="139"/>
  <c r="B66" i="139"/>
  <c r="E66" i="139"/>
  <c r="A26" i="136"/>
  <c r="A26" i="135"/>
  <c r="B69" i="139"/>
  <c r="E69" i="139"/>
  <c r="D69" i="139"/>
  <c r="A52" i="136"/>
  <c r="A52" i="135"/>
  <c r="I97" i="136"/>
  <c r="I97" i="135"/>
  <c r="I88" i="136"/>
  <c r="I88" i="135"/>
  <c r="B15" i="133"/>
  <c r="B15" i="134"/>
  <c r="I28" i="136"/>
  <c r="I28" i="135"/>
  <c r="I59" i="136"/>
  <c r="I59" i="135"/>
  <c r="I87" i="136"/>
  <c r="I87" i="135"/>
  <c r="I55" i="136"/>
  <c r="I55" i="135"/>
  <c r="I58" i="136"/>
  <c r="I58" i="135"/>
  <c r="I26" i="136"/>
  <c r="I26" i="135"/>
  <c r="I52" i="136"/>
  <c r="I52" i="135"/>
  <c r="O934" i="115"/>
  <c r="I90" i="136"/>
  <c r="I90" i="135"/>
  <c r="B89" i="137"/>
  <c r="B99" i="137"/>
  <c r="B55" i="137"/>
  <c r="B23" i="137"/>
  <c r="B61" i="137"/>
  <c r="I62" i="119"/>
  <c r="I62" i="135"/>
  <c r="I62" i="136"/>
  <c r="N4" i="115"/>
  <c r="A19" i="119" s="1"/>
  <c r="B8" i="139"/>
  <c r="B19" i="136"/>
  <c r="B19" i="135"/>
  <c r="F94" i="12"/>
  <c r="F94" i="119" s="1"/>
  <c r="F94" i="118" s="1"/>
  <c r="C168" i="140"/>
  <c r="F94" i="136"/>
  <c r="F94" i="135"/>
  <c r="F93" i="12"/>
  <c r="F93" i="119" s="1"/>
  <c r="F93" i="118" s="1"/>
  <c r="C167" i="140"/>
  <c r="F93" i="136"/>
  <c r="F93" i="135"/>
  <c r="B22" i="139"/>
  <c r="E22" i="139"/>
  <c r="A17" i="136"/>
  <c r="E17" i="136" s="1"/>
  <c r="A17" i="135"/>
  <c r="E17" i="135" s="1"/>
  <c r="A95" i="136"/>
  <c r="A95" i="135"/>
  <c r="E29" i="139"/>
  <c r="D29" i="139"/>
  <c r="B29" i="139"/>
  <c r="A24" i="136"/>
  <c r="A24" i="135"/>
  <c r="D70" i="139"/>
  <c r="B70" i="139"/>
  <c r="E70" i="139"/>
  <c r="A53" i="136"/>
  <c r="A53" i="135"/>
  <c r="I53" i="135"/>
  <c r="I53" i="136"/>
  <c r="I23" i="136"/>
  <c r="I23" i="135"/>
  <c r="I95" i="136"/>
  <c r="I95" i="135"/>
  <c r="I94" i="136"/>
  <c r="I94" i="135"/>
  <c r="I60" i="136"/>
  <c r="I60" i="135"/>
  <c r="I93" i="136"/>
  <c r="I93" i="135"/>
  <c r="B92" i="137"/>
  <c r="B91" i="137"/>
  <c r="B95" i="137"/>
  <c r="B28" i="137"/>
  <c r="B17" i="137"/>
  <c r="B22" i="137"/>
  <c r="B56" i="137"/>
  <c r="C162" i="140"/>
  <c r="F88" i="135"/>
  <c r="F88" i="136"/>
  <c r="F90" i="12"/>
  <c r="F90" i="119" s="1"/>
  <c r="F90" i="118" s="1"/>
  <c r="C164" i="140"/>
  <c r="F90" i="135"/>
  <c r="F90" i="136"/>
  <c r="C64" i="140"/>
  <c r="F52" i="136"/>
  <c r="F52" i="135"/>
  <c r="C15" i="140"/>
  <c r="F23" i="136"/>
  <c r="F23" i="135"/>
  <c r="C19" i="140"/>
  <c r="B16" i="139"/>
  <c r="N36" i="115"/>
  <c r="A138" i="112" s="1"/>
  <c r="B97" i="136"/>
  <c r="B97" i="135"/>
  <c r="E158" i="139"/>
  <c r="D158" i="139"/>
  <c r="B158" i="139"/>
  <c r="A94" i="136"/>
  <c r="A94" i="135"/>
  <c r="E108" i="139"/>
  <c r="D108" i="139"/>
  <c r="B108" i="139"/>
  <c r="A56" i="136"/>
  <c r="A56" i="135"/>
  <c r="E113" i="139"/>
  <c r="D113" i="139"/>
  <c r="B113" i="139"/>
  <c r="A61" i="136"/>
  <c r="A61" i="135"/>
  <c r="E154" i="139"/>
  <c r="D154" i="139"/>
  <c r="B154" i="139"/>
  <c r="A90" i="136"/>
  <c r="A90" i="135"/>
  <c r="A95" i="137"/>
  <c r="B16" i="134"/>
  <c r="B16" i="133"/>
  <c r="I98" i="136"/>
  <c r="I98" i="135"/>
  <c r="I63" i="136"/>
  <c r="I63" i="135"/>
  <c r="I56" i="136"/>
  <c r="I56" i="135"/>
  <c r="I24" i="136"/>
  <c r="I24" i="135"/>
  <c r="I22" i="136"/>
  <c r="I22" i="135"/>
  <c r="I17" i="136"/>
  <c r="I17" i="135"/>
  <c r="O513" i="115"/>
  <c r="O285" i="115"/>
  <c r="Q404" i="115"/>
  <c r="I18" i="136"/>
  <c r="B90" i="137"/>
  <c r="C164" i="123"/>
  <c r="B20" i="119"/>
  <c r="B57" i="137"/>
  <c r="B60" i="137"/>
  <c r="B26" i="137"/>
  <c r="B64" i="137"/>
  <c r="C20" i="140"/>
  <c r="B17" i="139"/>
  <c r="C117" i="140"/>
  <c r="F62" i="136"/>
  <c r="F62" i="135"/>
  <c r="C67" i="140"/>
  <c r="F55" i="136"/>
  <c r="F55" i="135"/>
  <c r="F97" i="12"/>
  <c r="F97" i="119" s="1"/>
  <c r="F97" i="118" s="1"/>
  <c r="F97" i="136"/>
  <c r="F97" i="135"/>
  <c r="E157" i="139"/>
  <c r="D157" i="139"/>
  <c r="B157" i="139"/>
  <c r="A93" i="136"/>
  <c r="A93" i="135"/>
  <c r="E112" i="139"/>
  <c r="D112" i="139"/>
  <c r="B112" i="139"/>
  <c r="A60" i="136"/>
  <c r="A60" i="135"/>
  <c r="D111" i="139"/>
  <c r="B111" i="139"/>
  <c r="E111" i="139"/>
  <c r="A59" i="136"/>
  <c r="A59" i="135"/>
  <c r="A98" i="136"/>
  <c r="A98" i="135"/>
  <c r="C164" i="78"/>
  <c r="Q513" i="115"/>
  <c r="Q774" i="115"/>
  <c r="Q934" i="115"/>
  <c r="B9" i="122"/>
  <c r="C170" i="78"/>
  <c r="C63" i="123"/>
  <c r="B141" i="122"/>
  <c r="O826" i="115"/>
  <c r="B19" i="12"/>
  <c r="B19" i="145" s="1"/>
  <c r="O4" i="115"/>
  <c r="B144" i="14"/>
  <c r="O5" i="115"/>
  <c r="I20" i="144" s="1"/>
  <c r="C66" i="123"/>
  <c r="A95" i="130"/>
  <c r="A95" i="129"/>
  <c r="B96" i="130"/>
  <c r="B96" i="129"/>
  <c r="B97" i="130"/>
  <c r="B97" i="129"/>
  <c r="B100" i="130"/>
  <c r="B100" i="129"/>
  <c r="B58" i="130"/>
  <c r="B22" i="129"/>
  <c r="B22" i="130"/>
  <c r="B56" i="130"/>
  <c r="B56" i="129"/>
  <c r="B63" i="129"/>
  <c r="B63" i="130"/>
  <c r="B89" i="130"/>
  <c r="B89" i="129"/>
  <c r="B95" i="129"/>
  <c r="B95" i="130"/>
  <c r="B28" i="130"/>
  <c r="B28" i="129"/>
  <c r="B92" i="130"/>
  <c r="B92" i="129"/>
  <c r="B91" i="129"/>
  <c r="B91" i="130"/>
  <c r="B17" i="130"/>
  <c r="B17" i="129"/>
  <c r="B90" i="129"/>
  <c r="B90" i="130"/>
  <c r="B57" i="130"/>
  <c r="B57" i="129"/>
  <c r="B60" i="130"/>
  <c r="B60" i="129"/>
  <c r="B26" i="129"/>
  <c r="B26" i="130"/>
  <c r="B55" i="129"/>
  <c r="B55" i="130"/>
  <c r="B23" i="129"/>
  <c r="B23" i="130"/>
  <c r="B61" i="130"/>
  <c r="B61" i="129"/>
  <c r="B54" i="130"/>
  <c r="B54" i="129"/>
  <c r="B53" i="130"/>
  <c r="B53" i="129"/>
  <c r="I62" i="118"/>
  <c r="B15" i="124"/>
  <c r="B15" i="126"/>
  <c r="B16" i="124"/>
  <c r="B16" i="126"/>
  <c r="I95" i="118"/>
  <c r="I95" i="12"/>
  <c r="I95" i="119"/>
  <c r="I98" i="12"/>
  <c r="I98" i="119"/>
  <c r="I98" i="118"/>
  <c r="I94" i="119"/>
  <c r="I94" i="118"/>
  <c r="I94" i="12"/>
  <c r="I91" i="118"/>
  <c r="I90" i="119"/>
  <c r="I90" i="118"/>
  <c r="I90" i="12"/>
  <c r="I88" i="118"/>
  <c r="I88" i="12"/>
  <c r="I88" i="119"/>
  <c r="I97" i="119"/>
  <c r="I97" i="118"/>
  <c r="I97" i="12"/>
  <c r="I93" i="119"/>
  <c r="I93" i="118"/>
  <c r="I93" i="12"/>
  <c r="I23" i="119"/>
  <c r="I23" i="118"/>
  <c r="I53" i="119"/>
  <c r="I53" i="118"/>
  <c r="I87" i="119"/>
  <c r="I87" i="118"/>
  <c r="I56" i="119"/>
  <c r="I56" i="118"/>
  <c r="E149" i="122"/>
  <c r="D149" i="122"/>
  <c r="B149" i="122"/>
  <c r="A88" i="119"/>
  <c r="A88" i="118"/>
  <c r="A95" i="112"/>
  <c r="D111" i="122"/>
  <c r="B111" i="122"/>
  <c r="E111" i="122"/>
  <c r="A61" i="119"/>
  <c r="A61" i="118"/>
  <c r="A62" i="112"/>
  <c r="B108" i="122"/>
  <c r="E108" i="122"/>
  <c r="D108" i="122"/>
  <c r="A58" i="119"/>
  <c r="A58" i="118"/>
  <c r="A56" i="112"/>
  <c r="D68" i="122"/>
  <c r="B68" i="122"/>
  <c r="E68" i="122"/>
  <c r="A52" i="119"/>
  <c r="A52" i="118"/>
  <c r="I17" i="119"/>
  <c r="I17" i="118"/>
  <c r="A94" i="112"/>
  <c r="E110" i="122"/>
  <c r="B110" i="122"/>
  <c r="D110" i="122"/>
  <c r="A60" i="119"/>
  <c r="A60" i="118"/>
  <c r="A61" i="112"/>
  <c r="D107" i="122"/>
  <c r="E107" i="122"/>
  <c r="B107" i="122"/>
  <c r="A57" i="119"/>
  <c r="A57" i="118"/>
  <c r="I28" i="119"/>
  <c r="I28" i="118"/>
  <c r="A21" i="112"/>
  <c r="E29" i="122"/>
  <c r="D29" i="122"/>
  <c r="B29" i="122"/>
  <c r="A24" i="119"/>
  <c r="A24" i="118"/>
  <c r="I58" i="119"/>
  <c r="I58" i="118"/>
  <c r="I52" i="119"/>
  <c r="I52" i="118"/>
  <c r="I60" i="119"/>
  <c r="I60" i="118"/>
  <c r="A63" i="112"/>
  <c r="D109" i="122"/>
  <c r="E109" i="122"/>
  <c r="B109" i="122"/>
  <c r="A59" i="119"/>
  <c r="A59" i="118"/>
  <c r="E113" i="122"/>
  <c r="I24" i="119"/>
  <c r="I24" i="118"/>
  <c r="A19" i="112"/>
  <c r="B27" i="122"/>
  <c r="E27" i="122"/>
  <c r="D27" i="122"/>
  <c r="A22" i="119"/>
  <c r="A22" i="118"/>
  <c r="A59" i="112"/>
  <c r="B71" i="122"/>
  <c r="E71" i="122"/>
  <c r="D71" i="122"/>
  <c r="A55" i="119"/>
  <c r="A55" i="118"/>
  <c r="A23" i="112"/>
  <c r="E65" i="122"/>
  <c r="B65" i="122"/>
  <c r="D65" i="122"/>
  <c r="A26" i="119"/>
  <c r="A26" i="118"/>
  <c r="I18" i="118"/>
  <c r="E154" i="122"/>
  <c r="B154" i="122"/>
  <c r="D154" i="122"/>
  <c r="A93" i="119"/>
  <c r="A93" i="118"/>
  <c r="A55" i="112"/>
  <c r="B67" i="122"/>
  <c r="E67" i="122"/>
  <c r="D67" i="122"/>
  <c r="A28" i="119"/>
  <c r="A28" i="118"/>
  <c r="A20" i="112"/>
  <c r="D28" i="122"/>
  <c r="B28" i="122"/>
  <c r="E28" i="122"/>
  <c r="A23" i="119"/>
  <c r="A23" i="118"/>
  <c r="A95" i="119"/>
  <c r="A95" i="118"/>
  <c r="I59" i="119"/>
  <c r="I59" i="118"/>
  <c r="A98" i="119"/>
  <c r="A98" i="118"/>
  <c r="A57" i="112"/>
  <c r="E69" i="122"/>
  <c r="B69" i="122"/>
  <c r="D69" i="122"/>
  <c r="A53" i="119"/>
  <c r="A53" i="118"/>
  <c r="I63" i="119"/>
  <c r="I63" i="118"/>
  <c r="D148" i="122"/>
  <c r="B148" i="122"/>
  <c r="E148" i="122"/>
  <c r="A87" i="119"/>
  <c r="A87" i="118"/>
  <c r="B155" i="122"/>
  <c r="D155" i="122"/>
  <c r="E155" i="122"/>
  <c r="A94" i="119"/>
  <c r="A94" i="118"/>
  <c r="A60" i="112"/>
  <c r="E106" i="122"/>
  <c r="B106" i="122"/>
  <c r="D106" i="122"/>
  <c r="A56" i="119"/>
  <c r="A56" i="118"/>
  <c r="A96" i="118"/>
  <c r="I22" i="119"/>
  <c r="I22" i="118"/>
  <c r="I55" i="119"/>
  <c r="I55" i="118"/>
  <c r="I26" i="119"/>
  <c r="I26" i="118"/>
  <c r="D22" i="122"/>
  <c r="B22" i="122"/>
  <c r="A17" i="119"/>
  <c r="E17" i="119" s="1"/>
  <c r="A17" i="118"/>
  <c r="E17" i="118" s="1"/>
  <c r="B151" i="122"/>
  <c r="D151" i="122"/>
  <c r="E151" i="122"/>
  <c r="A90" i="119"/>
  <c r="A90" i="118"/>
  <c r="A95" i="12"/>
  <c r="A97" i="145" s="1"/>
  <c r="G136" i="112"/>
  <c r="A136" i="112"/>
  <c r="A98" i="12"/>
  <c r="A100" i="145" s="1"/>
  <c r="G139" i="112"/>
  <c r="A139" i="112"/>
  <c r="A98" i="112"/>
  <c r="B151" i="14"/>
  <c r="D151" i="14"/>
  <c r="E151" i="14"/>
  <c r="G135" i="112"/>
  <c r="A135" i="112"/>
  <c r="E158" i="14"/>
  <c r="D158" i="14"/>
  <c r="B158" i="14"/>
  <c r="G140" i="112"/>
  <c r="A140" i="112"/>
  <c r="A101" i="112"/>
  <c r="E154" i="14"/>
  <c r="D154" i="14"/>
  <c r="B154" i="14"/>
  <c r="G141" i="112"/>
  <c r="A141" i="112"/>
  <c r="A99" i="112"/>
  <c r="E152" i="14"/>
  <c r="D152" i="14"/>
  <c r="B152" i="14"/>
  <c r="G142" i="112"/>
  <c r="A142" i="112"/>
  <c r="E157" i="14"/>
  <c r="D157" i="14"/>
  <c r="B157" i="14"/>
  <c r="G134" i="112"/>
  <c r="A134" i="112"/>
  <c r="A14" i="112"/>
  <c r="E62" i="12"/>
  <c r="E63" i="145" s="1"/>
  <c r="E93" i="12"/>
  <c r="E95" i="145" s="1"/>
  <c r="E109" i="14"/>
  <c r="D109" i="14"/>
  <c r="B109" i="14"/>
  <c r="E108" i="14"/>
  <c r="D108" i="14"/>
  <c r="B108" i="14"/>
  <c r="E68" i="14"/>
  <c r="D68" i="14"/>
  <c r="B68" i="14"/>
  <c r="E72" i="14"/>
  <c r="D72" i="14"/>
  <c r="B72" i="14"/>
  <c r="E70" i="14"/>
  <c r="D70" i="14"/>
  <c r="B70" i="14"/>
  <c r="E111" i="14"/>
  <c r="D111" i="14"/>
  <c r="B111" i="14"/>
  <c r="E66" i="14"/>
  <c r="D66" i="14"/>
  <c r="B66" i="14"/>
  <c r="B65" i="14"/>
  <c r="E113" i="14"/>
  <c r="D113" i="14"/>
  <c r="B113" i="14"/>
  <c r="E110" i="14"/>
  <c r="D110" i="14"/>
  <c r="B110" i="14"/>
  <c r="E112" i="14"/>
  <c r="D112" i="14"/>
  <c r="B112" i="14"/>
  <c r="E69" i="14"/>
  <c r="D69" i="14"/>
  <c r="B69" i="14"/>
  <c r="I87" i="12"/>
  <c r="I60" i="12"/>
  <c r="I63" i="12"/>
  <c r="G57" i="112"/>
  <c r="A53" i="12"/>
  <c r="A54" i="145" s="1"/>
  <c r="G98" i="112"/>
  <c r="A87" i="12"/>
  <c r="A89" i="145" s="1"/>
  <c r="G23" i="112"/>
  <c r="A26" i="12"/>
  <c r="A26" i="145" s="1"/>
  <c r="G95" i="112"/>
  <c r="A61" i="12"/>
  <c r="A62" i="145" s="1"/>
  <c r="A52" i="12"/>
  <c r="A53" i="145" s="1"/>
  <c r="G56" i="112"/>
  <c r="D27" i="14"/>
  <c r="B27" i="14"/>
  <c r="G19" i="112"/>
  <c r="E27" i="14"/>
  <c r="A22" i="12"/>
  <c r="A22" i="145" s="1"/>
  <c r="I55" i="12"/>
  <c r="I23" i="12"/>
  <c r="I24" i="12"/>
  <c r="I18" i="12"/>
  <c r="I26" i="12"/>
  <c r="I52" i="12"/>
  <c r="I22" i="12"/>
  <c r="I17" i="12"/>
  <c r="I28" i="12"/>
  <c r="A88" i="12"/>
  <c r="A90" i="145" s="1"/>
  <c r="G99" i="112"/>
  <c r="G63" i="112"/>
  <c r="A59" i="12"/>
  <c r="A60" i="145" s="1"/>
  <c r="A58" i="12"/>
  <c r="A59" i="145" s="1"/>
  <c r="G62" i="112"/>
  <c r="G94" i="112"/>
  <c r="A60" i="12"/>
  <c r="A61" i="145" s="1"/>
  <c r="I56" i="12"/>
  <c r="G14" i="112"/>
  <c r="E22" i="14"/>
  <c r="B22" i="14"/>
  <c r="G55" i="112"/>
  <c r="A28" i="12"/>
  <c r="A28" i="145" s="1"/>
  <c r="G101" i="112"/>
  <c r="A90" i="12"/>
  <c r="A92" i="145" s="1"/>
  <c r="I59" i="12"/>
  <c r="I58" i="12"/>
  <c r="H62" i="12"/>
  <c r="A57" i="12"/>
  <c r="A58" i="145" s="1"/>
  <c r="G61" i="112"/>
  <c r="A56" i="12"/>
  <c r="A57" i="145" s="1"/>
  <c r="G60" i="112"/>
  <c r="I53" i="12"/>
  <c r="A55" i="12"/>
  <c r="A56" i="145" s="1"/>
  <c r="G59" i="112"/>
  <c r="B28" i="14"/>
  <c r="D28" i="14"/>
  <c r="E28" i="14"/>
  <c r="G20" i="112"/>
  <c r="A23" i="12"/>
  <c r="A23" i="145" s="1"/>
  <c r="B29" i="14"/>
  <c r="G21" i="112"/>
  <c r="D29" i="14"/>
  <c r="E29" i="14"/>
  <c r="A24" i="12"/>
  <c r="A24" i="145" s="1"/>
  <c r="H93" i="12"/>
  <c r="F83" i="112"/>
  <c r="I61" i="118" l="1"/>
  <c r="I27" i="135"/>
  <c r="A96" i="135"/>
  <c r="A17" i="12"/>
  <c r="A17" i="145" s="1"/>
  <c r="D22" i="14"/>
  <c r="E22" i="122"/>
  <c r="H94" i="12"/>
  <c r="A96" i="129"/>
  <c r="D22" i="139"/>
  <c r="I89" i="12"/>
  <c r="I61" i="136"/>
  <c r="D70" i="122"/>
  <c r="I89" i="136"/>
  <c r="I61" i="119"/>
  <c r="A58" i="112"/>
  <c r="I89" i="118"/>
  <c r="I96" i="119"/>
  <c r="A96" i="130"/>
  <c r="B24" i="142"/>
  <c r="I89" i="119"/>
  <c r="I96" i="12"/>
  <c r="I96" i="136"/>
  <c r="B24" i="137"/>
  <c r="A96" i="141"/>
  <c r="A54" i="12"/>
  <c r="A55" i="145" s="1"/>
  <c r="I61" i="12"/>
  <c r="E71" i="14"/>
  <c r="E94" i="12"/>
  <c r="E96" i="145" s="1"/>
  <c r="I54" i="12"/>
  <c r="G143" i="112"/>
  <c r="I54" i="119"/>
  <c r="I96" i="118"/>
  <c r="D71" i="139"/>
  <c r="I96" i="135"/>
  <c r="A96" i="137"/>
  <c r="I61" i="135"/>
  <c r="B23" i="139"/>
  <c r="I89" i="135"/>
  <c r="A96" i="142"/>
  <c r="I18" i="119"/>
  <c r="I18" i="135"/>
  <c r="B58" i="129"/>
  <c r="B64" i="141"/>
  <c r="B58" i="141"/>
  <c r="B59" i="130"/>
  <c r="B62" i="129"/>
  <c r="B24" i="129"/>
  <c r="B64" i="130"/>
  <c r="B24" i="141"/>
  <c r="B99" i="141"/>
  <c r="B24" i="130"/>
  <c r="B64" i="129"/>
  <c r="B99" i="129"/>
  <c r="B58" i="142"/>
  <c r="B64" i="142"/>
  <c r="I92" i="136"/>
  <c r="D153" i="139"/>
  <c r="B153" i="14"/>
  <c r="A89" i="118"/>
  <c r="H89" i="118" s="1"/>
  <c r="A100" i="112"/>
  <c r="B150" i="122"/>
  <c r="E150" i="122"/>
  <c r="I92" i="119"/>
  <c r="I25" i="12"/>
  <c r="A102" i="112"/>
  <c r="I25" i="119"/>
  <c r="I57" i="119"/>
  <c r="A91" i="136"/>
  <c r="H91" i="136" s="1"/>
  <c r="I92" i="135"/>
  <c r="B153" i="139"/>
  <c r="G100" i="112"/>
  <c r="G102" i="112"/>
  <c r="D153" i="14"/>
  <c r="A89" i="119"/>
  <c r="H89" i="119" s="1"/>
  <c r="A89" i="135"/>
  <c r="H89" i="135" s="1"/>
  <c r="E153" i="139"/>
  <c r="A89" i="12"/>
  <c r="A91" i="145" s="1"/>
  <c r="E153" i="14"/>
  <c r="A91" i="119"/>
  <c r="E91" i="119" s="1"/>
  <c r="I25" i="118"/>
  <c r="I57" i="118"/>
  <c r="D150" i="122"/>
  <c r="A25" i="12"/>
  <c r="A25" i="145" s="1"/>
  <c r="A25" i="119"/>
  <c r="H25" i="119" s="1"/>
  <c r="A63" i="141"/>
  <c r="B59" i="141"/>
  <c r="B59" i="129"/>
  <c r="B62" i="130"/>
  <c r="A63" i="137"/>
  <c r="B59" i="137"/>
  <c r="G58" i="112"/>
  <c r="A22" i="112"/>
  <c r="I91" i="119"/>
  <c r="A63" i="129"/>
  <c r="I91" i="135"/>
  <c r="A63" i="142"/>
  <c r="B59" i="142"/>
  <c r="E65" i="139"/>
  <c r="A18" i="12"/>
  <c r="A18" i="145" s="1"/>
  <c r="A54" i="118"/>
  <c r="I91" i="12"/>
  <c r="A63" i="130"/>
  <c r="E115" i="139"/>
  <c r="I54" i="135"/>
  <c r="B62" i="142"/>
  <c r="A91" i="12"/>
  <c r="A93" i="145" s="1"/>
  <c r="D155" i="14"/>
  <c r="A91" i="118"/>
  <c r="E91" i="118" s="1"/>
  <c r="D152" i="122"/>
  <c r="A91" i="135"/>
  <c r="B155" i="139"/>
  <c r="I57" i="12"/>
  <c r="B155" i="14"/>
  <c r="E152" i="122"/>
  <c r="I92" i="12"/>
  <c r="D155" i="139"/>
  <c r="I25" i="135"/>
  <c r="I57" i="135"/>
  <c r="E155" i="14"/>
  <c r="B152" i="122"/>
  <c r="I92" i="118"/>
  <c r="E155" i="139"/>
  <c r="I25" i="136"/>
  <c r="I57" i="136"/>
  <c r="E115" i="14"/>
  <c r="I27" i="119"/>
  <c r="B113" i="122"/>
  <c r="A25" i="118"/>
  <c r="E25" i="118" s="1"/>
  <c r="D64" i="122"/>
  <c r="B25" i="130"/>
  <c r="B62" i="137"/>
  <c r="A63" i="136"/>
  <c r="H63" i="136" s="1"/>
  <c r="B25" i="137"/>
  <c r="D65" i="139"/>
  <c r="B25" i="142"/>
  <c r="H25" i="144"/>
  <c r="A63" i="144"/>
  <c r="H63" i="144" s="1"/>
  <c r="H27" i="144"/>
  <c r="G97" i="112"/>
  <c r="B115" i="14"/>
  <c r="D65" i="14"/>
  <c r="A137" i="112"/>
  <c r="A96" i="119"/>
  <c r="H96" i="119" s="1"/>
  <c r="A63" i="118"/>
  <c r="H63" i="118" s="1"/>
  <c r="D113" i="122"/>
  <c r="B64" i="122"/>
  <c r="B115" i="139"/>
  <c r="A25" i="135"/>
  <c r="E25" i="135" s="1"/>
  <c r="B65" i="139"/>
  <c r="A96" i="136"/>
  <c r="E96" i="136" s="1"/>
  <c r="B62" i="141"/>
  <c r="A63" i="12"/>
  <c r="A64" i="145" s="1"/>
  <c r="G22" i="112"/>
  <c r="D115" i="14"/>
  <c r="E65" i="14"/>
  <c r="G137" i="112"/>
  <c r="A63" i="119"/>
  <c r="H63" i="119" s="1"/>
  <c r="A97" i="112"/>
  <c r="E64" i="122"/>
  <c r="B25" i="129"/>
  <c r="A63" i="135"/>
  <c r="E63" i="135" s="1"/>
  <c r="A25" i="136"/>
  <c r="H25" i="136" s="1"/>
  <c r="B25" i="141"/>
  <c r="A18" i="118"/>
  <c r="E18" i="118" s="1"/>
  <c r="D23" i="122"/>
  <c r="A54" i="119"/>
  <c r="E54" i="119" s="1"/>
  <c r="A54" i="136"/>
  <c r="D71" i="14"/>
  <c r="I54" i="118"/>
  <c r="E23" i="122"/>
  <c r="B70" i="122"/>
  <c r="B71" i="139"/>
  <c r="H18" i="144"/>
  <c r="B23" i="14"/>
  <c r="I27" i="12"/>
  <c r="H62" i="119"/>
  <c r="I27" i="136"/>
  <c r="B98" i="130"/>
  <c r="I27" i="118"/>
  <c r="G18" i="112"/>
  <c r="I21" i="118"/>
  <c r="I21" i="136"/>
  <c r="A18" i="135"/>
  <c r="E23" i="14"/>
  <c r="I21" i="119"/>
  <c r="A18" i="119"/>
  <c r="E18" i="119" s="1"/>
  <c r="A15" i="112"/>
  <c r="I21" i="135"/>
  <c r="E23" i="139"/>
  <c r="E54" i="144"/>
  <c r="H21" i="144"/>
  <c r="I21" i="12"/>
  <c r="D23" i="14"/>
  <c r="G15" i="112"/>
  <c r="B71" i="14"/>
  <c r="B23" i="122"/>
  <c r="E70" i="122"/>
  <c r="A54" i="135"/>
  <c r="E54" i="135" s="1"/>
  <c r="E71" i="139"/>
  <c r="I54" i="136"/>
  <c r="A18" i="136"/>
  <c r="H18" i="136" s="1"/>
  <c r="D23" i="139"/>
  <c r="A96" i="144"/>
  <c r="A96" i="12"/>
  <c r="B26" i="122"/>
  <c r="B94" i="137"/>
  <c r="B98" i="129"/>
  <c r="B94" i="130"/>
  <c r="B94" i="141"/>
  <c r="B98" i="142"/>
  <c r="B94" i="129"/>
  <c r="B21" i="137"/>
  <c r="B98" i="137"/>
  <c r="B27" i="141"/>
  <c r="D26" i="14"/>
  <c r="E26" i="122"/>
  <c r="B27" i="129"/>
  <c r="B27" i="137"/>
  <c r="B99" i="142"/>
  <c r="B93" i="142"/>
  <c r="B99" i="130"/>
  <c r="B27" i="130"/>
  <c r="B27" i="142"/>
  <c r="B94" i="142"/>
  <c r="B98" i="141"/>
  <c r="D26" i="122"/>
  <c r="E66" i="122"/>
  <c r="B93" i="129"/>
  <c r="B93" i="137"/>
  <c r="B93" i="130"/>
  <c r="B93" i="141"/>
  <c r="B20" i="130"/>
  <c r="B18" i="142"/>
  <c r="B18" i="137"/>
  <c r="B18" i="141"/>
  <c r="B21" i="129"/>
  <c r="B18" i="129"/>
  <c r="B21" i="141"/>
  <c r="B21" i="130"/>
  <c r="B18" i="130"/>
  <c r="B21" i="142"/>
  <c r="A27" i="12"/>
  <c r="A27" i="145" s="1"/>
  <c r="I91" i="144"/>
  <c r="H91" i="144" s="1"/>
  <c r="A92" i="119"/>
  <c r="H92" i="119" s="1"/>
  <c r="A92" i="12"/>
  <c r="A94" i="145" s="1"/>
  <c r="D156" i="14"/>
  <c r="B67" i="139"/>
  <c r="G103" i="112"/>
  <c r="E156" i="14"/>
  <c r="B26" i="14"/>
  <c r="A21" i="118"/>
  <c r="E21" i="118" s="1"/>
  <c r="G17" i="112"/>
  <c r="B153" i="122"/>
  <c r="B20" i="142"/>
  <c r="B67" i="14"/>
  <c r="A27" i="118"/>
  <c r="E27" i="118" s="1"/>
  <c r="D66" i="122"/>
  <c r="D67" i="139"/>
  <c r="H87" i="144"/>
  <c r="A21" i="12"/>
  <c r="A21" i="145" s="1"/>
  <c r="E26" i="14"/>
  <c r="G54" i="112"/>
  <c r="D67" i="14"/>
  <c r="A27" i="119"/>
  <c r="E27" i="119" s="1"/>
  <c r="A54" i="112"/>
  <c r="A21" i="119"/>
  <c r="E21" i="119" s="1"/>
  <c r="A18" i="112"/>
  <c r="B156" i="139"/>
  <c r="E67" i="14"/>
  <c r="B66" i="122"/>
  <c r="A27" i="136"/>
  <c r="D26" i="139"/>
  <c r="E156" i="139"/>
  <c r="E89" i="144"/>
  <c r="A92" i="144"/>
  <c r="E92" i="144" s="1"/>
  <c r="A103" i="112"/>
  <c r="D153" i="122"/>
  <c r="A92" i="136"/>
  <c r="E92" i="136" s="1"/>
  <c r="D156" i="139"/>
  <c r="B156" i="14"/>
  <c r="A92" i="118"/>
  <c r="H92" i="118" s="1"/>
  <c r="E153" i="122"/>
  <c r="E26" i="139"/>
  <c r="H62" i="144"/>
  <c r="A21" i="136"/>
  <c r="E21" i="136" s="1"/>
  <c r="B26" i="139"/>
  <c r="A21" i="135"/>
  <c r="A27" i="135"/>
  <c r="H27" i="135" s="1"/>
  <c r="E67" i="139"/>
  <c r="H58" i="144"/>
  <c r="H59" i="144"/>
  <c r="E94" i="144"/>
  <c r="B20" i="137"/>
  <c r="E61" i="144"/>
  <c r="E27" i="144"/>
  <c r="H92" i="144"/>
  <c r="E93" i="144"/>
  <c r="E56" i="144"/>
  <c r="A19" i="12"/>
  <c r="A19" i="145" s="1"/>
  <c r="B24" i="14"/>
  <c r="E57" i="144"/>
  <c r="E91" i="144"/>
  <c r="D24" i="122"/>
  <c r="E88" i="144"/>
  <c r="E90" i="144"/>
  <c r="E60" i="144"/>
  <c r="G16" i="112"/>
  <c r="H62" i="118"/>
  <c r="B20" i="129"/>
  <c r="B20" i="141"/>
  <c r="B24" i="122"/>
  <c r="H17" i="144"/>
  <c r="E24" i="14"/>
  <c r="A16" i="112"/>
  <c r="D24" i="14"/>
  <c r="E95" i="12"/>
  <c r="E97" i="145" s="1"/>
  <c r="B30" i="145"/>
  <c r="I19" i="12"/>
  <c r="I19" i="144"/>
  <c r="H64" i="144"/>
  <c r="L17" i="144"/>
  <c r="B99" i="144"/>
  <c r="H99" i="144"/>
  <c r="L19" i="144"/>
  <c r="B29" i="145"/>
  <c r="E24" i="122"/>
  <c r="A19" i="144"/>
  <c r="H29" i="144"/>
  <c r="I64" i="144"/>
  <c r="B65" i="145"/>
  <c r="B66" i="145"/>
  <c r="B102" i="145"/>
  <c r="A97" i="12"/>
  <c r="A99" i="145" s="1"/>
  <c r="A97" i="144"/>
  <c r="A17" i="112"/>
  <c r="A20" i="144"/>
  <c r="I29" i="144"/>
  <c r="L20" i="144" s="1"/>
  <c r="I99" i="144"/>
  <c r="B64" i="144"/>
  <c r="B101" i="145"/>
  <c r="B29" i="144"/>
  <c r="A20" i="12"/>
  <c r="A20" i="145" s="1"/>
  <c r="A19" i="118"/>
  <c r="E19" i="118" s="1"/>
  <c r="G138" i="112"/>
  <c r="B64" i="12"/>
  <c r="A97" i="119"/>
  <c r="E97" i="119" s="1"/>
  <c r="B101" i="141"/>
  <c r="B29" i="118"/>
  <c r="H99" i="136"/>
  <c r="B102" i="137"/>
  <c r="B66" i="142"/>
  <c r="B25" i="14"/>
  <c r="T2" i="115"/>
  <c r="A59" i="142"/>
  <c r="A59" i="141"/>
  <c r="A60" i="142"/>
  <c r="A60" i="141"/>
  <c r="E96" i="142"/>
  <c r="B29" i="12"/>
  <c r="A100" i="142"/>
  <c r="A100" i="141"/>
  <c r="B99" i="118"/>
  <c r="B19" i="141"/>
  <c r="B19" i="142"/>
  <c r="B65" i="142"/>
  <c r="B102" i="141"/>
  <c r="B29" i="142"/>
  <c r="A57" i="142"/>
  <c r="A57" i="141"/>
  <c r="A17" i="141"/>
  <c r="A17" i="142"/>
  <c r="E95" i="141"/>
  <c r="E95" i="142"/>
  <c r="A24" i="142"/>
  <c r="A24" i="141"/>
  <c r="A58" i="142"/>
  <c r="A58" i="141"/>
  <c r="A92" i="142"/>
  <c r="A92" i="141"/>
  <c r="A61" i="142"/>
  <c r="A61" i="141"/>
  <c r="A90" i="142"/>
  <c r="A90" i="141"/>
  <c r="A22" i="141"/>
  <c r="A22" i="142"/>
  <c r="A53" i="142"/>
  <c r="A53" i="141"/>
  <c r="A62" i="142"/>
  <c r="A62" i="141"/>
  <c r="A89" i="142"/>
  <c r="A89" i="141"/>
  <c r="B99" i="12"/>
  <c r="B64" i="119"/>
  <c r="B25" i="122"/>
  <c r="L17" i="136"/>
  <c r="B29" i="135"/>
  <c r="B66" i="141"/>
  <c r="B30" i="142"/>
  <c r="B29" i="141"/>
  <c r="A26" i="141"/>
  <c r="A26" i="142"/>
  <c r="I99" i="136"/>
  <c r="B30" i="141"/>
  <c r="B102" i="142"/>
  <c r="A23" i="142"/>
  <c r="A23" i="141"/>
  <c r="A56" i="142"/>
  <c r="A56" i="141"/>
  <c r="D25" i="14"/>
  <c r="A28" i="142"/>
  <c r="A28" i="141"/>
  <c r="A54" i="142"/>
  <c r="A54" i="141"/>
  <c r="E63" i="142"/>
  <c r="E63" i="141"/>
  <c r="A97" i="142"/>
  <c r="A97" i="141"/>
  <c r="B65" i="129"/>
  <c r="V24" i="115"/>
  <c r="B65" i="141"/>
  <c r="B101" i="142"/>
  <c r="A26" i="137"/>
  <c r="H93" i="135"/>
  <c r="E93" i="135"/>
  <c r="I29" i="135"/>
  <c r="H52" i="135"/>
  <c r="E52" i="135"/>
  <c r="A24" i="137"/>
  <c r="A58" i="137"/>
  <c r="A92" i="137"/>
  <c r="A59" i="137"/>
  <c r="A60" i="137"/>
  <c r="A97" i="137"/>
  <c r="E98" i="136"/>
  <c r="H98" i="136"/>
  <c r="E59" i="136"/>
  <c r="H59" i="136"/>
  <c r="H60" i="135"/>
  <c r="E60" i="135"/>
  <c r="H29" i="135"/>
  <c r="H99" i="135"/>
  <c r="H29" i="136"/>
  <c r="E61" i="136"/>
  <c r="H61" i="136"/>
  <c r="H56" i="135"/>
  <c r="E56" i="135"/>
  <c r="E24" i="136"/>
  <c r="H24" i="136"/>
  <c r="H95" i="135"/>
  <c r="E95" i="135"/>
  <c r="B64" i="135"/>
  <c r="B29" i="137"/>
  <c r="B101" i="137"/>
  <c r="B65" i="137"/>
  <c r="E24" i="139"/>
  <c r="D24" i="139"/>
  <c r="B24" i="139"/>
  <c r="A19" i="136"/>
  <c r="A19" i="135"/>
  <c r="E26" i="136"/>
  <c r="H26" i="136"/>
  <c r="E55" i="135"/>
  <c r="H55" i="135"/>
  <c r="H87" i="136"/>
  <c r="E87" i="136"/>
  <c r="E22" i="136"/>
  <c r="H22" i="136"/>
  <c r="L17" i="135"/>
  <c r="A23" i="137"/>
  <c r="A56" i="137"/>
  <c r="A57" i="137"/>
  <c r="A17" i="137"/>
  <c r="A61" i="137"/>
  <c r="A90" i="137"/>
  <c r="A22" i="137"/>
  <c r="A53" i="137"/>
  <c r="A62" i="137"/>
  <c r="A89" i="137"/>
  <c r="E95" i="137"/>
  <c r="A100" i="137"/>
  <c r="I20" i="118"/>
  <c r="I20" i="136"/>
  <c r="I20" i="135"/>
  <c r="I19" i="118"/>
  <c r="I19" i="136"/>
  <c r="I19" i="135"/>
  <c r="H60" i="136"/>
  <c r="E60" i="136"/>
  <c r="H17" i="136"/>
  <c r="I29" i="136"/>
  <c r="L20" i="136" s="1"/>
  <c r="H64" i="136"/>
  <c r="H56" i="136"/>
  <c r="E56" i="136"/>
  <c r="E94" i="135"/>
  <c r="H94" i="135"/>
  <c r="A97" i="136"/>
  <c r="A97" i="135"/>
  <c r="H95" i="136"/>
  <c r="E95" i="136"/>
  <c r="B99" i="135"/>
  <c r="B66" i="137"/>
  <c r="L19" i="135"/>
  <c r="B30" i="137"/>
  <c r="H89" i="136"/>
  <c r="E89" i="136"/>
  <c r="H58" i="135"/>
  <c r="E58" i="135"/>
  <c r="E55" i="136"/>
  <c r="H55" i="136"/>
  <c r="E28" i="135"/>
  <c r="H28" i="135"/>
  <c r="E92" i="135"/>
  <c r="H92" i="135"/>
  <c r="E22" i="135"/>
  <c r="H22" i="135"/>
  <c r="E96" i="135"/>
  <c r="H96" i="135"/>
  <c r="E25" i="139"/>
  <c r="D25" i="139"/>
  <c r="B25" i="139"/>
  <c r="A20" i="136"/>
  <c r="A20" i="135"/>
  <c r="A28" i="137"/>
  <c r="I64" i="135"/>
  <c r="E90" i="135"/>
  <c r="H90" i="135"/>
  <c r="E94" i="136"/>
  <c r="H94" i="136"/>
  <c r="E53" i="135"/>
  <c r="H53" i="135"/>
  <c r="H58" i="136"/>
  <c r="E58" i="136"/>
  <c r="H23" i="135"/>
  <c r="E23" i="135"/>
  <c r="E28" i="136"/>
  <c r="H28" i="136"/>
  <c r="E88" i="135"/>
  <c r="H88" i="135"/>
  <c r="E57" i="135"/>
  <c r="H57" i="135"/>
  <c r="H62" i="135"/>
  <c r="E62" i="135"/>
  <c r="A55" i="137"/>
  <c r="A54" i="137"/>
  <c r="E63" i="137"/>
  <c r="A97" i="118"/>
  <c r="E97" i="118" s="1"/>
  <c r="B101" i="130"/>
  <c r="B19" i="129"/>
  <c r="B19" i="137"/>
  <c r="E98" i="135"/>
  <c r="H98" i="135"/>
  <c r="E59" i="135"/>
  <c r="H59" i="135"/>
  <c r="H93" i="136"/>
  <c r="E93" i="136"/>
  <c r="H17" i="135"/>
  <c r="H64" i="135"/>
  <c r="I99" i="135"/>
  <c r="I64" i="136"/>
  <c r="E90" i="136"/>
  <c r="H90" i="136"/>
  <c r="E61" i="135"/>
  <c r="H61" i="135"/>
  <c r="E53" i="136"/>
  <c r="H53" i="136"/>
  <c r="E24" i="135"/>
  <c r="H24" i="135"/>
  <c r="B99" i="136"/>
  <c r="B64" i="136"/>
  <c r="L19" i="136"/>
  <c r="B29" i="136"/>
  <c r="H52" i="136"/>
  <c r="E52" i="136"/>
  <c r="E26" i="135"/>
  <c r="H26" i="135"/>
  <c r="H23" i="136"/>
  <c r="E23" i="136"/>
  <c r="E88" i="136"/>
  <c r="H88" i="136"/>
  <c r="E57" i="136"/>
  <c r="H57" i="136"/>
  <c r="H87" i="135"/>
  <c r="E87" i="135"/>
  <c r="H62" i="136"/>
  <c r="E62" i="136"/>
  <c r="B19" i="130"/>
  <c r="I20" i="12"/>
  <c r="I29" i="12"/>
  <c r="L20" i="12" s="1"/>
  <c r="H29" i="12"/>
  <c r="I64" i="12"/>
  <c r="H64" i="12"/>
  <c r="H99" i="12"/>
  <c r="T4" i="115"/>
  <c r="H29" i="118"/>
  <c r="I29" i="118"/>
  <c r="H64" i="118"/>
  <c r="H99" i="119"/>
  <c r="A20" i="119"/>
  <c r="I64" i="118"/>
  <c r="I99" i="119"/>
  <c r="I99" i="12"/>
  <c r="B66" i="129"/>
  <c r="I20" i="119"/>
  <c r="A20" i="118"/>
  <c r="E20" i="118" s="1"/>
  <c r="H64" i="119"/>
  <c r="I19" i="119"/>
  <c r="H19" i="119" s="1"/>
  <c r="B102" i="130"/>
  <c r="L19" i="12"/>
  <c r="B29" i="119"/>
  <c r="D25" i="122"/>
  <c r="H99" i="118"/>
  <c r="I99" i="118"/>
  <c r="B102" i="129"/>
  <c r="B30" i="129"/>
  <c r="B66" i="130"/>
  <c r="B64" i="118"/>
  <c r="B99" i="119"/>
  <c r="E25" i="122"/>
  <c r="I29" i="119"/>
  <c r="I64" i="119"/>
  <c r="H29" i="119"/>
  <c r="B30" i="130"/>
  <c r="B101" i="129"/>
  <c r="B65" i="130"/>
  <c r="B29" i="129"/>
  <c r="B29" i="130"/>
  <c r="L17" i="12"/>
  <c r="A24" i="130"/>
  <c r="A24" i="129"/>
  <c r="A17" i="129"/>
  <c r="A17" i="130"/>
  <c r="A22" i="129"/>
  <c r="A22" i="130"/>
  <c r="A53" i="129"/>
  <c r="A53" i="130"/>
  <c r="A62" i="129"/>
  <c r="A62" i="130"/>
  <c r="A89" i="129"/>
  <c r="A89" i="130"/>
  <c r="E96" i="130"/>
  <c r="E95" i="129"/>
  <c r="E95" i="130"/>
  <c r="A100" i="130"/>
  <c r="A100" i="129"/>
  <c r="A92" i="130"/>
  <c r="A92" i="129"/>
  <c r="A59" i="130"/>
  <c r="A59" i="129"/>
  <c r="A60" i="130"/>
  <c r="A60" i="129"/>
  <c r="A58" i="129"/>
  <c r="A58" i="130"/>
  <c r="A28" i="130"/>
  <c r="A28" i="129"/>
  <c r="A61" i="129"/>
  <c r="A61" i="130"/>
  <c r="A90" i="129"/>
  <c r="A90" i="130"/>
  <c r="A26" i="129"/>
  <c r="A26" i="130"/>
  <c r="A23" i="130"/>
  <c r="A23" i="129"/>
  <c r="A56" i="130"/>
  <c r="A56" i="129"/>
  <c r="A57" i="130"/>
  <c r="A57" i="129"/>
  <c r="A55" i="129"/>
  <c r="A18" i="130"/>
  <c r="A54" i="129"/>
  <c r="A54" i="130"/>
  <c r="E63" i="129"/>
  <c r="E63" i="130"/>
  <c r="A97" i="129"/>
  <c r="A97" i="130"/>
  <c r="H95" i="12"/>
  <c r="E26" i="12"/>
  <c r="E26" i="145" s="1"/>
  <c r="E98" i="12"/>
  <c r="E100" i="145" s="1"/>
  <c r="H96" i="118"/>
  <c r="E96" i="118"/>
  <c r="H94" i="118"/>
  <c r="E94" i="118"/>
  <c r="H98" i="119"/>
  <c r="E98" i="119"/>
  <c r="E19" i="119"/>
  <c r="E23" i="119"/>
  <c r="H23" i="119"/>
  <c r="H28" i="119"/>
  <c r="E28" i="119"/>
  <c r="H17" i="118"/>
  <c r="E52" i="118"/>
  <c r="H52" i="118"/>
  <c r="H88" i="118"/>
  <c r="E88" i="118"/>
  <c r="H90" i="118"/>
  <c r="E90" i="118"/>
  <c r="H94" i="119"/>
  <c r="E94" i="119"/>
  <c r="E87" i="118"/>
  <c r="H87" i="118"/>
  <c r="H53" i="118"/>
  <c r="E53" i="118"/>
  <c r="E95" i="118"/>
  <c r="H95" i="118"/>
  <c r="H59" i="118"/>
  <c r="E59" i="118"/>
  <c r="H24" i="118"/>
  <c r="E24" i="118"/>
  <c r="E52" i="119"/>
  <c r="H52" i="119"/>
  <c r="H88" i="119"/>
  <c r="E88" i="119"/>
  <c r="E24" i="12"/>
  <c r="E24" i="145" s="1"/>
  <c r="E28" i="12"/>
  <c r="E28" i="145" s="1"/>
  <c r="E23" i="12"/>
  <c r="E23" i="145" s="1"/>
  <c r="E22" i="12"/>
  <c r="E22" i="145" s="1"/>
  <c r="H90" i="119"/>
  <c r="E90" i="119"/>
  <c r="E56" i="118"/>
  <c r="H56" i="118"/>
  <c r="E87" i="119"/>
  <c r="H87" i="119"/>
  <c r="H53" i="119"/>
  <c r="E53" i="119"/>
  <c r="E95" i="119"/>
  <c r="H95" i="119"/>
  <c r="E93" i="118"/>
  <c r="H93" i="118"/>
  <c r="H26" i="118"/>
  <c r="E26" i="118"/>
  <c r="H55" i="118"/>
  <c r="E55" i="118"/>
  <c r="H22" i="118"/>
  <c r="E22" i="118"/>
  <c r="H59" i="119"/>
  <c r="E59" i="119"/>
  <c r="H24" i="119"/>
  <c r="E24" i="119"/>
  <c r="H57" i="118"/>
  <c r="E57" i="118"/>
  <c r="E60" i="118"/>
  <c r="H60" i="118"/>
  <c r="H17" i="119"/>
  <c r="E58" i="118"/>
  <c r="H58" i="118"/>
  <c r="H61" i="118"/>
  <c r="E61" i="118"/>
  <c r="E56" i="119"/>
  <c r="H56" i="119"/>
  <c r="H98" i="118"/>
  <c r="E98" i="118"/>
  <c r="E23" i="118"/>
  <c r="H23" i="118"/>
  <c r="H28" i="118"/>
  <c r="E28" i="118"/>
  <c r="E93" i="119"/>
  <c r="H93" i="119"/>
  <c r="H26" i="119"/>
  <c r="E26" i="119"/>
  <c r="H55" i="119"/>
  <c r="E55" i="119"/>
  <c r="H22" i="119"/>
  <c r="E22" i="119"/>
  <c r="E89" i="118"/>
  <c r="E92" i="119"/>
  <c r="H57" i="119"/>
  <c r="E57" i="119"/>
  <c r="E60" i="119"/>
  <c r="H60" i="119"/>
  <c r="E58" i="119"/>
  <c r="H58" i="119"/>
  <c r="H61" i="119"/>
  <c r="E61" i="119"/>
  <c r="H98" i="12"/>
  <c r="E60" i="12"/>
  <c r="E61" i="145" s="1"/>
  <c r="E59" i="12"/>
  <c r="E60" i="145" s="1"/>
  <c r="E57" i="12"/>
  <c r="E58" i="145" s="1"/>
  <c r="E52" i="12"/>
  <c r="E53" i="145" s="1"/>
  <c r="E61" i="12"/>
  <c r="E62" i="145" s="1"/>
  <c r="E53" i="12"/>
  <c r="E54" i="145" s="1"/>
  <c r="E55" i="12"/>
  <c r="E56" i="145" s="1"/>
  <c r="E56" i="12"/>
  <c r="E57" i="145" s="1"/>
  <c r="E90" i="12"/>
  <c r="E92" i="145" s="1"/>
  <c r="H88" i="12"/>
  <c r="E88" i="12"/>
  <c r="E90" i="145" s="1"/>
  <c r="H87" i="12"/>
  <c r="E87" i="12"/>
  <c r="E89" i="145" s="1"/>
  <c r="E17" i="12"/>
  <c r="E17" i="145" s="1"/>
  <c r="E58" i="12"/>
  <c r="E59" i="145" s="1"/>
  <c r="H52" i="12"/>
  <c r="H28" i="12"/>
  <c r="H26" i="12"/>
  <c r="H59" i="12"/>
  <c r="H22" i="12"/>
  <c r="H91" i="12"/>
  <c r="H54" i="12"/>
  <c r="H61" i="12"/>
  <c r="H55" i="12"/>
  <c r="H90" i="12"/>
  <c r="H58" i="12"/>
  <c r="H56" i="12"/>
  <c r="H60" i="12"/>
  <c r="H23" i="12"/>
  <c r="H57" i="12"/>
  <c r="H53" i="12"/>
  <c r="H24" i="12"/>
  <c r="E54" i="12" l="1"/>
  <c r="E55" i="145" s="1"/>
  <c r="A55" i="130"/>
  <c r="A64" i="129"/>
  <c r="A55" i="141"/>
  <c r="H89" i="12"/>
  <c r="E27" i="12"/>
  <c r="E27" i="145" s="1"/>
  <c r="A55" i="142"/>
  <c r="H91" i="118"/>
  <c r="E89" i="119"/>
  <c r="A21" i="129"/>
  <c r="A27" i="129"/>
  <c r="E96" i="129"/>
  <c r="E96" i="137"/>
  <c r="E96" i="141"/>
  <c r="E63" i="12"/>
  <c r="E64" i="145" s="1"/>
  <c r="H96" i="136"/>
  <c r="H21" i="118"/>
  <c r="H18" i="135"/>
  <c r="A19" i="130"/>
  <c r="H25" i="118"/>
  <c r="H27" i="136"/>
  <c r="H91" i="135"/>
  <c r="E18" i="135"/>
  <c r="E89" i="135"/>
  <c r="A93" i="137"/>
  <c r="E91" i="136"/>
  <c r="E63" i="136"/>
  <c r="H54" i="136"/>
  <c r="H54" i="118"/>
  <c r="H63" i="135"/>
  <c r="E89" i="12"/>
  <c r="E91" i="145" s="1"/>
  <c r="H18" i="118"/>
  <c r="E54" i="118"/>
  <c r="E63" i="119"/>
  <c r="E25" i="119"/>
  <c r="A91" i="129"/>
  <c r="A91" i="137"/>
  <c r="E54" i="136"/>
  <c r="A91" i="141"/>
  <c r="A91" i="130"/>
  <c r="A91" i="142"/>
  <c r="H21" i="12"/>
  <c r="H54" i="119"/>
  <c r="E63" i="118"/>
  <c r="E97" i="130"/>
  <c r="A18" i="142"/>
  <c r="H18" i="119"/>
  <c r="H92" i="12"/>
  <c r="E18" i="12"/>
  <c r="E18" i="145" s="1"/>
  <c r="A25" i="130"/>
  <c r="H63" i="12"/>
  <c r="E21" i="12"/>
  <c r="E21" i="145" s="1"/>
  <c r="A25" i="129"/>
  <c r="A25" i="137"/>
  <c r="A25" i="141"/>
  <c r="E63" i="144"/>
  <c r="H25" i="12"/>
  <c r="H27" i="119"/>
  <c r="H91" i="119"/>
  <c r="E25" i="12"/>
  <c r="E25" i="145" s="1"/>
  <c r="A21" i="130"/>
  <c r="A18" i="129"/>
  <c r="A64" i="130"/>
  <c r="A64" i="137"/>
  <c r="A18" i="141"/>
  <c r="A64" i="141"/>
  <c r="H25" i="135"/>
  <c r="A18" i="137"/>
  <c r="H19" i="118"/>
  <c r="A25" i="142"/>
  <c r="A64" i="142"/>
  <c r="A99" i="129"/>
  <c r="E25" i="136"/>
  <c r="A94" i="141"/>
  <c r="E91" i="135"/>
  <c r="A93" i="142"/>
  <c r="A27" i="142"/>
  <c r="A27" i="130"/>
  <c r="E96" i="119"/>
  <c r="E18" i="136"/>
  <c r="A93" i="141"/>
  <c r="E91" i="12"/>
  <c r="E93" i="145" s="1"/>
  <c r="E92" i="118"/>
  <c r="A20" i="129"/>
  <c r="A93" i="130"/>
  <c r="H27" i="12"/>
  <c r="H27" i="118"/>
  <c r="A93" i="129"/>
  <c r="A27" i="137"/>
  <c r="H21" i="135"/>
  <c r="H54" i="135"/>
  <c r="H21" i="136"/>
  <c r="A27" i="141"/>
  <c r="E92" i="12"/>
  <c r="E94" i="145" s="1"/>
  <c r="H21" i="119"/>
  <c r="E21" i="135"/>
  <c r="A19" i="137"/>
  <c r="A94" i="142"/>
  <c r="A94" i="130"/>
  <c r="A94" i="129"/>
  <c r="E19" i="12"/>
  <c r="E19" i="145" s="1"/>
  <c r="A19" i="129"/>
  <c r="A94" i="137"/>
  <c r="A19" i="142"/>
  <c r="A19" i="141"/>
  <c r="A98" i="145"/>
  <c r="A98" i="141"/>
  <c r="A98" i="137"/>
  <c r="A98" i="129"/>
  <c r="H96" i="12"/>
  <c r="E96" i="12"/>
  <c r="A98" i="142"/>
  <c r="A98" i="130"/>
  <c r="H96" i="144"/>
  <c r="E96" i="144"/>
  <c r="H19" i="12"/>
  <c r="A99" i="142"/>
  <c r="E27" i="135"/>
  <c r="E27" i="136"/>
  <c r="E97" i="129"/>
  <c r="H92" i="136"/>
  <c r="A21" i="142"/>
  <c r="A21" i="137"/>
  <c r="A21" i="141"/>
  <c r="A20" i="130"/>
  <c r="H20" i="12"/>
  <c r="A20" i="137"/>
  <c r="H97" i="119"/>
  <c r="E20" i="12"/>
  <c r="E20" i="145" s="1"/>
  <c r="E97" i="137"/>
  <c r="E97" i="142"/>
  <c r="E97" i="141"/>
  <c r="A99" i="130"/>
  <c r="A99" i="137"/>
  <c r="E97" i="12"/>
  <c r="E99" i="145" s="1"/>
  <c r="H97" i="12"/>
  <c r="A99" i="141"/>
  <c r="A20" i="142"/>
  <c r="A20" i="141"/>
  <c r="E20" i="144"/>
  <c r="H20" i="144"/>
  <c r="H19" i="144"/>
  <c r="E19" i="144"/>
  <c r="H97" i="144"/>
  <c r="E97" i="144"/>
  <c r="H97" i="118"/>
  <c r="H20" i="118"/>
  <c r="H20" i="119"/>
  <c r="E64" i="142"/>
  <c r="E64" i="141"/>
  <c r="E59" i="142"/>
  <c r="E59" i="141"/>
  <c r="E92" i="141"/>
  <c r="E92" i="142"/>
  <c r="E62" i="142"/>
  <c r="E62" i="141"/>
  <c r="E58" i="141"/>
  <c r="E58" i="142"/>
  <c r="E28" i="141"/>
  <c r="E28" i="142"/>
  <c r="E20" i="119"/>
  <c r="E17" i="142"/>
  <c r="E17" i="141"/>
  <c r="E57" i="142"/>
  <c r="E57" i="141"/>
  <c r="E53" i="142"/>
  <c r="E53" i="141"/>
  <c r="E22" i="142"/>
  <c r="E22" i="141"/>
  <c r="E24" i="141"/>
  <c r="E24" i="142"/>
  <c r="E90" i="142"/>
  <c r="E90" i="141"/>
  <c r="E54" i="142"/>
  <c r="E54" i="141"/>
  <c r="E61" i="142"/>
  <c r="E61" i="141"/>
  <c r="E23" i="141"/>
  <c r="E23" i="142"/>
  <c r="E26" i="142"/>
  <c r="E26" i="141"/>
  <c r="E89" i="142"/>
  <c r="E89" i="141"/>
  <c r="E56" i="142"/>
  <c r="E56" i="141"/>
  <c r="E60" i="142"/>
  <c r="E60" i="141"/>
  <c r="E100" i="142"/>
  <c r="E100" i="141"/>
  <c r="E59" i="137"/>
  <c r="E24" i="137"/>
  <c r="E90" i="137"/>
  <c r="E23" i="137"/>
  <c r="E20" i="136"/>
  <c r="H20" i="136"/>
  <c r="H97" i="136"/>
  <c r="E97" i="136"/>
  <c r="E19" i="136"/>
  <c r="H19" i="136"/>
  <c r="E89" i="137"/>
  <c r="E22" i="137"/>
  <c r="E17" i="137"/>
  <c r="E56" i="137"/>
  <c r="E64" i="137"/>
  <c r="E60" i="137"/>
  <c r="E57" i="137"/>
  <c r="E54" i="137"/>
  <c r="E53" i="137"/>
  <c r="E61" i="137"/>
  <c r="E28" i="137"/>
  <c r="E26" i="137"/>
  <c r="E92" i="137"/>
  <c r="E62" i="137"/>
  <c r="E58" i="137"/>
  <c r="E100" i="137"/>
  <c r="E20" i="135"/>
  <c r="H20" i="135"/>
  <c r="H97" i="135"/>
  <c r="E97" i="135"/>
  <c r="E19" i="135"/>
  <c r="H19" i="135"/>
  <c r="E59" i="130"/>
  <c r="E59" i="129"/>
  <c r="E89" i="130"/>
  <c r="E89" i="129"/>
  <c r="E27" i="129"/>
  <c r="E23" i="130"/>
  <c r="E23" i="129"/>
  <c r="E17" i="130"/>
  <c r="E17" i="129"/>
  <c r="E92" i="129"/>
  <c r="E92" i="130"/>
  <c r="E56" i="129"/>
  <c r="E56" i="130"/>
  <c r="E62" i="130"/>
  <c r="E62" i="129"/>
  <c r="E64" i="129"/>
  <c r="E64" i="130"/>
  <c r="E58" i="130"/>
  <c r="E58" i="129"/>
  <c r="E60" i="129"/>
  <c r="E60" i="130"/>
  <c r="E28" i="129"/>
  <c r="E28" i="130"/>
  <c r="E90" i="130"/>
  <c r="E90" i="129"/>
  <c r="E22" i="130"/>
  <c r="E22" i="129"/>
  <c r="E24" i="129"/>
  <c r="E24" i="130"/>
  <c r="E57" i="130"/>
  <c r="E57" i="129"/>
  <c r="E54" i="130"/>
  <c r="E54" i="129"/>
  <c r="E53" i="130"/>
  <c r="E53" i="129"/>
  <c r="E61" i="130"/>
  <c r="E61" i="129"/>
  <c r="E100" i="129"/>
  <c r="E100" i="130"/>
  <c r="E26" i="130"/>
  <c r="E26" i="129"/>
  <c r="E27" i="141" l="1"/>
  <c r="E27" i="137"/>
  <c r="E55" i="130"/>
  <c r="E55" i="141"/>
  <c r="E55" i="129"/>
  <c r="E55" i="137"/>
  <c r="E55" i="142"/>
  <c r="E27" i="130"/>
  <c r="E27" i="142"/>
  <c r="E25" i="130"/>
  <c r="E91" i="129"/>
  <c r="E91" i="142"/>
  <c r="E91" i="137"/>
  <c r="E91" i="130"/>
  <c r="E91" i="141"/>
  <c r="E93" i="141"/>
  <c r="E93" i="142"/>
  <c r="E21" i="129"/>
  <c r="E18" i="141"/>
  <c r="E25" i="141"/>
  <c r="E18" i="129"/>
  <c r="E21" i="137"/>
  <c r="E93" i="130"/>
  <c r="E25" i="129"/>
  <c r="E25" i="137"/>
  <c r="E18" i="137"/>
  <c r="E21" i="141"/>
  <c r="E25" i="142"/>
  <c r="E18" i="130"/>
  <c r="E21" i="130"/>
  <c r="E18" i="142"/>
  <c r="E21" i="142"/>
  <c r="E93" i="137"/>
  <c r="E93" i="129"/>
  <c r="E20" i="141"/>
  <c r="E19" i="130"/>
  <c r="E94" i="129"/>
  <c r="E19" i="129"/>
  <c r="E94" i="130"/>
  <c r="E19" i="142"/>
  <c r="E19" i="141"/>
  <c r="E94" i="141"/>
  <c r="E19" i="137"/>
  <c r="E94" i="137"/>
  <c r="E94" i="142"/>
  <c r="E98" i="145"/>
  <c r="E98" i="142"/>
  <c r="E98" i="129"/>
  <c r="E98" i="141"/>
  <c r="E98" i="137"/>
  <c r="E98" i="130"/>
  <c r="E20" i="130"/>
  <c r="E20" i="137"/>
  <c r="E20" i="129"/>
  <c r="E20" i="142"/>
  <c r="E99" i="137"/>
  <c r="E99" i="130"/>
  <c r="E99" i="141"/>
  <c r="E99" i="129"/>
  <c r="E99" i="142"/>
  <c r="C11" i="114" l="1"/>
  <c r="B4" i="114"/>
  <c r="B83" i="112" l="1"/>
  <c r="A153" i="78" l="1"/>
  <c r="B43" i="112"/>
  <c r="A102" i="78" l="1"/>
  <c r="A1" i="102" l="1"/>
  <c r="B1" i="102"/>
  <c r="A2" i="102"/>
  <c r="B2" i="102"/>
  <c r="A3" i="102"/>
  <c r="B3" i="102"/>
  <c r="A4" i="102"/>
  <c r="B4" i="102"/>
  <c r="A5" i="102"/>
  <c r="B5" i="102"/>
  <c r="A6" i="102"/>
  <c r="B6" i="102"/>
  <c r="A7" i="102"/>
  <c r="B7" i="102"/>
  <c r="A8" i="102"/>
  <c r="B8" i="102"/>
  <c r="A9" i="102"/>
  <c r="B9" i="102"/>
  <c r="A10" i="102"/>
  <c r="B10" i="102"/>
  <c r="A11" i="102"/>
  <c r="B11" i="102"/>
  <c r="A12" i="102"/>
  <c r="B12" i="102"/>
  <c r="A13" i="102"/>
  <c r="B13" i="102"/>
  <c r="A14" i="102"/>
  <c r="B14" i="102"/>
  <c r="A15" i="102"/>
  <c r="B15" i="102"/>
  <c r="A16" i="102"/>
  <c r="B16" i="102"/>
  <c r="A17" i="102"/>
  <c r="B17" i="102"/>
  <c r="A18" i="102"/>
  <c r="B18" i="102"/>
  <c r="A19" i="102"/>
  <c r="B19" i="102"/>
  <c r="A20" i="102"/>
  <c r="B20" i="102"/>
  <c r="A21" i="102"/>
  <c r="B21" i="102"/>
  <c r="A22" i="102"/>
  <c r="B22" i="102"/>
  <c r="A23" i="102"/>
  <c r="B23" i="102"/>
  <c r="A24" i="102"/>
  <c r="B24" i="102"/>
  <c r="A25" i="102"/>
  <c r="B25" i="102"/>
  <c r="A26" i="102"/>
  <c r="B26" i="102"/>
  <c r="A27" i="102"/>
  <c r="B27" i="102"/>
  <c r="A28" i="102"/>
  <c r="B28" i="102"/>
  <c r="A29" i="102"/>
  <c r="B29" i="102"/>
  <c r="A30" i="102"/>
  <c r="B30" i="102"/>
  <c r="A31" i="102"/>
  <c r="B31" i="102"/>
  <c r="A32" i="102"/>
  <c r="B32" i="102"/>
  <c r="A33" i="102"/>
  <c r="B33" i="102"/>
  <c r="A34" i="102"/>
  <c r="B34" i="102"/>
  <c r="A35" i="102"/>
  <c r="B35" i="102"/>
  <c r="A36" i="102"/>
  <c r="B36" i="102"/>
  <c r="A37" i="102"/>
  <c r="B37" i="102"/>
  <c r="A38" i="102"/>
  <c r="B38" i="102"/>
  <c r="A39" i="102"/>
  <c r="B39" i="102"/>
  <c r="A40" i="102"/>
  <c r="B40" i="102"/>
  <c r="A41" i="102"/>
  <c r="B41" i="102"/>
  <c r="A42" i="102"/>
  <c r="B42" i="102"/>
  <c r="A43" i="102"/>
  <c r="B43" i="102"/>
  <c r="A44" i="102"/>
  <c r="B44" i="102"/>
  <c r="A45" i="102"/>
  <c r="B45" i="102"/>
  <c r="A46" i="102"/>
  <c r="B46" i="102"/>
  <c r="A47" i="102"/>
  <c r="B47" i="102"/>
  <c r="A48" i="102"/>
  <c r="B48" i="102"/>
  <c r="A49" i="102"/>
  <c r="B49" i="102"/>
  <c r="A50" i="102"/>
  <c r="B50" i="102"/>
  <c r="A51" i="102"/>
  <c r="B51" i="102"/>
  <c r="A52" i="102"/>
  <c r="B52" i="102"/>
  <c r="A53" i="102"/>
  <c r="B53" i="102"/>
  <c r="A54" i="102"/>
  <c r="B54" i="102"/>
  <c r="A55" i="102"/>
  <c r="B55" i="102"/>
  <c r="A56" i="102"/>
  <c r="B56" i="102"/>
  <c r="A57" i="102"/>
  <c r="B57" i="102"/>
  <c r="A58" i="102"/>
  <c r="B58" i="102"/>
  <c r="A59" i="102"/>
  <c r="B59" i="102"/>
  <c r="A60" i="102"/>
  <c r="B60" i="102"/>
  <c r="A61" i="102"/>
  <c r="B61" i="102"/>
  <c r="A62" i="102"/>
  <c r="B62" i="102"/>
  <c r="A63" i="102"/>
  <c r="B63" i="102"/>
  <c r="A64" i="102"/>
  <c r="B64" i="102"/>
  <c r="A65" i="102"/>
  <c r="B65" i="102"/>
  <c r="A66" i="102"/>
  <c r="B66" i="102"/>
  <c r="A67" i="102"/>
  <c r="B67" i="102"/>
  <c r="A68" i="102"/>
  <c r="B68" i="102"/>
  <c r="A69" i="102"/>
  <c r="B69" i="102"/>
  <c r="A70" i="102"/>
  <c r="B70" i="102"/>
  <c r="A71" i="102"/>
  <c r="B71" i="102"/>
  <c r="A72" i="102"/>
  <c r="B72" i="102"/>
  <c r="A73" i="102"/>
  <c r="B73" i="102"/>
  <c r="A74" i="102"/>
  <c r="B74" i="102"/>
  <c r="A75" i="102"/>
  <c r="B75" i="102"/>
  <c r="A76" i="102"/>
  <c r="B76" i="102"/>
  <c r="A77" i="102"/>
  <c r="B77" i="102"/>
  <c r="A78" i="102"/>
  <c r="B78" i="102"/>
  <c r="A79" i="102"/>
  <c r="B79" i="102"/>
  <c r="A80" i="102"/>
  <c r="B80" i="102"/>
  <c r="A81" i="102"/>
  <c r="B81" i="102"/>
  <c r="A82" i="102"/>
  <c r="B82" i="102"/>
  <c r="A83" i="102"/>
  <c r="B83" i="102"/>
  <c r="A84" i="102"/>
  <c r="B84" i="102"/>
  <c r="A85" i="102"/>
  <c r="B85" i="102"/>
  <c r="A86" i="102"/>
  <c r="B86" i="102"/>
  <c r="A87" i="102"/>
  <c r="B87" i="102"/>
  <c r="A88" i="102"/>
  <c r="B88" i="102"/>
  <c r="A89" i="102"/>
  <c r="B89" i="102"/>
  <c r="A90" i="102"/>
  <c r="B90" i="102"/>
  <c r="A91" i="102"/>
  <c r="B91" i="102"/>
  <c r="A92" i="102"/>
  <c r="B92" i="102"/>
  <c r="A93" i="102"/>
  <c r="B93" i="102"/>
  <c r="A94" i="102"/>
  <c r="B94" i="102"/>
  <c r="A95" i="102"/>
  <c r="B95" i="102"/>
  <c r="A96" i="102"/>
  <c r="B96" i="102"/>
  <c r="A97" i="102"/>
  <c r="B97" i="102"/>
  <c r="A98" i="102"/>
  <c r="B98" i="102"/>
  <c r="A99" i="102"/>
  <c r="B99" i="102"/>
  <c r="A100" i="102"/>
  <c r="B100" i="102"/>
  <c r="C17" i="102" l="1"/>
  <c r="C13" i="102"/>
  <c r="C89" i="102"/>
  <c r="C85" i="102"/>
  <c r="C49" i="102"/>
  <c r="C47" i="102"/>
  <c r="C45" i="102"/>
  <c r="C15" i="102"/>
  <c r="C72" i="102"/>
  <c r="C87" i="102"/>
  <c r="C34" i="102"/>
  <c r="C29" i="102"/>
  <c r="C79" i="102"/>
  <c r="C75" i="102"/>
  <c r="C62" i="102"/>
  <c r="C60" i="102"/>
  <c r="C41" i="102"/>
  <c r="C39" i="102"/>
  <c r="C37" i="102"/>
  <c r="C26" i="102"/>
  <c r="C9" i="102"/>
  <c r="C7" i="102"/>
  <c r="C5" i="102"/>
  <c r="C98" i="102"/>
  <c r="C81" i="102"/>
  <c r="C90" i="102"/>
  <c r="C71" i="102"/>
  <c r="C67" i="102"/>
  <c r="C65" i="102"/>
  <c r="C50" i="102"/>
  <c r="C33" i="102"/>
  <c r="C31" i="102"/>
  <c r="C18" i="102"/>
  <c r="C2" i="102"/>
  <c r="C73" i="102"/>
  <c r="C83" i="102"/>
  <c r="C91" i="102"/>
  <c r="C3" i="102"/>
  <c r="C11" i="102"/>
  <c r="C19" i="102"/>
  <c r="C27" i="102"/>
  <c r="C35" i="102"/>
  <c r="C43" i="102"/>
  <c r="C51" i="102"/>
  <c r="C63" i="102"/>
  <c r="C99" i="102"/>
  <c r="C97" i="102"/>
  <c r="C95" i="102"/>
  <c r="C93" i="102"/>
  <c r="C82" i="102"/>
  <c r="C59" i="102"/>
  <c r="C57" i="102"/>
  <c r="C55" i="102"/>
  <c r="C42" i="102"/>
  <c r="C25" i="102"/>
  <c r="C23" i="102"/>
  <c r="C21" i="102"/>
  <c r="C10" i="102"/>
  <c r="C80" i="102"/>
  <c r="C68" i="102"/>
  <c r="C58" i="102"/>
  <c r="C48" i="102"/>
  <c r="C40" i="102"/>
  <c r="C32" i="102"/>
  <c r="C24" i="102"/>
  <c r="C16" i="102"/>
  <c r="C8" i="102"/>
  <c r="C96" i="102"/>
  <c r="C88" i="102"/>
  <c r="C70" i="102"/>
  <c r="C94" i="102"/>
  <c r="C86" i="102"/>
  <c r="C78" i="102"/>
  <c r="C76" i="102"/>
  <c r="C66" i="102"/>
  <c r="C56" i="102"/>
  <c r="C46" i="102"/>
  <c r="C38" i="102"/>
  <c r="C30" i="102"/>
  <c r="C22" i="102"/>
  <c r="C14" i="102"/>
  <c r="C6" i="102"/>
  <c r="C100" i="102"/>
  <c r="C92" i="102"/>
  <c r="C84" i="102"/>
  <c r="C74" i="102"/>
  <c r="C64" i="102"/>
  <c r="C54" i="102"/>
  <c r="C52" i="102"/>
  <c r="C44" i="102"/>
  <c r="C36" i="102"/>
  <c r="C28" i="102"/>
  <c r="C20" i="102"/>
  <c r="C12" i="102"/>
  <c r="C4" i="102"/>
  <c r="C1" i="102"/>
  <c r="C77" i="102"/>
  <c r="C69" i="102"/>
  <c r="C61" i="102"/>
  <c r="C53" i="102"/>
  <c r="B23" i="94" l="1"/>
  <c r="B119" i="14" l="1"/>
  <c r="B162" i="14" s="1"/>
  <c r="B76" i="14" l="1"/>
  <c r="H18" i="12"/>
  <c r="H17" i="12"/>
  <c r="B29" i="6" l="1"/>
  <c r="A51" i="78"/>
  <c r="B25" i="6" l="1"/>
  <c r="B24" i="6" l="1"/>
  <c r="B23" i="6"/>
  <c r="B22" i="6"/>
  <c r="B21" i="6"/>
  <c r="B33" i="14"/>
  <c r="B28" i="6"/>
  <c r="B27" i="6"/>
  <c r="B26" i="6"/>
  <c r="B36" i="6"/>
  <c r="B37" i="3"/>
</calcChain>
</file>

<file path=xl/comments1.xml><?xml version="1.0" encoding="utf-8"?>
<comments xmlns="http://schemas.openxmlformats.org/spreadsheetml/2006/main">
  <authors>
    <author>作者</author>
  </authors>
  <commentList>
    <comment ref="F9" authorId="0" shapeId="0">
      <text>
        <r>
          <rPr>
            <b/>
            <sz val="9"/>
            <color indexed="81"/>
            <rFont val="Tahoma"/>
            <family val="2"/>
          </rPr>
          <t xml:space="preserve">对于AEO互认国家（地区）企业的，编码填报AEO编码，填报样式按照海关总署发布的相关公告要求填报（如新加坡AEO企业填报样式为：SG123456789012，韩国AEO企业填报样式为KR1234567，具体见相关公告要求）；
非互认国家（地区）AEO企业等其他情形，编码免于填报。
</t>
        </r>
      </text>
    </comment>
    <comment ref="B10" authorId="0" shapeId="0">
      <text>
        <r>
          <rPr>
            <sz val="9"/>
            <color indexed="81"/>
            <rFont val="Tahoma"/>
            <family val="2"/>
          </rPr>
          <t>境外收货人通常指签订并执行出口贸易</t>
        </r>
        <r>
          <rPr>
            <b/>
            <sz val="9"/>
            <color indexed="81"/>
            <rFont val="Tahoma"/>
            <family val="2"/>
          </rPr>
          <t>合同</t>
        </r>
        <r>
          <rPr>
            <sz val="9"/>
            <color indexed="81"/>
            <rFont val="Tahoma"/>
            <family val="2"/>
          </rPr>
          <t>中的买方或合同指定的收货人
名称一般填报英文名称，检验检疫要求填报其他外文名称的，在英文名称后填报，以半角括号分隔；</t>
        </r>
      </text>
    </comment>
    <comment ref="B15" authorId="0" shapeId="0">
      <text>
        <r>
          <rPr>
            <sz val="9"/>
            <color indexed="81"/>
            <rFont val="Tahoma"/>
            <family val="2"/>
          </rPr>
          <t>填报进出口货物的</t>
        </r>
        <r>
          <rPr>
            <b/>
            <sz val="9"/>
            <color indexed="81"/>
            <rFont val="Tahoma"/>
            <family val="2"/>
          </rPr>
          <t>所有</t>
        </r>
        <r>
          <rPr>
            <sz val="9"/>
            <color indexed="81"/>
            <rFont val="Tahoma"/>
            <family val="2"/>
          </rPr>
          <t>包装材料，</t>
        </r>
        <r>
          <rPr>
            <b/>
            <sz val="9"/>
            <color indexed="81"/>
            <rFont val="Tahoma"/>
            <family val="2"/>
          </rPr>
          <t>包括运输包装和其他包装</t>
        </r>
        <r>
          <rPr>
            <sz val="9"/>
            <color indexed="81"/>
            <rFont val="Tahoma"/>
            <family val="2"/>
          </rPr>
          <t>，按海关规定的《包装种类代码表》选择填报相应的包装种类名称及代码。运输包装指提运单所列货物件数单位对应的包装，其他包装包括货物的各类包装，以及植物性铺垫材料等。</t>
        </r>
      </text>
    </comment>
    <comment ref="B16" authorId="0" shapeId="0">
      <text>
        <r>
          <rPr>
            <b/>
            <sz val="9"/>
            <color indexed="81"/>
            <rFont val="Tahoma"/>
            <family val="2"/>
          </rPr>
          <t>00散装     
01裸装
22纸制或纤维板制盒/箱
23木制或竹藤等植物性材料制盒/箱
29其他材料制盒/箱
32纸制或纤维板制桶
33木制或竹藤等植物性材料制桶
39其他材料制桶
04球状罐类
06包/袋
92再生木托
93天然木托
99其他包装</t>
        </r>
      </text>
    </comment>
    <comment ref="F45" authorId="0" shapeId="0">
      <text>
        <r>
          <rPr>
            <b/>
            <sz val="9"/>
            <color indexed="81"/>
            <rFont val="Tahoma"/>
            <family val="2"/>
          </rPr>
          <t xml:space="preserve">对于AEO互认国家（地区）企业的，编码填报AEO编码，填报样式按照海关总署发布的相关公告要求填报（如新加坡AEO企业填报样式为：SG123456789012，韩国AEO企业填报样式为KR1234567，具体见相关公告要求）；
非互认国家（地区）AEO企业等其他情形，编码免于填报。
</t>
        </r>
      </text>
    </comment>
    <comment ref="B46" authorId="0" shapeId="0">
      <text>
        <r>
          <rPr>
            <sz val="9"/>
            <color indexed="81"/>
            <rFont val="Tahoma"/>
            <family val="2"/>
          </rPr>
          <t>境外收货人通常指签订并执行出口贸易</t>
        </r>
        <r>
          <rPr>
            <b/>
            <sz val="9"/>
            <color indexed="81"/>
            <rFont val="Tahoma"/>
            <family val="2"/>
          </rPr>
          <t>合同</t>
        </r>
        <r>
          <rPr>
            <sz val="9"/>
            <color indexed="81"/>
            <rFont val="Tahoma"/>
            <family val="2"/>
          </rPr>
          <t>中的买方或合同指定的收货人
名称一般填报英文名称，检验检疫要求填报其他外文名称的，在英文名称后填报，以半角括号分隔；</t>
        </r>
      </text>
    </comment>
    <comment ref="B51" authorId="0" shapeId="0">
      <text>
        <r>
          <rPr>
            <sz val="9"/>
            <color indexed="81"/>
            <rFont val="Tahoma"/>
            <family val="2"/>
          </rPr>
          <t>填报进出口货物的</t>
        </r>
        <r>
          <rPr>
            <b/>
            <sz val="9"/>
            <color indexed="81"/>
            <rFont val="Tahoma"/>
            <family val="2"/>
          </rPr>
          <t>所有</t>
        </r>
        <r>
          <rPr>
            <sz val="9"/>
            <color indexed="81"/>
            <rFont val="Tahoma"/>
            <family val="2"/>
          </rPr>
          <t>包装材料，</t>
        </r>
        <r>
          <rPr>
            <b/>
            <sz val="9"/>
            <color indexed="81"/>
            <rFont val="Tahoma"/>
            <family val="2"/>
          </rPr>
          <t>包括运输包装和其他包装</t>
        </r>
        <r>
          <rPr>
            <sz val="9"/>
            <color indexed="81"/>
            <rFont val="Tahoma"/>
            <family val="2"/>
          </rPr>
          <t>，按海关规定的《包装种类代码表》选择填报相应的包装种类名称及代码。运输包装指提运单所列货物件数单位对应的包装，其他包装包括货物的各类包装，以及植物性铺垫材料等。</t>
        </r>
      </text>
    </comment>
    <comment ref="B52" authorId="0" shapeId="0">
      <text>
        <r>
          <rPr>
            <b/>
            <sz val="9"/>
            <color indexed="81"/>
            <rFont val="Tahoma"/>
            <family val="2"/>
          </rPr>
          <t>00散装     
01裸装
22纸制或纤维板制盒/箱
23木制或竹藤等植物性材料制盒/箱
29其他材料制盒/箱
32纸制或纤维板制桶
33木制或竹藤等植物性材料制桶
39其他材料制桶
04球状罐类
06包/袋
92再生木托
93天然木托
99其他包装</t>
        </r>
      </text>
    </comment>
    <comment ref="F81" authorId="0" shapeId="0">
      <text>
        <r>
          <rPr>
            <b/>
            <sz val="9"/>
            <color indexed="81"/>
            <rFont val="Tahoma"/>
            <family val="2"/>
          </rPr>
          <t xml:space="preserve">对于AEO互认国家（地区）企业的，编码填报AEO编码，填报样式按照海关总署发布的相关公告要求填报（如新加坡AEO企业填报样式为：SG123456789012，韩国AEO企业填报样式为KR1234567，具体见相关公告要求）；
非互认国家（地区）AEO企业等其他情形，编码免于填报。
</t>
        </r>
      </text>
    </comment>
    <comment ref="B82" authorId="0" shapeId="0">
      <text>
        <r>
          <rPr>
            <sz val="9"/>
            <color indexed="81"/>
            <rFont val="Tahoma"/>
            <family val="2"/>
          </rPr>
          <t>境外收货人通常指签订并执行出口贸易</t>
        </r>
        <r>
          <rPr>
            <b/>
            <sz val="9"/>
            <color indexed="81"/>
            <rFont val="Tahoma"/>
            <family val="2"/>
          </rPr>
          <t>合同</t>
        </r>
        <r>
          <rPr>
            <sz val="9"/>
            <color indexed="81"/>
            <rFont val="Tahoma"/>
            <family val="2"/>
          </rPr>
          <t>中的买方或合同指定的收货人
名称一般填报英文名称，检验检疫要求填报其他外文名称的，在英文名称后填报，以半角括号分隔；</t>
        </r>
      </text>
    </comment>
    <comment ref="B87" authorId="0" shapeId="0">
      <text>
        <r>
          <rPr>
            <sz val="9"/>
            <color indexed="81"/>
            <rFont val="Tahoma"/>
            <family val="2"/>
          </rPr>
          <t>填报进出口货物的</t>
        </r>
        <r>
          <rPr>
            <b/>
            <sz val="9"/>
            <color indexed="81"/>
            <rFont val="Tahoma"/>
            <family val="2"/>
          </rPr>
          <t>所有</t>
        </r>
        <r>
          <rPr>
            <sz val="9"/>
            <color indexed="81"/>
            <rFont val="Tahoma"/>
            <family val="2"/>
          </rPr>
          <t>包装材料，</t>
        </r>
        <r>
          <rPr>
            <b/>
            <sz val="9"/>
            <color indexed="81"/>
            <rFont val="Tahoma"/>
            <family val="2"/>
          </rPr>
          <t>包括运输包装和其他包装</t>
        </r>
        <r>
          <rPr>
            <sz val="9"/>
            <color indexed="81"/>
            <rFont val="Tahoma"/>
            <family val="2"/>
          </rPr>
          <t>，按海关规定的《包装种类代码表》选择填报相应的包装种类名称及代码。运输包装指提运单所列货物件数单位对应的包装，其他包装包括货物的各类包装，以及植物性铺垫材料等。</t>
        </r>
      </text>
    </comment>
    <comment ref="B88" authorId="0" shapeId="0">
      <text>
        <r>
          <rPr>
            <b/>
            <sz val="9"/>
            <color indexed="81"/>
            <rFont val="Tahoma"/>
            <family val="2"/>
          </rPr>
          <t>00散装     
01裸装
22纸制或纤维板制盒/箱
23木制或竹藤等植物性材料制盒/箱
29其他材料制盒/箱
32纸制或纤维板制桶
33木制或竹藤等植物性材料制桶
39其他材料制桶
04球状罐类
06包/袋
92再生木托
93天然木托
99其他包装</t>
        </r>
      </text>
    </comment>
    <comment ref="F119" authorId="0" shapeId="0">
      <text>
        <r>
          <rPr>
            <b/>
            <sz val="9"/>
            <color indexed="81"/>
            <rFont val="Tahoma"/>
            <family val="2"/>
          </rPr>
          <t xml:space="preserve">对于AEO互认国家（地区）企业的，编码填报AEO编码，填报样式按照海关总署发布的相关公告要求填报（如新加坡AEO企业填报样式为：SG123456789012，韩国AEO企业填报样式为KR1234567，具体见相关公告要求）；
非互认国家（地区）AEO企业等其他情形，编码免于填报。
</t>
        </r>
      </text>
    </comment>
    <comment ref="B120" authorId="0" shapeId="0">
      <text>
        <r>
          <rPr>
            <sz val="9"/>
            <color indexed="81"/>
            <rFont val="Tahoma"/>
            <family val="2"/>
          </rPr>
          <t>境外收货人通常指签订并执行出口贸易</t>
        </r>
        <r>
          <rPr>
            <b/>
            <sz val="9"/>
            <color indexed="81"/>
            <rFont val="Tahoma"/>
            <family val="2"/>
          </rPr>
          <t>合同</t>
        </r>
        <r>
          <rPr>
            <sz val="9"/>
            <color indexed="81"/>
            <rFont val="Tahoma"/>
            <family val="2"/>
          </rPr>
          <t>中的买方或合同指定的收货人
名称一般填报英文名称，检验检疫要求填报其他外文名称的，在英文名称后填报，以半角括号分隔；</t>
        </r>
      </text>
    </comment>
    <comment ref="B125" authorId="0" shapeId="0">
      <text>
        <r>
          <rPr>
            <sz val="9"/>
            <color indexed="81"/>
            <rFont val="Tahoma"/>
            <family val="2"/>
          </rPr>
          <t>填报进出口货物的</t>
        </r>
        <r>
          <rPr>
            <b/>
            <sz val="9"/>
            <color indexed="81"/>
            <rFont val="Tahoma"/>
            <family val="2"/>
          </rPr>
          <t>所有</t>
        </r>
        <r>
          <rPr>
            <sz val="9"/>
            <color indexed="81"/>
            <rFont val="Tahoma"/>
            <family val="2"/>
          </rPr>
          <t>包装材料，</t>
        </r>
        <r>
          <rPr>
            <b/>
            <sz val="9"/>
            <color indexed="81"/>
            <rFont val="Tahoma"/>
            <family val="2"/>
          </rPr>
          <t>包括运输包装和其他包装</t>
        </r>
        <r>
          <rPr>
            <sz val="9"/>
            <color indexed="81"/>
            <rFont val="Tahoma"/>
            <family val="2"/>
          </rPr>
          <t>，按海关规定的《包装种类代码表》选择填报相应的包装种类名称及代码。运输包装指提运单所列货物件数单位对应的包装，其他包装包括货物的各类包装，以及植物性铺垫材料等。</t>
        </r>
      </text>
    </comment>
    <comment ref="B126" authorId="0" shapeId="0">
      <text>
        <r>
          <rPr>
            <b/>
            <sz val="9"/>
            <color indexed="81"/>
            <rFont val="Tahoma"/>
            <family val="2"/>
          </rPr>
          <t>00散装     
01裸装
22纸制或纤维板制盒/箱
23木制或竹藤等植物性材料制盒/箱
29其他材料制盒/箱
32纸制或纤维板制桶
33木制或竹藤等植物性材料制桶
39其他材料制桶
04球状罐类
06包/袋
92再生木托
93天然木托
99其他包装</t>
        </r>
      </text>
    </comment>
  </commentList>
</comments>
</file>

<file path=xl/sharedStrings.xml><?xml version="1.0" encoding="utf-8"?>
<sst xmlns="http://schemas.openxmlformats.org/spreadsheetml/2006/main" count="8264" uniqueCount="2182">
  <si>
    <t>To Whom This May Concern:</t>
    <phoneticPr fontId="1" type="noConversion"/>
  </si>
  <si>
    <t>Date:</t>
    <phoneticPr fontId="1" type="noConversion"/>
  </si>
  <si>
    <t>The materials are not dangerous, and present no danger to living organisms.</t>
  </si>
  <si>
    <t>1. The material is laboratory reagent not intended for human of diagnostic use.</t>
    <phoneticPr fontId="1" type="noConversion"/>
  </si>
  <si>
    <t xml:space="preserve">2. The material has not been exposed to livestock or avian disease agents. </t>
    <phoneticPr fontId="1" type="noConversion"/>
  </si>
  <si>
    <t xml:space="preserve">3. The material does not produce antigens or monoclonal antibodies directed against livestock or avian disease agents. </t>
    <phoneticPr fontId="1" type="noConversion"/>
  </si>
  <si>
    <t xml:space="preserve">4. The material is not biological in origin and therefore there is no species designation. </t>
    <phoneticPr fontId="1" type="noConversion"/>
  </si>
  <si>
    <t>5. The material is not biological in origin, therefore there is no recombinant or non-recombinant genetic materials present.</t>
    <phoneticPr fontId="1" type="noConversion"/>
  </si>
  <si>
    <t>8. The product contains no monoclonal or polyclonal antibodies.  There is no immuneogen.</t>
    <phoneticPr fontId="1" type="noConversion"/>
  </si>
  <si>
    <t>10. I CERTIFY THAT ALL CHEMICALS IN THIS SHIPMENT ARE NOT SUBJECT TO TSCA</t>
    <phoneticPr fontId="1" type="noConversion"/>
  </si>
  <si>
    <t>11. The material in the package does not contain any fluorochlorocarbons.</t>
    <phoneticPr fontId="1" type="noConversion"/>
  </si>
  <si>
    <t>End Use Letter</t>
    <phoneticPr fontId="1" type="noConversion"/>
  </si>
  <si>
    <t>This Material is not for Human Use and is for development purposes only.</t>
  </si>
  <si>
    <t>Research Materials for testing only.</t>
  </si>
  <si>
    <t>I certify that all chemical substances in this shipment are not subject to TSCA.</t>
  </si>
  <si>
    <t xml:space="preserve">  </t>
    <phoneticPr fontId="1" type="noConversion"/>
  </si>
  <si>
    <t xml:space="preserve">  </t>
    <phoneticPr fontId="1" type="noConversion"/>
  </si>
  <si>
    <r>
      <t>CR number</t>
    </r>
    <r>
      <rPr>
        <sz val="12"/>
        <rFont val="宋体"/>
        <family val="3"/>
        <charset val="134"/>
      </rPr>
      <t/>
    </r>
    <phoneticPr fontId="15" type="noConversion"/>
  </si>
  <si>
    <t>Invoice Number</t>
    <phoneticPr fontId="15" type="noConversion"/>
  </si>
  <si>
    <t>Payment</t>
    <phoneticPr fontId="15" type="noConversion"/>
  </si>
  <si>
    <t>By  Means</t>
    <phoneticPr fontId="15" type="noConversion"/>
  </si>
  <si>
    <t>B/L  No.</t>
    <phoneticPr fontId="15" type="noConversion"/>
  </si>
  <si>
    <t>Port of Loading</t>
    <phoneticPr fontId="15" type="noConversion"/>
  </si>
  <si>
    <t>Port of  Delivery</t>
    <phoneticPr fontId="15" type="noConversion"/>
  </si>
  <si>
    <t>Net Qty(g)</t>
    <phoneticPr fontId="21" type="noConversion"/>
  </si>
  <si>
    <t>Description</t>
    <phoneticPr fontId="21" type="noConversion"/>
  </si>
  <si>
    <t>Unit Price</t>
    <phoneticPr fontId="21" type="noConversion"/>
  </si>
  <si>
    <t>Price</t>
    <phoneticPr fontId="15" type="noConversion"/>
  </si>
  <si>
    <t>Inner Packing</t>
    <phoneticPr fontId="15" type="noConversion"/>
  </si>
  <si>
    <t>Ship Date</t>
    <phoneticPr fontId="15" type="noConversion"/>
  </si>
  <si>
    <t>TAX ID #</t>
    <phoneticPr fontId="15" type="noConversion"/>
  </si>
  <si>
    <t>TSCA   Declaration:</t>
    <phoneticPr fontId="21" type="noConversion"/>
  </si>
  <si>
    <t xml:space="preserve">Shipper: </t>
    <phoneticPr fontId="1" type="noConversion"/>
  </si>
  <si>
    <t xml:space="preserve">                  </t>
    <phoneticPr fontId="1" type="noConversion"/>
  </si>
  <si>
    <t>Authorized Signature:</t>
    <phoneticPr fontId="15" type="noConversion"/>
  </si>
  <si>
    <r>
      <t xml:space="preserve">) contains </t>
    </r>
    <r>
      <rPr>
        <b/>
        <sz val="11"/>
        <rFont val="Arial"/>
        <family val="2"/>
      </rPr>
      <t>non dangerous</t>
    </r>
    <r>
      <rPr>
        <sz val="11"/>
        <rFont val="Arial"/>
        <family val="2"/>
      </rPr>
      <t xml:space="preserve"> </t>
    </r>
    <phoneticPr fontId="1" type="noConversion"/>
  </si>
  <si>
    <r>
      <rPr>
        <b/>
        <sz val="11"/>
        <rFont val="Arial"/>
        <family val="2"/>
      </rPr>
      <t>chemical intermediates, which present no danger to living organisms.</t>
    </r>
    <r>
      <rPr>
        <sz val="11"/>
        <rFont val="Arial"/>
        <family val="2"/>
      </rPr>
      <t xml:space="preserve">  Following are the details:</t>
    </r>
    <phoneticPr fontId="1" type="noConversion"/>
  </si>
  <si>
    <r>
      <t xml:space="preserve">7. The country of origin is </t>
    </r>
    <r>
      <rPr>
        <b/>
        <sz val="11"/>
        <rFont val="Arial"/>
        <family val="2"/>
      </rPr>
      <t>China</t>
    </r>
    <r>
      <rPr>
        <sz val="11"/>
        <rFont val="Arial"/>
        <family val="2"/>
      </rPr>
      <t xml:space="preserve">. </t>
    </r>
    <phoneticPr fontId="1" type="noConversion"/>
  </si>
  <si>
    <t>T/T</t>
    <phoneticPr fontId="15" type="noConversion"/>
  </si>
  <si>
    <t>Shanghai</t>
    <phoneticPr fontId="15" type="noConversion"/>
  </si>
  <si>
    <t>TRK#:</t>
    <phoneticPr fontId="1" type="noConversion"/>
  </si>
  <si>
    <t>This is to certify that the shipment (  TRK#</t>
    <phoneticPr fontId="1" type="noConversion"/>
  </si>
  <si>
    <t>Consignee:</t>
    <phoneticPr fontId="1" type="noConversion"/>
  </si>
  <si>
    <t>Manufacturer and Shipper:</t>
    <phoneticPr fontId="1" type="noConversion"/>
  </si>
  <si>
    <t>Commercial Invoice</t>
    <phoneticPr fontId="1" type="noConversion"/>
  </si>
  <si>
    <t>签发日期</t>
  </si>
  <si>
    <t>化工品药品出运情况说明</t>
    <phoneticPr fontId="1" type="noConversion"/>
  </si>
  <si>
    <t>公司名称</t>
    <phoneticPr fontId="1" type="noConversion"/>
  </si>
  <si>
    <t>取件地址</t>
    <phoneticPr fontId="1" type="noConversion"/>
  </si>
  <si>
    <t>邮      编</t>
    <phoneticPr fontId="1" type="noConversion"/>
  </si>
  <si>
    <t>电子邮箱</t>
    <phoneticPr fontId="1" type="noConversion"/>
  </si>
  <si>
    <t>联 系 电 话</t>
    <phoneticPr fontId="1" type="noConversion"/>
  </si>
  <si>
    <t>传真</t>
    <phoneticPr fontId="1" type="noConversion"/>
  </si>
  <si>
    <t>货物品名</t>
    <phoneticPr fontId="1" type="noConversion"/>
  </si>
  <si>
    <t>货物成分</t>
    <phoneticPr fontId="1" type="noConversion"/>
  </si>
  <si>
    <t>货物分子式</t>
    <phoneticPr fontId="1" type="noConversion"/>
  </si>
  <si>
    <t>货物结构式</t>
    <phoneticPr fontId="1" type="noConversion"/>
  </si>
  <si>
    <t>用途</t>
    <phoneticPr fontId="1" type="noConversion"/>
  </si>
  <si>
    <t>仅供科研用途</t>
    <phoneticPr fontId="1" type="noConversion"/>
  </si>
  <si>
    <t>化工品真实情况说明：</t>
    <phoneticPr fontId="1" type="noConversion"/>
  </si>
  <si>
    <t>兴奋剂</t>
    <phoneticPr fontId="1" type="noConversion"/>
  </si>
  <si>
    <t>是</t>
    <phoneticPr fontId="1" type="noConversion"/>
  </si>
  <si>
    <t>否</t>
    <phoneticPr fontId="1" type="noConversion"/>
  </si>
  <si>
    <t>制造兴奋剂</t>
    <phoneticPr fontId="1" type="noConversion"/>
  </si>
  <si>
    <t>精神类麻醉类药品</t>
    <phoneticPr fontId="1" type="noConversion"/>
  </si>
  <si>
    <t>军事管理类</t>
    <phoneticPr fontId="1" type="noConversion"/>
  </si>
  <si>
    <t>军用管理类</t>
    <phoneticPr fontId="1" type="noConversion"/>
  </si>
  <si>
    <t>是否属于药品</t>
    <phoneticPr fontId="1" type="noConversion"/>
  </si>
  <si>
    <t>其他描述：</t>
    <phoneticPr fontId="1" type="noConversion"/>
  </si>
  <si>
    <t>药典说明（药品类必填）：</t>
    <phoneticPr fontId="1" type="noConversion"/>
  </si>
  <si>
    <t>Port of Trans</t>
    <phoneticPr fontId="15" type="noConversion"/>
  </si>
  <si>
    <t>Tracking No.:</t>
    <phoneticPr fontId="15" type="noConversion"/>
  </si>
  <si>
    <t>I certify that all chemicals in this shipment are not subject to TSCA.</t>
    <phoneticPr fontId="21" type="noConversion"/>
  </si>
  <si>
    <t xml:space="preserve"> FOR LABORATORY RESEARCH ONLY! </t>
    <phoneticPr fontId="15" type="noConversion"/>
  </si>
  <si>
    <t>上海毕路得医药科技有限公司</t>
    <phoneticPr fontId="1" type="noConversion"/>
  </si>
  <si>
    <t>BLD Pharmatech Ltd.</t>
    <phoneticPr fontId="1" type="noConversion"/>
  </si>
  <si>
    <t xml:space="preserve">货物运输安全保证函
20160303 Guarantee of Safety Transportation 20160303
</t>
    <phoneticPr fontId="1" type="noConversion"/>
  </si>
  <si>
    <t>发件公司英文名（shipper in English）</t>
    <phoneticPr fontId="1" type="noConversion"/>
  </si>
  <si>
    <t>发件公司中文名（shipper in Chinese）</t>
    <phoneticPr fontId="1" type="noConversion"/>
  </si>
  <si>
    <t>送检公司（inspection submitted ）</t>
    <phoneticPr fontId="1" type="noConversion"/>
  </si>
  <si>
    <t>上海毕路得医药科技有限公司</t>
    <phoneticPr fontId="1" type="noConversion"/>
  </si>
  <si>
    <t>No danger，can be packaged and air transported by ordinary goods
无危险性可按普通货物包装及空运</t>
    <phoneticPr fontId="1" type="noConversion"/>
  </si>
  <si>
    <t>Paper packaging
纸质包装</t>
    <phoneticPr fontId="1" type="noConversion"/>
  </si>
  <si>
    <t xml:space="preserve">我公司以上申报属实，若由于我公司申报不符，而造成运输过程中的一切损伤，我公司承担一切法律责任和经济赔偿。
I guarantee the truth of above information, or I will take full responsibilities for the result caused by the fake declared information. 
</t>
    <phoneticPr fontId="1" type="noConversion"/>
  </si>
  <si>
    <t xml:space="preserve">发件公司（公章）
Shipper(Stamp)
</t>
    <phoneticPr fontId="1" type="noConversion"/>
  </si>
  <si>
    <t xml:space="preserve">送检公司（公章）
inspection submitted (Stamp)
</t>
    <phoneticPr fontId="1" type="noConversion"/>
  </si>
  <si>
    <t>运单号Air Waybill NO.</t>
    <phoneticPr fontId="1" type="noConversion"/>
  </si>
  <si>
    <t>包装Packaging</t>
    <phoneticPr fontId="1" type="noConversion"/>
  </si>
  <si>
    <t>始发地/地址Origin Address</t>
    <phoneticPr fontId="1" type="noConversion"/>
  </si>
  <si>
    <t>目的地/地址Destination Address</t>
    <phoneticPr fontId="1" type="noConversion"/>
  </si>
  <si>
    <t xml:space="preserve">货物品名（英文）Shipments Details（English）
</t>
    <phoneticPr fontId="1" type="noConversion"/>
  </si>
  <si>
    <t xml:space="preserve">鉴定结果 
Transportation Information
</t>
    <phoneticPr fontId="1" type="noConversion"/>
  </si>
  <si>
    <t xml:space="preserve"> BLD Pharmatech Ltd.</t>
    <phoneticPr fontId="1" type="noConversion"/>
  </si>
  <si>
    <t xml:space="preserve">货物品名（中文）
Shipments Details（Chinese）
</t>
    <phoneticPr fontId="1" type="noConversion"/>
  </si>
  <si>
    <t xml:space="preserve">货物运输条件鉴定书编号：
Certification No. For Safe Transportation of Chemical Goods
</t>
    <phoneticPr fontId="1" type="noConversion"/>
  </si>
  <si>
    <r>
      <t xml:space="preserve">9. </t>
    </r>
    <r>
      <rPr>
        <u/>
        <sz val="11"/>
        <rFont val="Arial"/>
        <family val="2"/>
      </rPr>
      <t>The materials are chemical intermediates</t>
    </r>
    <r>
      <rPr>
        <sz val="11"/>
        <rFont val="Arial"/>
        <family val="2"/>
      </rPr>
      <t xml:space="preserve"> produced by BLD pharmatech  LTD.</t>
    </r>
    <phoneticPr fontId="1" type="noConversion"/>
  </si>
  <si>
    <t xml:space="preserve">6. The intended use of the product is for basic chemical research purposes.  </t>
    <phoneticPr fontId="1" type="noConversion"/>
  </si>
  <si>
    <t>Declaration from BLD pharmatech  LTD.</t>
    <phoneticPr fontId="1" type="noConversion"/>
  </si>
  <si>
    <t>发件人签名：     闫登科                                 企业单位签章:</t>
    <phoneticPr fontId="1" type="noConversion"/>
  </si>
  <si>
    <t>货物商品编码</t>
    <phoneticPr fontId="1" type="noConversion"/>
  </si>
  <si>
    <t>申报要素</t>
  </si>
  <si>
    <t xml:space="preserve">品名： </t>
    <phoneticPr fontId="1" type="noConversion"/>
  </si>
  <si>
    <t>（HS CODE:</t>
    <phoneticPr fontId="1" type="noConversion"/>
  </si>
  <si>
    <t>)</t>
    <phoneticPr fontId="1" type="noConversion"/>
  </si>
  <si>
    <t>用途：实验室用</t>
    <phoneticPr fontId="1" type="noConversion"/>
  </si>
  <si>
    <t>签约日期：</t>
    <phoneticPr fontId="1" type="noConversion"/>
  </si>
  <si>
    <t>一般贸易</t>
  </si>
  <si>
    <t>发票号</t>
  </si>
  <si>
    <t>成分含量：</t>
    <phoneticPr fontId="1" type="noConversion"/>
  </si>
  <si>
    <r>
      <t>SIZE</t>
    </r>
    <r>
      <rPr>
        <b/>
        <sz val="10"/>
        <rFont val="宋体"/>
        <family val="3"/>
        <charset val="134"/>
      </rPr>
      <t>（</t>
    </r>
    <r>
      <rPr>
        <b/>
        <sz val="10"/>
        <rFont val="Arial"/>
        <family val="2"/>
      </rPr>
      <t>cm</t>
    </r>
    <r>
      <rPr>
        <b/>
        <sz val="10"/>
        <rFont val="宋体"/>
        <family val="3"/>
        <charset val="134"/>
      </rPr>
      <t>）</t>
    </r>
    <phoneticPr fontId="1" type="noConversion"/>
  </si>
  <si>
    <r>
      <t xml:space="preserve"> </t>
    </r>
    <r>
      <rPr>
        <sz val="10"/>
        <rFont val="宋体"/>
        <family val="3"/>
        <charset val="134"/>
      </rPr>
      <t>上海毕路得医药科技有限公司</t>
    </r>
    <phoneticPr fontId="1" type="noConversion"/>
  </si>
  <si>
    <t>包装瓶</t>
  </si>
  <si>
    <t>Glass/Plastic bottle</t>
  </si>
  <si>
    <t>净含量99%，杂质（结晶水约1%）</t>
    <phoneticPr fontId="1" type="noConversion"/>
  </si>
  <si>
    <t>黄色液体</t>
  </si>
  <si>
    <t>白色粉末</t>
  </si>
  <si>
    <t>褐色液体</t>
  </si>
  <si>
    <t>021-58255690</t>
  </si>
  <si>
    <r>
      <t>代</t>
    </r>
    <r>
      <rPr>
        <b/>
        <sz val="18"/>
        <rFont val="Times New Roman"/>
        <family val="1"/>
      </rPr>
      <t xml:space="preserve"> </t>
    </r>
    <r>
      <rPr>
        <b/>
        <sz val="18"/>
        <rFont val="黑体"/>
        <family val="3"/>
        <charset val="134"/>
      </rPr>
      <t>理</t>
    </r>
    <r>
      <rPr>
        <b/>
        <sz val="18"/>
        <rFont val="Times New Roman"/>
        <family val="1"/>
      </rPr>
      <t xml:space="preserve"> </t>
    </r>
    <r>
      <rPr>
        <b/>
        <sz val="18"/>
        <rFont val="黑体"/>
        <family val="3"/>
        <charset val="134"/>
      </rPr>
      <t>报</t>
    </r>
    <r>
      <rPr>
        <b/>
        <sz val="18"/>
        <rFont val="Times New Roman"/>
        <family val="1"/>
      </rPr>
      <t xml:space="preserve"> </t>
    </r>
    <r>
      <rPr>
        <b/>
        <sz val="18"/>
        <rFont val="黑体"/>
        <family val="3"/>
        <charset val="134"/>
      </rPr>
      <t>关</t>
    </r>
    <r>
      <rPr>
        <b/>
        <sz val="18"/>
        <rFont val="Times New Roman"/>
        <family val="1"/>
      </rPr>
      <t xml:space="preserve"> </t>
    </r>
    <r>
      <rPr>
        <b/>
        <sz val="18"/>
        <rFont val="黑体"/>
        <family val="3"/>
        <charset val="134"/>
      </rPr>
      <t>委</t>
    </r>
    <r>
      <rPr>
        <b/>
        <sz val="18"/>
        <rFont val="Times New Roman"/>
        <family val="1"/>
      </rPr>
      <t xml:space="preserve"> </t>
    </r>
    <r>
      <rPr>
        <b/>
        <sz val="18"/>
        <rFont val="黑体"/>
        <family val="3"/>
        <charset val="134"/>
      </rPr>
      <t>托</t>
    </r>
    <r>
      <rPr>
        <b/>
        <sz val="18"/>
        <rFont val="Times New Roman"/>
        <family val="1"/>
      </rPr>
      <t xml:space="preserve"> </t>
    </r>
    <r>
      <rPr>
        <b/>
        <sz val="18"/>
        <rFont val="黑体"/>
        <family val="3"/>
        <charset val="134"/>
      </rPr>
      <t>书</t>
    </r>
  </si>
  <si>
    <t xml:space="preserve">                                     </t>
  </si>
  <si>
    <t>委托方</t>
  </si>
  <si>
    <t>被委托方</t>
  </si>
  <si>
    <t>主要货物名称</t>
  </si>
  <si>
    <r>
      <t>*</t>
    </r>
    <r>
      <rPr>
        <b/>
        <sz val="9"/>
        <rFont val="宋体"/>
        <family val="3"/>
        <charset val="134"/>
      </rPr>
      <t>报关单编码</t>
    </r>
  </si>
  <si>
    <t>No.</t>
  </si>
  <si>
    <r>
      <t>HS</t>
    </r>
    <r>
      <rPr>
        <b/>
        <sz val="9"/>
        <rFont val="宋体"/>
        <family val="3"/>
        <charset val="134"/>
      </rPr>
      <t>编码</t>
    </r>
  </si>
  <si>
    <t>收到单证日期</t>
  </si>
  <si>
    <r>
      <t xml:space="preserve">              </t>
    </r>
    <r>
      <rPr>
        <b/>
        <sz val="9"/>
        <rFont val="宋体"/>
        <family val="3"/>
        <charset val="134"/>
      </rPr>
      <t>年</t>
    </r>
    <r>
      <rPr>
        <b/>
        <sz val="9"/>
        <rFont val="Times New Roman"/>
        <family val="1"/>
      </rPr>
      <t xml:space="preserve">  </t>
    </r>
    <r>
      <rPr>
        <b/>
        <sz val="9"/>
        <rFont val="宋体"/>
        <family val="3"/>
        <charset val="134"/>
      </rPr>
      <t>月</t>
    </r>
    <r>
      <rPr>
        <b/>
        <sz val="9"/>
        <rFont val="Times New Roman"/>
        <family val="1"/>
      </rPr>
      <t xml:space="preserve">  </t>
    </r>
    <r>
      <rPr>
        <b/>
        <sz val="9"/>
        <rFont val="宋体"/>
        <family val="3"/>
        <charset val="134"/>
      </rPr>
      <t>日</t>
    </r>
  </si>
  <si>
    <r>
      <t>合同</t>
    </r>
    <r>
      <rPr>
        <b/>
        <sz val="12"/>
        <rFont val="宋体"/>
        <family val="3"/>
        <charset val="134"/>
      </rPr>
      <t>□</t>
    </r>
  </si>
  <si>
    <r>
      <t>发票</t>
    </r>
    <r>
      <rPr>
        <b/>
        <sz val="12"/>
        <rFont val="宋体"/>
        <family val="3"/>
        <charset val="134"/>
      </rPr>
      <t>□</t>
    </r>
  </si>
  <si>
    <t>进出口日期</t>
  </si>
  <si>
    <t>收到单证情况</t>
  </si>
  <si>
    <r>
      <t>装箱清单</t>
    </r>
    <r>
      <rPr>
        <b/>
        <sz val="12"/>
        <rFont val="宋体"/>
        <family val="3"/>
        <charset val="134"/>
      </rPr>
      <t>□</t>
    </r>
  </si>
  <si>
    <r>
      <t>提（运）单</t>
    </r>
    <r>
      <rPr>
        <b/>
        <sz val="12"/>
        <rFont val="宋体"/>
        <family val="3"/>
        <charset val="134"/>
      </rPr>
      <t>□</t>
    </r>
  </si>
  <si>
    <r>
      <t>加工贸易手册</t>
    </r>
    <r>
      <rPr>
        <b/>
        <sz val="12"/>
        <rFont val="宋体"/>
        <family val="3"/>
        <charset val="134"/>
      </rPr>
      <t>□</t>
    </r>
  </si>
  <si>
    <r>
      <t>许可证件</t>
    </r>
    <r>
      <rPr>
        <b/>
        <sz val="12"/>
        <rFont val="宋体"/>
        <family val="3"/>
        <charset val="134"/>
      </rPr>
      <t>□</t>
    </r>
  </si>
  <si>
    <t>贸易方式</t>
  </si>
  <si>
    <t>其他</t>
  </si>
  <si>
    <r>
      <t>原产地</t>
    </r>
    <r>
      <rPr>
        <b/>
        <sz val="9"/>
        <rFont val="Times New Roman"/>
        <family val="1"/>
      </rPr>
      <t>/</t>
    </r>
    <r>
      <rPr>
        <b/>
        <sz val="9"/>
        <rFont val="宋体"/>
        <family val="3"/>
        <charset val="134"/>
      </rPr>
      <t>货源地</t>
    </r>
  </si>
  <si>
    <t>报关收费</t>
  </si>
  <si>
    <r>
      <t>人民币：</t>
    </r>
    <r>
      <rPr>
        <b/>
        <sz val="9"/>
        <rFont val="Times New Roman"/>
        <family val="1"/>
      </rPr>
      <t xml:space="preserve">                </t>
    </r>
    <r>
      <rPr>
        <b/>
        <sz val="9"/>
        <rFont val="宋体"/>
        <family val="3"/>
        <charset val="134"/>
      </rPr>
      <t>元</t>
    </r>
  </si>
  <si>
    <t>其他要求：</t>
  </si>
  <si>
    <t>承诺说明：</t>
  </si>
  <si>
    <t>背面所列通用条款是本协议不可分割的一部分，对本协议的签署构成了对背面通用条款的同意。</t>
  </si>
  <si>
    <t>委托报关协议通用条款</t>
  </si>
  <si>
    <t>委托方负责在报关企业办结海关手续后，及时、履约支付代理报关费用，支付垫支费用，以及因委托方责任产生的滞报金、滞纳金和海关等执法单位依法处以的各种罚款。</t>
  </si>
  <si>
    <t>负责按照海关要求将货物运抵指定场所。</t>
  </si>
  <si>
    <t>负责与被委托方报关员一同协助海关进行查验，回答海关的询问，配合相关调查，并承担产生的相关费用。</t>
  </si>
  <si>
    <t>在被委托方无法做到报关前提取货样的情况下，承担单货相符的责任。</t>
  </si>
  <si>
    <r>
      <t>被委托方责任</t>
    </r>
    <r>
      <rPr>
        <b/>
        <sz val="10.5"/>
        <rFont val="Times New Roman"/>
        <family val="1"/>
      </rPr>
      <t xml:space="preserve"> </t>
    </r>
  </si>
  <si>
    <t>负责解答委托方有关向海关申报的疑问。</t>
  </si>
  <si>
    <t>负责对委托方提供的货物情况和单证的真实性、完整性进行“合理审查”，审查内容包括：（一）证明进出口货物实际情况的资料，包括进出口货物的品名、规格、用途、产地、贸易方式等；（二）有关进出口货物的合同、发票、运输单据、装箱单等商业单据；（三）进出口所需的许可证件及随附单证；（四）海关要求的加工贸易（纸质或电子数据的）及其其他进出口单证。</t>
  </si>
  <si>
    <t>因确定货物的品名、归类等原因，经海关批准，可以看货或提取货样。</t>
  </si>
  <si>
    <t>在接到委托方交付齐备的随附单证后，负责依据委托方提供的单证，按照《中华人民共和国海关进出口报关单填制规范》认真填制报关单，承担“单单相符”的责任，在海关规定和本委托报关协议中约定的时间内报关，办理海关手续。</t>
  </si>
  <si>
    <t>负责及时通知委托方共同协助海关进行查验，并配合海关开展相关调查。</t>
  </si>
  <si>
    <t>负责支付因报关企业的责任给委托方造成的直接经济损失，所产生的滞报金、滞纳金和海关等执法单位依法处以的各种罚款。</t>
  </si>
  <si>
    <t>负责在本委托书约定的时间内将办结海关手续的有关委托内容的单证、文件交还委托方或其指定的人员（详见《委托报关协议》“其他要求”栏）。</t>
  </si>
  <si>
    <r>
      <t>赔偿原则</t>
    </r>
    <r>
      <rPr>
        <b/>
        <sz val="10.5"/>
        <rFont val="Times New Roman"/>
        <family val="1"/>
      </rPr>
      <t xml:space="preserve">  </t>
    </r>
    <r>
      <rPr>
        <b/>
        <sz val="10.5"/>
        <rFont val="宋体"/>
        <family val="3"/>
        <charset val="134"/>
      </rPr>
      <t>被委托方不承担因不可抗力给委托方造成损失的责任。因其他过失造成的损失，由双方自行约定或按国家有关法律法规的规定办理。由此造成的风险，委托方可以投保方式自行规避。</t>
    </r>
  </si>
  <si>
    <r>
      <t>不承担的责任</t>
    </r>
    <r>
      <rPr>
        <b/>
        <sz val="10.5"/>
        <rFont val="Times New Roman"/>
        <family val="1"/>
      </rPr>
      <t xml:space="preserve">  </t>
    </r>
    <r>
      <rPr>
        <b/>
        <sz val="10.5"/>
        <rFont val="宋体"/>
        <family val="3"/>
        <charset val="134"/>
      </rPr>
      <t>签约双方各自不承担因另外一方原因造成的直接经济损失，以及滞报金、滞纳金和相关罚款。</t>
    </r>
  </si>
  <si>
    <r>
      <t>收费原则</t>
    </r>
    <r>
      <rPr>
        <b/>
        <sz val="10.5"/>
        <rFont val="Times New Roman"/>
        <family val="1"/>
      </rPr>
      <t xml:space="preserve">  </t>
    </r>
    <r>
      <rPr>
        <b/>
        <sz val="10.5"/>
        <rFont val="宋体"/>
        <family val="3"/>
        <charset val="134"/>
      </rPr>
      <t>一般货物报关收费原则上按当地《报关行业收费指导价格》规定执行。特殊商品可由双方另行商定。</t>
    </r>
  </si>
  <si>
    <r>
      <t>法律强制</t>
    </r>
    <r>
      <rPr>
        <b/>
        <sz val="10.5"/>
        <rFont val="Times New Roman"/>
        <family val="1"/>
      </rPr>
      <t xml:space="preserve">  </t>
    </r>
    <r>
      <rPr>
        <b/>
        <sz val="10.5"/>
        <rFont val="宋体"/>
        <family val="3"/>
        <charset val="134"/>
      </rPr>
      <t>本《委托报关协议》的任一条款与《海关法》及有关法律、法规不一致时，应以法律、法规为准。但不影响《委托报关协议》其他条款的有效。</t>
    </r>
  </si>
  <si>
    <r>
      <t>协商解决事项</t>
    </r>
    <r>
      <rPr>
        <b/>
        <sz val="10.5"/>
        <rFont val="Times New Roman"/>
        <family val="1"/>
      </rPr>
      <t xml:space="preserve">  </t>
    </r>
    <r>
      <rPr>
        <b/>
        <sz val="10.5"/>
        <rFont val="宋体"/>
        <family val="3"/>
        <charset val="134"/>
      </rPr>
      <t>变更、中止本协议或双方发生争议时，按照《中华人民共和国合同法》有关规定及程序处理。因签约双方以外的原因产生的问题或报关业务需要修改协议条款，应协商订立补充协议。双方可以在法律、行政法规准许的范围内另行签署补充条款，但补充条款不得与本协议的内容相抵触。</t>
    </r>
  </si>
  <si>
    <t>申报单位（签章）</t>
    <phoneticPr fontId="36" type="noConversion"/>
  </si>
  <si>
    <t>海关批注及签章</t>
    <phoneticPr fontId="36" type="noConversion"/>
  </si>
  <si>
    <t>兹申明对以上内容承担如实申报、依法纳税之法律责任</t>
    <phoneticPr fontId="36" type="noConversion"/>
  </si>
  <si>
    <t>电话</t>
    <phoneticPr fontId="36" type="noConversion"/>
  </si>
  <si>
    <t>报关人员证号</t>
  </si>
  <si>
    <t>报关人员</t>
  </si>
  <si>
    <t>自报自缴：</t>
    <phoneticPr fontId="36" type="noConversion"/>
  </si>
  <si>
    <t>支付特许权使用费确认：</t>
    <phoneticPr fontId="36" type="noConversion"/>
  </si>
  <si>
    <t>价格影响确认：</t>
    <phoneticPr fontId="36" type="noConversion"/>
  </si>
  <si>
    <t>特殊关系确认：</t>
    <phoneticPr fontId="36" type="noConversion"/>
  </si>
  <si>
    <t>照章征税</t>
    <phoneticPr fontId="36" type="noConversion"/>
  </si>
  <si>
    <t>上海南汇</t>
    <phoneticPr fontId="36" type="noConversion"/>
  </si>
  <si>
    <t>中国</t>
    <phoneticPr fontId="36" type="noConversion"/>
  </si>
  <si>
    <t>克</t>
    <phoneticPr fontId="36" type="noConversion"/>
  </si>
  <si>
    <t>征免</t>
    <phoneticPr fontId="36" type="noConversion"/>
  </si>
  <si>
    <t>境内货源地</t>
    <phoneticPr fontId="36" type="noConversion"/>
  </si>
  <si>
    <t>最终目的国（地区）</t>
    <phoneticPr fontId="36" type="noConversion"/>
  </si>
  <si>
    <t>原产国（地区）</t>
    <phoneticPr fontId="36" type="noConversion"/>
  </si>
  <si>
    <t>单价/总价/币制</t>
    <phoneticPr fontId="36" type="noConversion"/>
  </si>
  <si>
    <t>数量及单位</t>
    <phoneticPr fontId="36" type="noConversion"/>
  </si>
  <si>
    <t>商品名称及规格型号</t>
    <phoneticPr fontId="36" type="noConversion"/>
  </si>
  <si>
    <t>商品编号</t>
    <phoneticPr fontId="36" type="noConversion"/>
  </si>
  <si>
    <t>项号</t>
    <phoneticPr fontId="36" type="noConversion"/>
  </si>
  <si>
    <t>标记唛码及备注</t>
    <phoneticPr fontId="36" type="noConversion"/>
  </si>
  <si>
    <t>随附单证及编号</t>
  </si>
  <si>
    <t>FOB</t>
    <phoneticPr fontId="1" type="noConversion"/>
  </si>
  <si>
    <t>内包装玻璃瓶或塑料瓶，外包装纸箱</t>
    <phoneticPr fontId="1" type="noConversion"/>
  </si>
  <si>
    <t>杂费</t>
    <phoneticPr fontId="36" type="noConversion"/>
  </si>
  <si>
    <t>保费</t>
    <phoneticPr fontId="36" type="noConversion"/>
  </si>
  <si>
    <t>运费</t>
    <phoneticPr fontId="36" type="noConversion"/>
  </si>
  <si>
    <t>成交方式</t>
    <phoneticPr fontId="36" type="noConversion"/>
  </si>
  <si>
    <t>净重（克）</t>
    <phoneticPr fontId="36" type="noConversion"/>
  </si>
  <si>
    <t>毛重（千克）</t>
    <phoneticPr fontId="36" type="noConversion"/>
  </si>
  <si>
    <t>件数</t>
    <phoneticPr fontId="36" type="noConversion"/>
  </si>
  <si>
    <t>包装种类  22</t>
    <phoneticPr fontId="1" type="noConversion"/>
  </si>
  <si>
    <t>上海浦东国际机场</t>
  </si>
  <si>
    <t>离境口岸</t>
  </si>
  <si>
    <t>指运港</t>
  </si>
  <si>
    <t>合同协议号</t>
    <phoneticPr fontId="36" type="noConversion"/>
  </si>
  <si>
    <t>一般征税</t>
  </si>
  <si>
    <t>上海毕路得医药科技有限公司</t>
    <phoneticPr fontId="1" type="noConversion"/>
  </si>
  <si>
    <t>许可证号</t>
    <phoneticPr fontId="36" type="noConversion"/>
  </si>
  <si>
    <t>征免性质    （101）</t>
  </si>
  <si>
    <t>监管方式   （0110）</t>
  </si>
  <si>
    <t>航空运输</t>
  </si>
  <si>
    <t>提运单号</t>
    <phoneticPr fontId="36" type="noConversion"/>
  </si>
  <si>
    <t>运输工具名称及航次号</t>
    <phoneticPr fontId="36" type="noConversion"/>
  </si>
  <si>
    <t>运输方式      （5）</t>
  </si>
  <si>
    <t xml:space="preserve">    </t>
    <phoneticPr fontId="1" type="noConversion"/>
  </si>
  <si>
    <t>境外收货人</t>
    <phoneticPr fontId="36" type="noConversion"/>
  </si>
  <si>
    <t>上海快件</t>
  </si>
  <si>
    <t>备案号</t>
    <phoneticPr fontId="36" type="noConversion"/>
  </si>
  <si>
    <t>申报日期</t>
    <phoneticPr fontId="36" type="noConversion"/>
  </si>
  <si>
    <t>出口日期</t>
    <phoneticPr fontId="36" type="noConversion"/>
  </si>
  <si>
    <t>出境关别      2244</t>
  </si>
  <si>
    <t>页码/页数：</t>
    <phoneticPr fontId="36" type="noConversion"/>
  </si>
  <si>
    <t>海关编号：</t>
    <phoneticPr fontId="36" type="noConversion"/>
  </si>
  <si>
    <t>预录入编号：</t>
    <phoneticPr fontId="36" type="noConversion"/>
  </si>
  <si>
    <t>中华人民共和国海关出口货物报关单</t>
    <phoneticPr fontId="36" type="noConversion"/>
  </si>
  <si>
    <t>USDA Statement – Guideline 1105</t>
    <phoneticPr fontId="1" type="noConversion"/>
  </si>
  <si>
    <t>To Whom This May Concern:</t>
    <phoneticPr fontId="1" type="noConversion"/>
  </si>
  <si>
    <t>Declaration by the Shipper:</t>
    <phoneticPr fontId="1" type="noConversion"/>
  </si>
  <si>
    <t>BLD pharmatech  LTD.</t>
    <phoneticPr fontId="1" type="noConversion"/>
  </si>
  <si>
    <t>The following material is being imported under  TRK#</t>
    <phoneticPr fontId="1" type="noConversion"/>
  </si>
  <si>
    <t xml:space="preserve">The subject material is chemically synthesized.
The subject material does not contain any animal or cell culture derived products 
The subject material was not derived from any animal or cell culture derived products.
</t>
    <phoneticPr fontId="1" type="noConversion"/>
  </si>
  <si>
    <t>Authorized Signature:</t>
    <phoneticPr fontId="1" type="noConversion"/>
  </si>
  <si>
    <t>Date:</t>
    <phoneticPr fontId="1" type="noConversion"/>
  </si>
  <si>
    <t>BLD Pharmatech Ltd.</t>
    <phoneticPr fontId="1" type="noConversion"/>
  </si>
  <si>
    <r>
      <t xml:space="preserve">488 Taoqiao Road, Building 5 </t>
    </r>
    <r>
      <rPr>
        <sz val="10"/>
        <rFont val="宋体"/>
        <family val="3"/>
        <charset val="134"/>
      </rPr>
      <t>，</t>
    </r>
    <r>
      <rPr>
        <sz val="10"/>
        <rFont val="Arial"/>
        <family val="2"/>
      </rPr>
      <t>5F, HuiNan Town, Pud</t>
    </r>
    <phoneticPr fontId="1" type="noConversion"/>
  </si>
  <si>
    <t>HuiNan Town, Pud ong New Area, Shanghai 201203, China</t>
    <phoneticPr fontId="1" type="noConversion"/>
  </si>
  <si>
    <t>201203, China</t>
    <phoneticPr fontId="1" type="noConversion"/>
  </si>
  <si>
    <t>TEL:021-58255690</t>
    <phoneticPr fontId="1" type="noConversion"/>
  </si>
  <si>
    <t>WB000043-2</t>
  </si>
  <si>
    <t>Im Schlehert 10</t>
  </si>
  <si>
    <t>WB000043-3</t>
  </si>
  <si>
    <t>76187 Karlsruhe</t>
  </si>
  <si>
    <t>WB000043-4</t>
  </si>
  <si>
    <t>DEUTSCHLAND</t>
  </si>
  <si>
    <t>WB000043-5</t>
  </si>
  <si>
    <t>EZchemtech Inc.</t>
  </si>
  <si>
    <t>WB000004-2</t>
  </si>
  <si>
    <t>WB000004-3</t>
  </si>
  <si>
    <t>WB000004-4</t>
  </si>
  <si>
    <t>WB000004-5</t>
  </si>
  <si>
    <t>WB000055-2</t>
  </si>
  <si>
    <t>Unit 3 e-Space North</t>
  </si>
  <si>
    <t>WB000055-3</t>
  </si>
  <si>
    <t>181 Wisbech Road, Littleport</t>
  </si>
  <si>
    <t>WB000055-4</t>
  </si>
  <si>
    <t>WB000055-5</t>
  </si>
  <si>
    <t>Tel : +44-1223-632898</t>
  </si>
  <si>
    <t>WB000069-2</t>
  </si>
  <si>
    <t>WB000069-3</t>
  </si>
  <si>
    <t>WB000069-4</t>
  </si>
  <si>
    <t>WB000069-5</t>
  </si>
  <si>
    <t>WB000103-2</t>
  </si>
  <si>
    <t>WB000103-3</t>
  </si>
  <si>
    <t>WB000103-4</t>
  </si>
  <si>
    <t>WB000103-5</t>
  </si>
  <si>
    <t>NAMIKI SHOJI CO., LTD.</t>
  </si>
  <si>
    <t>WB000051-2</t>
  </si>
  <si>
    <t>KENSEISHINJUKU BLDG. 5-5-3</t>
  </si>
  <si>
    <t>WB000051-3</t>
  </si>
  <si>
    <t>SHINJUKU,SHINJUKU-KU,</t>
  </si>
  <si>
    <t>WB000051-4</t>
  </si>
  <si>
    <t>WB000051-5</t>
  </si>
  <si>
    <t>TEL:81333544026</t>
  </si>
  <si>
    <t>WB000049-2</t>
  </si>
  <si>
    <t>WB000049-3</t>
  </si>
  <si>
    <t>WB000049-4</t>
  </si>
  <si>
    <t>WB000082-2</t>
  </si>
  <si>
    <t>8F, No.407, Sec. 6, New Taipei Blvd</t>
  </si>
  <si>
    <t>WB000082-3</t>
  </si>
  <si>
    <t>Taishan Dist., New Taipei City</t>
  </si>
  <si>
    <t>WB000082-4</t>
  </si>
  <si>
    <t>WB000082-5</t>
  </si>
  <si>
    <t>TEL:+886.2.2949.1782</t>
  </si>
  <si>
    <t>WB000046-2</t>
  </si>
  <si>
    <t>WB000046-3</t>
  </si>
  <si>
    <t>WB000046-4</t>
  </si>
  <si>
    <t>WB000046-5</t>
  </si>
  <si>
    <t>贸易国（地区）</t>
    <phoneticPr fontId="1" type="noConversion"/>
  </si>
  <si>
    <t>运抵国（地区）</t>
    <phoneticPr fontId="1" type="noConversion"/>
  </si>
  <si>
    <t>913101153105733737</t>
    <phoneticPr fontId="1" type="noConversion"/>
  </si>
  <si>
    <t>美元</t>
    <phoneticPr fontId="1" type="noConversion"/>
  </si>
  <si>
    <t>Shigematsu &amp; Co., Ltd.</t>
  </si>
  <si>
    <t>WB000081-2</t>
  </si>
  <si>
    <t>WB000081-3</t>
  </si>
  <si>
    <t>WB000081-4</t>
  </si>
  <si>
    <t>WB000081-5</t>
  </si>
  <si>
    <t>2-5 Awaji-machi 2 Chome Chuo-ku</t>
  </si>
  <si>
    <t>Japan</t>
  </si>
  <si>
    <t>Array BioPharma Inc.</t>
  </si>
  <si>
    <t>1885 33rd St</t>
  </si>
  <si>
    <t>Boulder, CO 80301  USA</t>
  </si>
  <si>
    <t>WB000110-2</t>
  </si>
  <si>
    <t>WB000110-3</t>
  </si>
  <si>
    <t>WB000110-4</t>
  </si>
  <si>
    <t>WB000110-5</t>
  </si>
  <si>
    <t>ATTN:</t>
  </si>
  <si>
    <t>WB000054-2</t>
  </si>
  <si>
    <t>WB000054-3</t>
  </si>
  <si>
    <t>WB000054-4</t>
  </si>
  <si>
    <t>WB000054-5</t>
  </si>
  <si>
    <t>Sabrina Fueglistaller</t>
  </si>
  <si>
    <t>Switzerland</t>
  </si>
  <si>
    <t>+41 56 616 8525</t>
  </si>
  <si>
    <t>Laurel Pharma labs</t>
  </si>
  <si>
    <t>WB000106-2</t>
  </si>
  <si>
    <t>WB000106-3</t>
  </si>
  <si>
    <t>WB000106-4</t>
  </si>
  <si>
    <t>WB000106-5</t>
  </si>
  <si>
    <t>RAJU</t>
  </si>
  <si>
    <t>（1）</t>
    <phoneticPr fontId="1" type="noConversion"/>
  </si>
  <si>
    <t>（2）</t>
    <phoneticPr fontId="1" type="noConversion"/>
  </si>
  <si>
    <t>（3）</t>
    <phoneticPr fontId="1" type="noConversion"/>
  </si>
  <si>
    <t>（4）</t>
    <phoneticPr fontId="1" type="noConversion"/>
  </si>
  <si>
    <t>（5）</t>
    <phoneticPr fontId="1" type="noConversion"/>
  </si>
  <si>
    <t>（6）</t>
    <phoneticPr fontId="1" type="noConversion"/>
  </si>
  <si>
    <t>26452-81-3</t>
  </si>
  <si>
    <t>40928-13-0</t>
  </si>
  <si>
    <t>Cas编号</t>
  </si>
  <si>
    <t>104901-43-1</t>
  </si>
  <si>
    <t>6279-86-3</t>
  </si>
  <si>
    <t>32449-92-6</t>
  </si>
  <si>
    <t>652-67-5</t>
  </si>
  <si>
    <t>125995-13-3</t>
  </si>
  <si>
    <t>493-05-0</t>
  </si>
  <si>
    <t>英文名称</t>
  </si>
  <si>
    <t>CAS:</t>
    <phoneticPr fontId="1" type="noConversion"/>
  </si>
  <si>
    <t>美元报关金额</t>
  </si>
  <si>
    <t>单件包裹最大净重（客货机）</t>
  </si>
  <si>
    <t>下次质检日期</t>
  </si>
  <si>
    <t>Ark外贸禁品</t>
  </si>
  <si>
    <t>运输条件</t>
  </si>
  <si>
    <t>批次实际纯度</t>
  </si>
  <si>
    <t>客户名称</t>
  </si>
  <si>
    <t>状态</t>
  </si>
  <si>
    <t>存放位置</t>
  </si>
  <si>
    <t>最终订单号</t>
  </si>
  <si>
    <t>出库单主单备注</t>
  </si>
  <si>
    <t>创建人</t>
  </si>
  <si>
    <t>销售人员</t>
  </si>
  <si>
    <t>订单备注</t>
  </si>
  <si>
    <t>批号</t>
  </si>
  <si>
    <t>Packing G</t>
  </si>
  <si>
    <t>包装存储条件</t>
  </si>
  <si>
    <t>Class</t>
  </si>
  <si>
    <t>UN Number</t>
  </si>
  <si>
    <t>GHS Code</t>
  </si>
  <si>
    <t>Free/Salt</t>
  </si>
  <si>
    <t>分子量</t>
  </si>
  <si>
    <t>下单日期</t>
  </si>
  <si>
    <t>出库日期</t>
  </si>
  <si>
    <t>销售订单号</t>
  </si>
  <si>
    <t>PO号</t>
  </si>
  <si>
    <t>件数</t>
  </si>
  <si>
    <t>毛重</t>
  </si>
  <si>
    <t>品名简写</t>
  </si>
  <si>
    <t>总金额</t>
  </si>
  <si>
    <t>总净重</t>
  </si>
  <si>
    <t>金额</t>
  </si>
  <si>
    <t>最终客户</t>
  </si>
  <si>
    <t>产品性状</t>
  </si>
  <si>
    <t>贸易类型</t>
  </si>
  <si>
    <t>出库单号</t>
  </si>
  <si>
    <t>80841-78-7</t>
  </si>
  <si>
    <t>Contract No.</t>
    <phoneticPr fontId="1" type="noConversion"/>
  </si>
  <si>
    <t>PACKING  LIST</t>
    <phoneticPr fontId="1" type="noConversion"/>
  </si>
  <si>
    <t>Total SIZE:</t>
    <phoneticPr fontId="1" type="noConversion"/>
  </si>
  <si>
    <t>Rev 5/17</t>
    <phoneticPr fontId="1" type="noConversion"/>
  </si>
  <si>
    <t>and 5:00 p.m.</t>
    <phoneticPr fontId="1" type="noConversion"/>
  </si>
  <si>
    <t>Product Description</t>
    <phoneticPr fontId="1" type="noConversion"/>
  </si>
  <si>
    <t>Product Name</t>
    <phoneticPr fontId="1" type="noConversion"/>
  </si>
  <si>
    <t>Product Number</t>
    <phoneticPr fontId="1" type="noConversion"/>
  </si>
  <si>
    <t>I certify that all chemicals in this shipment are not subject to TSCA.</t>
    <phoneticPr fontId="1" type="noConversion"/>
  </si>
  <si>
    <t>Negative Certification</t>
    <phoneticPr fontId="1" type="noConversion"/>
  </si>
  <si>
    <t>I certify that all chemical substances in this shipment comply with all applicable rules or orders under TSCA and that I am not offering a chemical substance for entry in violation of TSCA or any applicable rule or order thereunder.</t>
    <phoneticPr fontId="1" type="noConversion"/>
  </si>
  <si>
    <t>Positive Certification</t>
    <phoneticPr fontId="1" type="noConversion"/>
  </si>
  <si>
    <t>Check only one:</t>
    <phoneticPr fontId="1" type="noConversion"/>
  </si>
  <si>
    <t>This certification is valid for twelve months from the date submitted and will only cover the products listed.</t>
    <phoneticPr fontId="1" type="noConversion"/>
  </si>
  <si>
    <t>Tracking No.:</t>
    <phoneticPr fontId="1" type="noConversion"/>
  </si>
  <si>
    <t>Date:</t>
    <phoneticPr fontId="1" type="noConversion"/>
  </si>
  <si>
    <t>Toxic Substance Control Act (TSCA) Certification</t>
    <phoneticPr fontId="1" type="noConversion"/>
  </si>
  <si>
    <t>3122260ETR</t>
  </si>
  <si>
    <t>境内发货人  3122260ETR</t>
  </si>
  <si>
    <t>生产销售单位  3122260ETR</t>
  </si>
  <si>
    <t>3946-32-5</t>
  </si>
  <si>
    <t>156028-26-1</t>
  </si>
  <si>
    <t>26663-77-4</t>
  </si>
  <si>
    <t>640-61-9</t>
  </si>
  <si>
    <t>147962-41-2</t>
  </si>
  <si>
    <t>326-91-0</t>
  </si>
  <si>
    <t>13862-28-7</t>
  </si>
  <si>
    <t>Manjula M</t>
  </si>
  <si>
    <t>WB000067-2</t>
  </si>
  <si>
    <t>WB000067-3</t>
  </si>
  <si>
    <t>APC Circle, Bangalore - 560105</t>
  </si>
  <si>
    <t>WB000067-4</t>
  </si>
  <si>
    <t>WB000067-5</t>
  </si>
  <si>
    <t>Ph: +91 (080) 2782598487</t>
  </si>
  <si>
    <t>类白色粉末</t>
  </si>
  <si>
    <t>Receiving Dept </t>
  </si>
  <si>
    <t>CV009 BL-2</t>
  </si>
  <si>
    <t>CV009 BL-3</t>
  </si>
  <si>
    <t>CV009 BL-4</t>
  </si>
  <si>
    <t>CV009 BL-5</t>
  </si>
  <si>
    <t xml:space="preserve">Irshad Ahmed   </t>
  </si>
  <si>
    <t>WB000066-2</t>
  </si>
  <si>
    <t>WB000066-3</t>
  </si>
  <si>
    <t>WB000066-4</t>
  </si>
  <si>
    <t>WB000066-5</t>
  </si>
  <si>
    <t>甲烷三羧酸三乙酯</t>
  </si>
  <si>
    <t>3-溴-4-甲基苯甲酸甲酯</t>
  </si>
  <si>
    <t>4-溴-1-氯-2-碘代苯</t>
  </si>
  <si>
    <t>辛二酸单甲酯</t>
  </si>
  <si>
    <t>4-氯靛红酸酐</t>
  </si>
  <si>
    <t>噻唑-4-甲酸</t>
  </si>
  <si>
    <t>4-氯甲基-5-甲基-1,3-二氧杂环戊烯-2-酮</t>
  </si>
  <si>
    <t>1,6,7,12-四氯-3,4,9,10-苝四甲酸二酐</t>
  </si>
  <si>
    <t>D-葡萄糖醛酸内酯</t>
  </si>
  <si>
    <t>异山梨醇</t>
  </si>
  <si>
    <t>6-氨乙基-2,2-二甲基-1,3-二氧六环-4-乙酸叔丁酯</t>
  </si>
  <si>
    <t>苯并二氢异吡喃</t>
  </si>
  <si>
    <t>冰袋</t>
  </si>
  <si>
    <t>甲基三氟硼酸钾</t>
  </si>
  <si>
    <t>N-甲基对甲苯磺酰胺</t>
  </si>
  <si>
    <t>N-丙基磺酰胺</t>
  </si>
  <si>
    <t>2-噻吩甲酰三氟丙酮</t>
  </si>
  <si>
    <t>2,3,5-三溴-4-甲基噻吩</t>
  </si>
  <si>
    <t>Acyclic hydrocarbon compound category （AB-02）4</t>
  </si>
  <si>
    <t>Acyclic hydrocarbon compound category （AB-02）5</t>
  </si>
  <si>
    <t>Amine compound category （AB-03）8</t>
  </si>
  <si>
    <t>Amine compound category （AB-03）9</t>
  </si>
  <si>
    <t>Aromatic ring products without heteroatoms category （AB-16）11</t>
  </si>
  <si>
    <t>Aromatic ring products without heteroatoms category (AB-16)2</t>
  </si>
  <si>
    <t>Aromatic ring products without heteroatoms category (AB-16)4</t>
  </si>
  <si>
    <t>Carboxylic acid compound category (AB-04)6</t>
  </si>
  <si>
    <t>Heterocyclic hydrocarbon compound category (AB-07)1</t>
  </si>
  <si>
    <t>Heterocyclic hydrocarbon compound category (AB-07)3</t>
  </si>
  <si>
    <t>Heterocyclic with nitrogen compound category (AB-06)1</t>
  </si>
  <si>
    <t>Heterocyclic with nitrogen compound category (AB-06)2</t>
  </si>
  <si>
    <t>Heterocyclic with signal or more oxygen atoms compound category (AB-15)2</t>
  </si>
  <si>
    <t>Heterocyclic with single or more oxygen atoms compound category (AB-15)10</t>
  </si>
  <si>
    <t>Heterocyclic with single or more oxygen atoms compound category （AB-15）3</t>
  </si>
  <si>
    <t>Heterocyclic with single or more oxygen atoms compound category （AB-15）4</t>
  </si>
  <si>
    <t>Heterocyclic with single or more oxygen atoms compound category （AB-15）6</t>
  </si>
  <si>
    <t>Heterocyclic with single or more oxygen atoms compound category （AB-15）9</t>
  </si>
  <si>
    <t>Ice bag</t>
  </si>
  <si>
    <t>Other oganic compounds（AB-11)1</t>
  </si>
  <si>
    <t>Sulfonamide compound category(AB-08)1</t>
  </si>
  <si>
    <t>Sulfonamide compound category(AB-08)2</t>
  </si>
  <si>
    <t>Sulfur compound category (AB-09)5</t>
  </si>
  <si>
    <t>Sulfur compound category (AB-09)7</t>
  </si>
  <si>
    <t>Sulfur compound category (AB-09)3</t>
  </si>
  <si>
    <t>2019I35-81-001807</t>
  </si>
  <si>
    <t>774608-49-0</t>
  </si>
  <si>
    <t>5380-42-7</t>
  </si>
  <si>
    <t>67869-13-0</t>
  </si>
  <si>
    <t>陶桥路488号5幢5楼</t>
    <phoneticPr fontId="1" type="noConversion"/>
  </si>
  <si>
    <t>A: 488 Taoqiao Road, Building 5, 5F, HuiNan Town, Pudong New Area, Shanghai 201203, China</t>
  </si>
  <si>
    <t>W: www.bldpharm.com | E: sales@bldpharm.com | T: +86-21-61629022</t>
  </si>
  <si>
    <t xml:space="preserve">Buliding Blocks &amp; Pharmmaceutical Intermediates  </t>
  </si>
  <si>
    <t>Logistics Manager</t>
  </si>
  <si>
    <t>Zhongtao Deng</t>
  </si>
  <si>
    <t xml:space="preserve">Sincerely, </t>
  </si>
  <si>
    <t>The material was not derived from any animal or cell culture derived products.</t>
    <phoneticPr fontId="36" type="noConversion"/>
  </si>
  <si>
    <t>○</t>
    <phoneticPr fontId="36" type="noConversion"/>
  </si>
  <si>
    <t>The material does not contain any animal or cell culture derived products.</t>
  </si>
  <si>
    <t>The material is chemically synthesized.</t>
  </si>
  <si>
    <t>This correspondence is provided to support release of the imported shipment listed above. 
 The material meets the following requirements for entry into the United States without a USDA Import Permit.</t>
    <phoneticPr fontId="1" type="noConversion"/>
  </si>
  <si>
    <t>Dear CBP Officer:</t>
    <phoneticPr fontId="36" type="noConversion"/>
  </si>
  <si>
    <t xml:space="preserve">Material Name: </t>
    <phoneticPr fontId="36" type="noConversion"/>
  </si>
  <si>
    <t xml:space="preserve">Tracking Number:  </t>
    <phoneticPr fontId="36" type="noConversion"/>
  </si>
  <si>
    <t>Import of Chemically Synthesized Materials (NCIE -GFI #1105)</t>
  </si>
  <si>
    <t>SUBJECT:</t>
    <phoneticPr fontId="36" type="noConversion"/>
  </si>
  <si>
    <t>US Customs and Border Protection</t>
    <phoneticPr fontId="36" type="noConversion"/>
  </si>
  <si>
    <t>Date：</t>
    <phoneticPr fontId="36" type="noConversion"/>
  </si>
  <si>
    <t>品牌类型：无      是否享受目的国优惠政策：否</t>
    <phoneticPr fontId="1" type="noConversion"/>
  </si>
  <si>
    <t>Aromatic ring products without heteroatoms category (AB-16)1</t>
  </si>
  <si>
    <t>Heterocyclic with nitrogen compound category (AB-06)19</t>
  </si>
  <si>
    <t>Heterocyclic with nitrogen compound category (AB-06)16</t>
  </si>
  <si>
    <t>Aromatic ring products without heteroatoms category （AB-16）10</t>
  </si>
  <si>
    <t>Green powder</t>
  </si>
  <si>
    <t>2918.99.50 00</t>
  </si>
  <si>
    <t>WB000216-2</t>
  </si>
  <si>
    <t>WB000216-3</t>
  </si>
  <si>
    <t>WB000216-4</t>
  </si>
  <si>
    <t>WB000216-5</t>
  </si>
  <si>
    <t>Company name:</t>
    <phoneticPr fontId="1" type="noConversion"/>
  </si>
  <si>
    <t>Company address:</t>
    <phoneticPr fontId="1" type="noConversion"/>
  </si>
  <si>
    <t>Certifier title:Manager</t>
    <phoneticPr fontId="1" type="noConversion"/>
  </si>
  <si>
    <t>Certifier signature:</t>
    <phoneticPr fontId="1" type="noConversion"/>
  </si>
  <si>
    <t xml:space="preserve">If the certifier is unsure if their chemical substance is subject to TSCA compliance, contact the </t>
    <phoneticPr fontId="1" type="noConversion"/>
  </si>
  <si>
    <t xml:space="preserve">Environmental Protection Agency,TSCA Assistance Office at 1.202.554.1404 between 8:30 a.m. </t>
    <phoneticPr fontId="1" type="noConversion"/>
  </si>
  <si>
    <t>Company name:</t>
    <phoneticPr fontId="1" type="noConversion"/>
  </si>
  <si>
    <t>Company address:</t>
    <phoneticPr fontId="1" type="noConversion"/>
  </si>
  <si>
    <t>Certifier signature:</t>
    <phoneticPr fontId="1" type="noConversion"/>
  </si>
  <si>
    <t xml:space="preserve">If the certifier is unsure if their chemical substance is subject to TSCA compliance, contact the </t>
    <phoneticPr fontId="1" type="noConversion"/>
  </si>
  <si>
    <t xml:space="preserve">Environmental Protection Agency,TSCA Assistance Office at 1.202.554.1404 between 8:30 a.m. </t>
    <phoneticPr fontId="1" type="noConversion"/>
  </si>
  <si>
    <t>and 5:00 p.m.</t>
    <phoneticPr fontId="1" type="noConversion"/>
  </si>
  <si>
    <t>Company name:</t>
    <phoneticPr fontId="1" type="noConversion"/>
  </si>
  <si>
    <t>Company address:</t>
    <phoneticPr fontId="1" type="noConversion"/>
  </si>
  <si>
    <t>Certifier title:Manager</t>
    <phoneticPr fontId="1" type="noConversion"/>
  </si>
  <si>
    <t>Certifier signature:</t>
    <phoneticPr fontId="1" type="noConversion"/>
  </si>
  <si>
    <t xml:space="preserve">If the certifier is unsure if their chemical substance is subject to TSCA compliance, contact the </t>
    <phoneticPr fontId="1" type="noConversion"/>
  </si>
  <si>
    <t xml:space="preserve">Environmental Protection Agency,TSCA Assistance Office at 1.202.554.1404 between 8:30 a.m. </t>
    <phoneticPr fontId="1" type="noConversion"/>
  </si>
  <si>
    <t>and 5:00 p.m.</t>
    <phoneticPr fontId="1" type="noConversion"/>
  </si>
  <si>
    <t>Yellow Liquid</t>
  </si>
  <si>
    <t>Signal Word</t>
  </si>
  <si>
    <t>序号</t>
  </si>
  <si>
    <t>BD号</t>
    <phoneticPr fontId="36" type="noConversion"/>
  </si>
  <si>
    <t>HS</t>
    <phoneticPr fontId="36" type="noConversion"/>
  </si>
  <si>
    <t>英文名</t>
    <phoneticPr fontId="36" type="noConversion"/>
  </si>
  <si>
    <t>净重</t>
  </si>
  <si>
    <t>中文名</t>
    <phoneticPr fontId="36" type="noConversion"/>
  </si>
  <si>
    <t>性状</t>
    <phoneticPr fontId="36" type="noConversion"/>
  </si>
  <si>
    <t>排序</t>
  </si>
  <si>
    <t>筛重排序</t>
  </si>
  <si>
    <t>中文品名</t>
    <phoneticPr fontId="36" type="noConversion"/>
  </si>
  <si>
    <t>BD号（去重）</t>
    <phoneticPr fontId="36" type="noConversion"/>
  </si>
  <si>
    <t>英文品名</t>
    <phoneticPr fontId="36" type="noConversion"/>
  </si>
  <si>
    <t>CAS</t>
  </si>
  <si>
    <r>
      <t xml:space="preserve">Material does not contain any animal or cell culture derived products or additives such as albumin or serum.                                                                                                       </t>
    </r>
    <r>
      <rPr>
        <b/>
        <sz val="9"/>
        <rFont val="Arial"/>
        <family val="2"/>
      </rPr>
      <t xml:space="preserve">This shipment contains no SWPM </t>
    </r>
    <r>
      <rPr>
        <sz val="9"/>
        <rFont val="Arial"/>
        <family val="2"/>
      </rPr>
      <t xml:space="preserve"> 
</t>
    </r>
    <r>
      <rPr>
        <b/>
        <sz val="9"/>
        <rFont val="Arial"/>
        <family val="2"/>
      </rPr>
      <t xml:space="preserve">Country of Origin:      China </t>
    </r>
    <r>
      <rPr>
        <sz val="10"/>
        <rFont val="Arial"/>
        <family val="2"/>
      </rPr>
      <t xml:space="preserve">                          </t>
    </r>
    <phoneticPr fontId="21" type="noConversion"/>
  </si>
  <si>
    <r>
      <t xml:space="preserve">Material does not contain any animal or cell culture derived products or additives such as albumin or serum.                                                                                                       </t>
    </r>
    <r>
      <rPr>
        <b/>
        <sz val="9"/>
        <rFont val="Arial"/>
        <family val="2"/>
      </rPr>
      <t xml:space="preserve">This shipment contains no SWPM 
</t>
    </r>
    <r>
      <rPr>
        <sz val="9"/>
        <rFont val="Arial"/>
        <family val="2"/>
      </rPr>
      <t xml:space="preserve"> </t>
    </r>
    <r>
      <rPr>
        <b/>
        <sz val="9"/>
        <rFont val="Arial"/>
        <family val="2"/>
      </rPr>
      <t xml:space="preserve">Country of Origin:      China </t>
    </r>
    <r>
      <rPr>
        <sz val="10"/>
        <rFont val="Arial"/>
        <family val="2"/>
      </rPr>
      <t xml:space="preserve">                          </t>
    </r>
    <phoneticPr fontId="21" type="noConversion"/>
  </si>
  <si>
    <r>
      <t xml:space="preserve">488 Taoqiao Road, Building 5 </t>
    </r>
    <r>
      <rPr>
        <sz val="10"/>
        <rFont val="宋体"/>
        <family val="3"/>
        <charset val="134"/>
      </rPr>
      <t>，</t>
    </r>
    <r>
      <rPr>
        <sz val="10"/>
        <rFont val="Arial"/>
        <family val="2"/>
      </rPr>
      <t>5F, HuiNan Town, Pud</t>
    </r>
    <phoneticPr fontId="1" type="noConversion"/>
  </si>
  <si>
    <r>
      <t xml:space="preserve">488 Taoqiao Road, Building 5 </t>
    </r>
    <r>
      <rPr>
        <sz val="10"/>
        <rFont val="宋体"/>
        <family val="3"/>
        <charset val="134"/>
      </rPr>
      <t>，</t>
    </r>
    <r>
      <rPr>
        <sz val="10"/>
        <rFont val="Times New Roman"/>
        <family val="1"/>
      </rPr>
      <t>5F, HuiNan Town, Pud
HuiNan Town, Pud ong New Area, Shanghai 201203, China</t>
    </r>
    <phoneticPr fontId="1" type="noConversion"/>
  </si>
  <si>
    <t xml:space="preserve">HuiNan Town, Pud ong New Area, Shanghai </t>
    <phoneticPr fontId="1" type="noConversion"/>
  </si>
  <si>
    <t>总净重</t>
    <phoneticPr fontId="1" type="noConversion"/>
  </si>
  <si>
    <t>总金额</t>
    <phoneticPr fontId="1" type="noConversion"/>
  </si>
  <si>
    <t>colorless transparent solid</t>
  </si>
  <si>
    <t>colorless liquid</t>
  </si>
  <si>
    <t>White solid</t>
  </si>
  <si>
    <t>White crystal</t>
  </si>
  <si>
    <t>Yellow crystal</t>
  </si>
  <si>
    <t>Colorless crystal</t>
  </si>
  <si>
    <t>Yellow solid</t>
  </si>
  <si>
    <t>Brown powder</t>
  </si>
  <si>
    <t>Brown liquid</t>
  </si>
  <si>
    <t>off-white powder</t>
  </si>
  <si>
    <t>2916.39.79 00</t>
  </si>
  <si>
    <t>Red liquid</t>
  </si>
  <si>
    <t>yellow powder</t>
  </si>
  <si>
    <t>2903.99.80 01</t>
  </si>
  <si>
    <t>yellow liquid</t>
  </si>
  <si>
    <t>Yellow liquid</t>
  </si>
  <si>
    <t>White Solid</t>
  </si>
  <si>
    <t>2933.59.95 00</t>
  </si>
  <si>
    <t>Colorless crystals</t>
  </si>
  <si>
    <t>Red Solid</t>
  </si>
  <si>
    <t>Purple powder</t>
  </si>
  <si>
    <t>Brown solid</t>
  </si>
  <si>
    <t>2932.99.90 90</t>
  </si>
  <si>
    <t>White powder</t>
  </si>
  <si>
    <t>2932.20.50 50</t>
  </si>
  <si>
    <t>Pale yellow crystalline powder</t>
  </si>
  <si>
    <t>2903.39.20 50</t>
  </si>
  <si>
    <t>2935.90.95 00</t>
  </si>
  <si>
    <t>Colorless Liquid</t>
  </si>
  <si>
    <t>colorless to pale brown liquid</t>
  </si>
  <si>
    <t>2917.19.70 50</t>
  </si>
  <si>
    <t>White crystalline powder</t>
  </si>
  <si>
    <t>Pale yellow powder</t>
  </si>
  <si>
    <t>brown liquid</t>
  </si>
  <si>
    <t>Pale yellow liquid</t>
  </si>
  <si>
    <t>3973-08-8</t>
  </si>
  <si>
    <r>
      <t xml:space="preserve">page </t>
    </r>
    <r>
      <rPr>
        <sz val="12"/>
        <rFont val="宋体"/>
        <family val="3"/>
        <charset val="134"/>
      </rPr>
      <t>3</t>
    </r>
    <r>
      <rPr>
        <sz val="12"/>
        <rFont val="宋体"/>
        <family val="3"/>
        <charset val="134"/>
      </rPr>
      <t>/</t>
    </r>
    <r>
      <rPr>
        <sz val="12"/>
        <rFont val="宋体"/>
        <family val="3"/>
        <charset val="134"/>
      </rPr>
      <t>3</t>
    </r>
    <phoneticPr fontId="1" type="noConversion"/>
  </si>
  <si>
    <t>page 3/3</t>
  </si>
  <si>
    <r>
      <t>编号：</t>
    </r>
    <r>
      <rPr>
        <b/>
        <sz val="14"/>
        <rFont val="黑体"/>
        <family val="3"/>
        <charset val="134"/>
      </rPr>
      <t>□□□□□□□□□□□</t>
    </r>
    <phoneticPr fontId="1" type="noConversion"/>
  </si>
  <si>
    <r>
      <rPr>
        <b/>
        <sz val="10"/>
        <rFont val="Times New Roman"/>
        <family val="1"/>
      </rPr>
      <t xml:space="preserve">        </t>
    </r>
    <r>
      <rPr>
        <b/>
        <sz val="10"/>
        <rFont val="宋体"/>
        <family val="3"/>
        <charset val="134"/>
      </rPr>
      <t>我单位现</t>
    </r>
    <r>
      <rPr>
        <b/>
        <sz val="10"/>
        <rFont val="Times New Roman"/>
        <family val="1"/>
      </rPr>
      <t xml:space="preserve">      (A</t>
    </r>
    <r>
      <rPr>
        <b/>
        <sz val="10"/>
        <rFont val="楷体_GB2312"/>
        <family val="1"/>
        <charset val="134"/>
      </rPr>
      <t>逐票、</t>
    </r>
    <r>
      <rPr>
        <b/>
        <sz val="10"/>
        <rFont val="Times New Roman"/>
        <family val="1"/>
      </rPr>
      <t>B</t>
    </r>
    <r>
      <rPr>
        <b/>
        <sz val="10"/>
        <rFont val="楷体_GB2312"/>
        <family val="1"/>
        <charset val="134"/>
      </rPr>
      <t>长期</t>
    </r>
    <r>
      <rPr>
        <b/>
        <sz val="10"/>
        <rFont val="Times New Roman"/>
        <family val="1"/>
      </rPr>
      <t>)</t>
    </r>
    <r>
      <rPr>
        <b/>
        <sz val="10"/>
        <rFont val="宋体"/>
        <family val="3"/>
        <charset val="134"/>
      </rPr>
      <t>委托贵公司代理</t>
    </r>
    <r>
      <rPr>
        <b/>
        <sz val="10"/>
        <rFont val="Times New Roman"/>
        <family val="1"/>
      </rPr>
      <t xml:space="preserve">      </t>
    </r>
    <r>
      <rPr>
        <b/>
        <sz val="10"/>
        <rFont val="宋体"/>
        <family val="3"/>
        <charset val="134"/>
      </rPr>
      <t>等通关事宜。</t>
    </r>
    <r>
      <rPr>
        <b/>
        <sz val="10"/>
        <rFont val="楷体_GB2312"/>
        <family val="1"/>
        <charset val="134"/>
      </rPr>
      <t>（</t>
    </r>
    <r>
      <rPr>
        <b/>
        <sz val="10"/>
        <rFont val="Times New Roman"/>
        <family val="1"/>
      </rPr>
      <t>A</t>
    </r>
    <r>
      <rPr>
        <b/>
        <sz val="10"/>
        <rFont val="楷体_GB2312"/>
        <family val="1"/>
        <charset val="134"/>
      </rPr>
      <t>、填单申报</t>
    </r>
    <r>
      <rPr>
        <b/>
        <sz val="10"/>
        <rFont val="Times New Roman"/>
        <family val="1"/>
      </rPr>
      <t>B</t>
    </r>
    <r>
      <rPr>
        <b/>
        <sz val="10"/>
        <rFont val="楷体_GB2312"/>
        <family val="1"/>
        <charset val="134"/>
      </rPr>
      <t>、申请、联系和配合实施检验检疫</t>
    </r>
    <r>
      <rPr>
        <b/>
        <sz val="10"/>
        <rFont val="Times New Roman"/>
        <family val="1"/>
      </rPr>
      <t>C</t>
    </r>
    <r>
      <rPr>
        <b/>
        <sz val="10"/>
        <rFont val="楷体_GB2312"/>
        <family val="1"/>
        <charset val="134"/>
      </rPr>
      <t>、辅助查验</t>
    </r>
    <r>
      <rPr>
        <b/>
        <sz val="10"/>
        <rFont val="Times New Roman"/>
        <family val="1"/>
      </rPr>
      <t>D</t>
    </r>
    <r>
      <rPr>
        <b/>
        <sz val="10"/>
        <rFont val="楷体_GB2312"/>
        <family val="1"/>
        <charset val="134"/>
      </rPr>
      <t>、代缴税款</t>
    </r>
    <r>
      <rPr>
        <b/>
        <sz val="10"/>
        <rFont val="Times New Roman"/>
        <family val="1"/>
      </rPr>
      <t>E</t>
    </r>
    <r>
      <rPr>
        <b/>
        <sz val="10"/>
        <rFont val="楷体_GB2312"/>
        <family val="1"/>
        <charset val="134"/>
      </rPr>
      <t>、设立手册（</t>
    </r>
    <r>
      <rPr>
        <b/>
        <sz val="10"/>
        <rFont val="宋体"/>
        <family val="3"/>
        <charset val="134"/>
      </rPr>
      <t>账册）</t>
    </r>
    <r>
      <rPr>
        <b/>
        <sz val="10"/>
        <rFont val="Times New Roman"/>
        <family val="1"/>
      </rPr>
      <t>F</t>
    </r>
    <r>
      <rPr>
        <b/>
        <sz val="10"/>
        <rFont val="楷体_GB2312"/>
        <family val="1"/>
        <charset val="134"/>
      </rPr>
      <t>、核销手册</t>
    </r>
    <r>
      <rPr>
        <b/>
        <sz val="10"/>
        <rFont val="Times New Roman"/>
        <family val="1"/>
      </rPr>
      <t>(</t>
    </r>
    <r>
      <rPr>
        <b/>
        <sz val="10"/>
        <rFont val="宋体"/>
        <family val="3"/>
        <charset val="134"/>
      </rPr>
      <t>账册）</t>
    </r>
    <r>
      <rPr>
        <b/>
        <sz val="10"/>
        <rFont val="Times New Roman"/>
        <family val="1"/>
      </rPr>
      <t>G</t>
    </r>
    <r>
      <rPr>
        <b/>
        <sz val="10"/>
        <rFont val="楷体_GB2312"/>
        <family val="1"/>
        <charset val="134"/>
      </rPr>
      <t>、领取海关相关单证</t>
    </r>
    <r>
      <rPr>
        <b/>
        <sz val="10"/>
        <rFont val="Times New Roman"/>
        <family val="1"/>
      </rPr>
      <t>H</t>
    </r>
    <r>
      <rPr>
        <b/>
        <sz val="10"/>
        <rFont val="楷体_GB2312"/>
        <family val="1"/>
        <charset val="134"/>
      </rPr>
      <t>、其他</t>
    </r>
    <r>
      <rPr>
        <b/>
        <sz val="10"/>
        <rFont val="Times New Roman"/>
        <family val="1"/>
      </rPr>
      <t xml:space="preserve"> </t>
    </r>
    <r>
      <rPr>
        <b/>
        <sz val="10"/>
        <rFont val="楷体_GB2312"/>
        <family val="1"/>
        <charset val="134"/>
      </rPr>
      <t>）</t>
    </r>
    <r>
      <rPr>
        <b/>
        <sz val="10"/>
        <rFont val="宋体"/>
        <family val="3"/>
        <charset val="134"/>
      </rPr>
      <t>详见《委托报关协议》。</t>
    </r>
    <phoneticPr fontId="1" type="noConversion"/>
  </si>
  <si>
    <t xml:space="preserve">   我单位保证遵守《海关法》和国家有关法规，保证所提供的情况真实、完整、单货相符。否则，愿承担相关法律责任。</t>
    <phoneticPr fontId="1" type="noConversion"/>
  </si>
  <si>
    <r>
      <rPr>
        <b/>
        <sz val="10.5"/>
        <rFont val="Times New Roman"/>
        <family val="1"/>
      </rPr>
      <t xml:space="preserve">         </t>
    </r>
    <r>
      <rPr>
        <b/>
        <sz val="10.5"/>
        <rFont val="宋体"/>
        <family val="3"/>
        <charset val="134"/>
      </rPr>
      <t>本委托书有效期自签字之日起至</t>
    </r>
    <r>
      <rPr>
        <b/>
        <sz val="10.5"/>
        <rFont val="Times New Roman"/>
        <family val="1"/>
      </rPr>
      <t xml:space="preserve">   2019 </t>
    </r>
    <r>
      <rPr>
        <b/>
        <sz val="10.5"/>
        <rFont val="宋体"/>
        <family val="3"/>
        <charset val="134"/>
      </rPr>
      <t>年</t>
    </r>
    <r>
      <rPr>
        <b/>
        <sz val="10.5"/>
        <rFont val="Times New Roman"/>
        <family val="1"/>
      </rPr>
      <t xml:space="preserve">  12  </t>
    </r>
    <r>
      <rPr>
        <b/>
        <sz val="10.5"/>
        <rFont val="宋体"/>
        <family val="3"/>
        <charset val="134"/>
      </rPr>
      <t>月</t>
    </r>
    <r>
      <rPr>
        <b/>
        <sz val="10.5"/>
        <rFont val="Times New Roman"/>
        <family val="1"/>
      </rPr>
      <t xml:space="preserve">  31 </t>
    </r>
    <r>
      <rPr>
        <b/>
        <sz val="10.5"/>
        <rFont val="宋体"/>
        <family val="3"/>
        <charset val="134"/>
      </rPr>
      <t>日止。</t>
    </r>
    <phoneticPr fontId="1" type="noConversion"/>
  </si>
  <si>
    <t xml:space="preserve">                                             委托方（盖章）：</t>
    <phoneticPr fontId="1" type="noConversion"/>
  </si>
  <si>
    <r>
      <t xml:space="preserve"> </t>
    </r>
    <r>
      <rPr>
        <sz val="12"/>
        <rFont val="宋体"/>
        <family val="3"/>
        <charset val="134"/>
      </rPr>
      <t xml:space="preserve">                        </t>
    </r>
    <r>
      <rPr>
        <sz val="12"/>
        <rFont val="宋体"/>
        <family val="3"/>
        <charset val="134"/>
      </rPr>
      <t>法定代表人或其授权签署《代理报关委托书》的人（签字）</t>
    </r>
    <phoneticPr fontId="1" type="noConversion"/>
  </si>
  <si>
    <r>
      <rPr>
        <b/>
        <sz val="16"/>
        <rFont val="黑体"/>
        <family val="3"/>
        <charset val="134"/>
      </rPr>
      <t>委</t>
    </r>
    <r>
      <rPr>
        <b/>
        <sz val="16"/>
        <rFont val="Times New Roman"/>
        <family val="1"/>
      </rPr>
      <t xml:space="preserve"> </t>
    </r>
    <r>
      <rPr>
        <b/>
        <sz val="16"/>
        <rFont val="黑体"/>
        <family val="3"/>
        <charset val="134"/>
      </rPr>
      <t>托</t>
    </r>
    <r>
      <rPr>
        <b/>
        <sz val="16"/>
        <rFont val="Times New Roman"/>
        <family val="1"/>
      </rPr>
      <t xml:space="preserve"> </t>
    </r>
    <r>
      <rPr>
        <b/>
        <sz val="16"/>
        <rFont val="黑体"/>
        <family val="3"/>
        <charset val="134"/>
      </rPr>
      <t>报</t>
    </r>
    <r>
      <rPr>
        <b/>
        <sz val="16"/>
        <rFont val="Times New Roman"/>
        <family val="1"/>
      </rPr>
      <t xml:space="preserve"> </t>
    </r>
    <r>
      <rPr>
        <b/>
        <sz val="16"/>
        <rFont val="黑体"/>
        <family val="3"/>
        <charset val="134"/>
      </rPr>
      <t>关</t>
    </r>
    <r>
      <rPr>
        <b/>
        <sz val="16"/>
        <rFont val="Times New Roman"/>
        <family val="1"/>
      </rPr>
      <t xml:space="preserve"> </t>
    </r>
    <r>
      <rPr>
        <b/>
        <sz val="16"/>
        <rFont val="黑体"/>
        <family val="3"/>
        <charset val="134"/>
      </rPr>
      <t>协</t>
    </r>
    <r>
      <rPr>
        <b/>
        <sz val="16"/>
        <rFont val="Times New Roman"/>
        <family val="1"/>
      </rPr>
      <t xml:space="preserve"> </t>
    </r>
    <r>
      <rPr>
        <b/>
        <sz val="16"/>
        <rFont val="黑体"/>
        <family val="3"/>
        <charset val="134"/>
      </rPr>
      <t>议</t>
    </r>
    <phoneticPr fontId="1" type="noConversion"/>
  </si>
  <si>
    <r>
      <t xml:space="preserve"> </t>
    </r>
    <r>
      <rPr>
        <sz val="12"/>
        <rFont val="宋体"/>
        <family val="3"/>
        <charset val="134"/>
      </rPr>
      <t xml:space="preserve">       </t>
    </r>
    <r>
      <rPr>
        <sz val="12"/>
        <rFont val="宋体"/>
        <family val="3"/>
        <charset val="134"/>
      </rPr>
      <t>为</t>
    </r>
    <r>
      <rPr>
        <b/>
        <sz val="10.5"/>
        <rFont val="宋体"/>
        <family val="3"/>
        <charset val="134"/>
      </rPr>
      <t>明确委托报关具体事项和各自责任，双方经平等协商签定协议如下：</t>
    </r>
    <phoneticPr fontId="1" type="noConversion"/>
  </si>
  <si>
    <t>上海毕路得医药科技有限公司</t>
    <phoneticPr fontId="1" type="noConversion"/>
  </si>
  <si>
    <t>提(运）单号</t>
    <phoneticPr fontId="36" type="noConversion"/>
  </si>
  <si>
    <t>一般贸易</t>
    <phoneticPr fontId="1" type="noConversion"/>
  </si>
  <si>
    <t>数（重）量</t>
    <phoneticPr fontId="36" type="noConversion"/>
  </si>
  <si>
    <t>包装情况</t>
    <phoneticPr fontId="36" type="noConversion"/>
  </si>
  <si>
    <t>上海南汇</t>
    <phoneticPr fontId="1" type="noConversion"/>
  </si>
  <si>
    <t>委托务签章：</t>
    <phoneticPr fontId="36" type="noConversion"/>
  </si>
  <si>
    <t>被委托方签章：</t>
    <phoneticPr fontId="36" type="noConversion"/>
  </si>
  <si>
    <t>经办人签字：</t>
    <phoneticPr fontId="36" type="noConversion"/>
  </si>
  <si>
    <t>报关人员签名：</t>
    <phoneticPr fontId="36" type="noConversion"/>
  </si>
  <si>
    <r>
      <rPr>
        <b/>
        <sz val="10"/>
        <rFont val="宋体"/>
        <family val="3"/>
        <charset val="134"/>
      </rPr>
      <t>联系电话</t>
    </r>
    <r>
      <rPr>
        <sz val="12"/>
        <rFont val="宋体"/>
        <family val="3"/>
        <charset val="134"/>
      </rPr>
      <t>：18282281141</t>
    </r>
    <phoneticPr fontId="1" type="noConversion"/>
  </si>
  <si>
    <r>
      <t>联系电话：</t>
    </r>
    <r>
      <rPr>
        <b/>
        <sz val="9"/>
        <rFont val="Times New Roman"/>
        <family val="1"/>
      </rPr>
      <t xml:space="preserve">                                                      </t>
    </r>
    <r>
      <rPr>
        <b/>
        <sz val="9"/>
        <rFont val="宋体"/>
        <family val="3"/>
        <charset val="134"/>
      </rPr>
      <t>年</t>
    </r>
    <r>
      <rPr>
        <b/>
        <sz val="9"/>
        <rFont val="Times New Roman"/>
        <family val="1"/>
      </rPr>
      <t xml:space="preserve">      </t>
    </r>
    <r>
      <rPr>
        <b/>
        <sz val="9"/>
        <rFont val="宋体"/>
        <family val="3"/>
        <charset val="134"/>
      </rPr>
      <t>月</t>
    </r>
    <r>
      <rPr>
        <b/>
        <sz val="9"/>
        <rFont val="Times New Roman"/>
        <family val="1"/>
      </rPr>
      <t xml:space="preserve">      </t>
    </r>
    <r>
      <rPr>
        <b/>
        <sz val="9"/>
        <rFont val="宋体"/>
        <family val="3"/>
        <charset val="134"/>
      </rPr>
      <t>日</t>
    </r>
    <phoneticPr fontId="1" type="noConversion"/>
  </si>
  <si>
    <r>
      <t xml:space="preserve">   </t>
    </r>
    <r>
      <rPr>
        <b/>
        <sz val="9"/>
        <rFont val="宋体"/>
        <family val="3"/>
        <charset val="134"/>
      </rPr>
      <t>（白联：海关留存、黄联：被委托方留存、红联：委托方留存）</t>
    </r>
    <r>
      <rPr>
        <b/>
        <sz val="9"/>
        <rFont val="Times New Roman"/>
        <family val="1"/>
      </rPr>
      <t xml:space="preserve">                 </t>
    </r>
    <r>
      <rPr>
        <b/>
        <sz val="9"/>
        <rFont val="宋体"/>
        <family val="3"/>
        <charset val="134"/>
      </rPr>
      <t>中国报关协会监制</t>
    </r>
    <phoneticPr fontId="1" type="noConversion"/>
  </si>
  <si>
    <r>
      <t>委托方责任</t>
    </r>
    <r>
      <rPr>
        <b/>
        <sz val="10.5"/>
        <rFont val="Times New Roman"/>
        <family val="1"/>
      </rPr>
      <t xml:space="preserve">  </t>
    </r>
    <r>
      <rPr>
        <b/>
        <sz val="10.5"/>
        <rFont val="宋体"/>
        <family val="3"/>
        <charset val="134"/>
      </rPr>
      <t>委托方应及时提供报关报检所须的全部单证，并对单证的真实性、准确性和完整性负责。</t>
    </r>
    <phoneticPr fontId="1" type="noConversion"/>
  </si>
  <si>
    <t>纸箱</t>
  </si>
  <si>
    <t>包裹品名简写</t>
    <phoneticPr fontId="36" type="noConversion"/>
  </si>
  <si>
    <t>产品类型</t>
    <phoneticPr fontId="36" type="noConversion"/>
  </si>
  <si>
    <t>类型</t>
    <phoneticPr fontId="36" type="noConversion"/>
  </si>
  <si>
    <t>单号</t>
    <phoneticPr fontId="36" type="noConversion"/>
  </si>
  <si>
    <t>直寄</t>
    <phoneticPr fontId="36" type="noConversion"/>
  </si>
  <si>
    <t>BD编号</t>
    <phoneticPr fontId="36" type="noConversion"/>
  </si>
  <si>
    <t>Ark编号</t>
    <phoneticPr fontId="36" type="noConversion"/>
  </si>
  <si>
    <t>规格</t>
    <phoneticPr fontId="36" type="noConversion"/>
  </si>
  <si>
    <t>瓶数</t>
    <phoneticPr fontId="36" type="noConversion"/>
  </si>
  <si>
    <t>出库数量</t>
    <phoneticPr fontId="36" type="noConversion"/>
  </si>
  <si>
    <t>批号G数量</t>
    <phoneticPr fontId="36" type="noConversion"/>
  </si>
  <si>
    <t>包裹性状</t>
    <phoneticPr fontId="36" type="noConversion"/>
  </si>
  <si>
    <t>实际性状</t>
    <phoneticPr fontId="36" type="noConversion"/>
  </si>
  <si>
    <t>出库单明细行备注</t>
    <phoneticPr fontId="36" type="noConversion"/>
  </si>
  <si>
    <t>客户PO号</t>
    <phoneticPr fontId="36" type="noConversion"/>
  </si>
  <si>
    <t>Hazard S</t>
    <phoneticPr fontId="36" type="noConversion"/>
  </si>
  <si>
    <t>Precautionary S</t>
    <phoneticPr fontId="36" type="noConversion"/>
  </si>
  <si>
    <t>出库仓库</t>
    <phoneticPr fontId="36" type="noConversion"/>
  </si>
  <si>
    <t>单个内包装最大量</t>
    <phoneticPr fontId="36" type="noConversion"/>
  </si>
  <si>
    <t>单件包裹最大净重（货机）</t>
    <phoneticPr fontId="36" type="noConversion"/>
  </si>
  <si>
    <t>产品特殊备注</t>
    <phoneticPr fontId="36" type="noConversion"/>
  </si>
  <si>
    <t>外部批号</t>
    <phoneticPr fontId="36" type="noConversion"/>
  </si>
  <si>
    <t>EM编号</t>
    <phoneticPr fontId="36" type="noConversion"/>
  </si>
  <si>
    <t>不稳定</t>
    <phoneticPr fontId="36" type="noConversion"/>
  </si>
  <si>
    <t>熔点</t>
    <phoneticPr fontId="36" type="noConversion"/>
  </si>
  <si>
    <t>中文名</t>
    <phoneticPr fontId="36" type="noConversion"/>
  </si>
  <si>
    <t>标准纯度</t>
    <phoneticPr fontId="36" type="noConversion"/>
  </si>
  <si>
    <t>客户要求纯度</t>
    <phoneticPr fontId="36" type="noConversion"/>
  </si>
  <si>
    <t>AM编号</t>
    <phoneticPr fontId="36" type="noConversion"/>
  </si>
  <si>
    <t>Hs code</t>
    <phoneticPr fontId="31" type="noConversion"/>
  </si>
  <si>
    <t>Hs code-2</t>
  </si>
  <si>
    <t>海关条件</t>
  </si>
  <si>
    <t>收货地址</t>
    <phoneticPr fontId="31" type="noConversion"/>
  </si>
  <si>
    <t>币种</t>
    <phoneticPr fontId="31" type="noConversion"/>
  </si>
  <si>
    <t>批号+序号</t>
    <phoneticPr fontId="36" type="noConversion"/>
  </si>
  <si>
    <t>序号</t>
    <phoneticPr fontId="36" type="noConversion"/>
  </si>
  <si>
    <t>FC</t>
    <phoneticPr fontId="36" type="noConversion"/>
  </si>
  <si>
    <t>FCC</t>
    <phoneticPr fontId="36" type="noConversion"/>
  </si>
  <si>
    <t>发货日期</t>
    <phoneticPr fontId="36" type="noConversion"/>
  </si>
  <si>
    <t>Order  No.</t>
  </si>
  <si>
    <t>Order  No.</t>
    <phoneticPr fontId="1" type="noConversion"/>
  </si>
  <si>
    <t xml:space="preserve">货物运输安全保证函
20160303 Guarantee of Safety Transportation 20160303
</t>
    <phoneticPr fontId="1" type="noConversion"/>
  </si>
  <si>
    <t>发件公司英文名（shipper in English）</t>
    <phoneticPr fontId="1" type="noConversion"/>
  </si>
  <si>
    <t xml:space="preserve"> BLD Pharmatech Ltd.</t>
    <phoneticPr fontId="1" type="noConversion"/>
  </si>
  <si>
    <t>发件公司中文名（shipper in Chinese）</t>
    <phoneticPr fontId="1" type="noConversion"/>
  </si>
  <si>
    <r>
      <t xml:space="preserve"> </t>
    </r>
    <r>
      <rPr>
        <sz val="12"/>
        <rFont val="宋体"/>
        <family val="3"/>
        <charset val="134"/>
      </rPr>
      <t>上海毕路得医药科技有限公司</t>
    </r>
    <phoneticPr fontId="1" type="noConversion"/>
  </si>
  <si>
    <t>送检公司（inspection submitted ）</t>
    <phoneticPr fontId="1" type="noConversion"/>
  </si>
  <si>
    <t>上海毕路得医药科技有限公司</t>
    <phoneticPr fontId="1" type="noConversion"/>
  </si>
  <si>
    <t xml:space="preserve">货物品名（英文）Shipments Details（English）
</t>
    <phoneticPr fontId="1" type="noConversion"/>
  </si>
  <si>
    <t xml:space="preserve">货物品名（中文）
Shipments Details（Chinese）
</t>
    <phoneticPr fontId="1" type="noConversion"/>
  </si>
  <si>
    <t xml:space="preserve">货物运输条件鉴定书编号：
Certification No. For Safe Transportation of Chemical Goods
</t>
    <phoneticPr fontId="1" type="noConversion"/>
  </si>
  <si>
    <t xml:space="preserve">鉴定结果 
Transportation Information
</t>
    <phoneticPr fontId="1" type="noConversion"/>
  </si>
  <si>
    <t>No danger，can be packaged and air transported by ordinary goods
无危险性可按普通货物包装及空运</t>
    <phoneticPr fontId="1" type="noConversion"/>
  </si>
  <si>
    <t>包装Packaging</t>
    <phoneticPr fontId="1" type="noConversion"/>
  </si>
  <si>
    <t>Paper packaging
纸质包装</t>
    <phoneticPr fontId="1" type="noConversion"/>
  </si>
  <si>
    <r>
      <t xml:space="preserve">488 Taoqiao Road, Building 5 </t>
    </r>
    <r>
      <rPr>
        <sz val="11"/>
        <rFont val="宋体"/>
        <family val="3"/>
        <charset val="134"/>
      </rPr>
      <t>，</t>
    </r>
    <r>
      <rPr>
        <sz val="11"/>
        <rFont val="Times New Roman"/>
        <family val="1"/>
      </rPr>
      <t>5F, HuiNan Town, Pud
HuiNan Town, Pud ong New Area, Shanghai 201203, China</t>
    </r>
    <phoneticPr fontId="1" type="noConversion"/>
  </si>
  <si>
    <t>目的地/地址Destination Address</t>
    <phoneticPr fontId="1" type="noConversion"/>
  </si>
  <si>
    <t xml:space="preserve">我公司以上申报属实，若由于我公司申报不符，而造成运输过程中的一切损伤，我公司承担一切法律责任和经济赔偿。
I guarantee the truth of above information, or I will take full responsibilities for the result caused by the fake declared information. 
</t>
    <phoneticPr fontId="1" type="noConversion"/>
  </si>
  <si>
    <t xml:space="preserve">发件公司（公章）
Shipper(Stamp)
</t>
    <phoneticPr fontId="1" type="noConversion"/>
  </si>
  <si>
    <t xml:space="preserve">送检公司（公章）
inspection submitted (Stamp)
</t>
    <phoneticPr fontId="1" type="noConversion"/>
  </si>
  <si>
    <t>筛重</t>
    <phoneticPr fontId="1" type="noConversion"/>
  </si>
  <si>
    <r>
      <t>2019</t>
    </r>
    <r>
      <rPr>
        <b/>
        <sz val="14"/>
        <rFont val="宋体"/>
        <family val="3"/>
        <charset val="134"/>
      </rPr>
      <t>年外贸发货产品目录</t>
    </r>
    <phoneticPr fontId="1" type="noConversion"/>
  </si>
  <si>
    <t>单价</t>
    <phoneticPr fontId="31" type="noConversion"/>
  </si>
  <si>
    <t>品名代码备注</t>
    <phoneticPr fontId="36" type="noConversion"/>
  </si>
  <si>
    <t>English Name</t>
    <phoneticPr fontId="1" type="noConversion"/>
  </si>
  <si>
    <t xml:space="preserve">HS </t>
    <phoneticPr fontId="1" type="noConversion"/>
  </si>
  <si>
    <t>HTS</t>
    <phoneticPr fontId="1" type="noConversion"/>
  </si>
  <si>
    <t>中文性状</t>
    <phoneticPr fontId="1" type="noConversion"/>
  </si>
  <si>
    <r>
      <rPr>
        <sz val="10"/>
        <rFont val="宋体"/>
        <family val="3"/>
        <charset val="134"/>
      </rPr>
      <t>英文性状</t>
    </r>
    <phoneticPr fontId="1" type="noConversion"/>
  </si>
  <si>
    <t>鉴定证书编号</t>
    <phoneticPr fontId="36" type="noConversion"/>
  </si>
  <si>
    <t>签发日期</t>
    <phoneticPr fontId="36" type="noConversion"/>
  </si>
  <si>
    <t>申报要素</t>
    <phoneticPr fontId="1" type="noConversion"/>
  </si>
  <si>
    <t>Colorless Transparent Liquid</t>
  </si>
  <si>
    <t>112-82-3</t>
  </si>
  <si>
    <t>2922.19.96 90</t>
  </si>
  <si>
    <t>2924.29.36 00</t>
  </si>
  <si>
    <t>White-like powder</t>
  </si>
  <si>
    <t>23363-88-4</t>
    <phoneticPr fontId="36" type="noConversion"/>
  </si>
  <si>
    <t>6228-73-5</t>
    <phoneticPr fontId="36" type="noConversion"/>
  </si>
  <si>
    <t>168960-19-8</t>
    <phoneticPr fontId="36" type="noConversion"/>
  </si>
  <si>
    <t>Aromatic ring products without heteroatoms category （AB-16）46</t>
  </si>
  <si>
    <t>White-like fine particles</t>
  </si>
  <si>
    <t>55289-06-0</t>
    <phoneticPr fontId="36" type="noConversion"/>
  </si>
  <si>
    <t>Aromatic ring products without heteroatoms category （AB-16）53</t>
  </si>
  <si>
    <t>White-like crystalline powder</t>
  </si>
  <si>
    <t>3038-48-0</t>
    <phoneticPr fontId="36" type="noConversion"/>
  </si>
  <si>
    <t>Aromatic ring products without heteroatoms category （AB-16）34</t>
  </si>
  <si>
    <t>Yellowish granular crystals</t>
  </si>
  <si>
    <t>344-38-7</t>
    <phoneticPr fontId="36" type="noConversion"/>
  </si>
  <si>
    <t>Aromatic ring products without heteroatoms category （AB-16）33</t>
  </si>
  <si>
    <t>Light yellow-green granular crystals</t>
  </si>
  <si>
    <t>364-75-0</t>
    <phoneticPr fontId="36" type="noConversion"/>
  </si>
  <si>
    <t>Aromatic ring products without heteroatoms category （AB-16）31</t>
  </si>
  <si>
    <t>20372-63-8</t>
    <phoneticPr fontId="36" type="noConversion"/>
  </si>
  <si>
    <t>Aromatic ring products without heteroatoms category （AB-16）30</t>
  </si>
  <si>
    <t>2914.79.40 00</t>
  </si>
  <si>
    <t>Lavender powder</t>
  </si>
  <si>
    <t>3988-03-2</t>
    <phoneticPr fontId="36" type="noConversion"/>
  </si>
  <si>
    <t>Aromatic ring products without heteroatoms category （AB-16）43</t>
  </si>
  <si>
    <t>Light yellow-green powder</t>
  </si>
  <si>
    <t>185629-31-6</t>
    <phoneticPr fontId="36" type="noConversion"/>
  </si>
  <si>
    <t>Aromatic ring products without heteroatoms category （AB-16）48</t>
  </si>
  <si>
    <t>Yellow-green powder</t>
  </si>
  <si>
    <t>1674334-51-0</t>
    <phoneticPr fontId="36" type="noConversion"/>
  </si>
  <si>
    <t>Aromatic ring products without heteroatoms category （AB-16）41</t>
  </si>
  <si>
    <t>118156-84-6</t>
    <phoneticPr fontId="36" type="noConversion"/>
  </si>
  <si>
    <t>2934.99.44 00</t>
  </si>
  <si>
    <t>10558-25-5</t>
    <phoneticPr fontId="36" type="noConversion"/>
  </si>
  <si>
    <t>Heterocyclic with nitrogen compound category (AB-06)38</t>
  </si>
  <si>
    <t>2933.39.91 00</t>
  </si>
  <si>
    <t>Pale yellow crystals</t>
  </si>
  <si>
    <t>1124-64-7</t>
    <phoneticPr fontId="36" type="noConversion"/>
  </si>
  <si>
    <t>Heterocyclic with nitrogen compound category (AB-06)45</t>
  </si>
  <si>
    <t>2933.99.97 01</t>
  </si>
  <si>
    <t>Orange powder</t>
  </si>
  <si>
    <t>91-56-5</t>
    <phoneticPr fontId="36" type="noConversion"/>
  </si>
  <si>
    <t>Heterocyclic with nitrogen compound category (AB-06)36</t>
  </si>
  <si>
    <t>310454-53-6</t>
    <phoneticPr fontId="36" type="noConversion"/>
  </si>
  <si>
    <t>Heterocyclic with nitrogen compound category (AB-06)41</t>
  </si>
  <si>
    <t>159635-49-1</t>
  </si>
  <si>
    <t>Heterocyclic with nitrogen compound category (AB-06)40</t>
  </si>
  <si>
    <t>1480-87-1</t>
    <phoneticPr fontId="36" type="noConversion"/>
  </si>
  <si>
    <t>Yellow transparent liquid</t>
  </si>
  <si>
    <t>3569-99-1</t>
    <phoneticPr fontId="36" type="noConversion"/>
  </si>
  <si>
    <t>Heterocyclic with nitrogen compound category (AB-06)31</t>
  </si>
  <si>
    <t>91348-45-7</t>
    <phoneticPr fontId="36" type="noConversion"/>
  </si>
  <si>
    <t>Heterocyclic with nitrogen compound category (AB-06)33</t>
  </si>
  <si>
    <t>4649-09-6</t>
  </si>
  <si>
    <t>White-like particles and powders</t>
  </si>
  <si>
    <t>1202-04-6</t>
    <phoneticPr fontId="36" type="noConversion"/>
  </si>
  <si>
    <t>Yellow powder</t>
  </si>
  <si>
    <t>4792-58-9</t>
    <phoneticPr fontId="36" type="noConversion"/>
  </si>
  <si>
    <t>Heterocyclic with single or more oxygen atoms compound category （AB-15）19</t>
  </si>
  <si>
    <t>86-76-0</t>
    <phoneticPr fontId="36" type="noConversion"/>
  </si>
  <si>
    <t>Heterocyclic with single or more oxygen atoms compound category （AB-15）22</t>
  </si>
  <si>
    <t>87-41-2</t>
    <phoneticPr fontId="36" type="noConversion"/>
  </si>
  <si>
    <t>Heterocyclic with single or more oxygen atoms compound category （AB-15）21</t>
  </si>
  <si>
    <t>652-39-1</t>
    <phoneticPr fontId="36" type="noConversion"/>
  </si>
  <si>
    <t>4385-35-7</t>
    <phoneticPr fontId="36" type="noConversion"/>
  </si>
  <si>
    <t>Heterocyclic with single or more oxygen atoms compound category （AB-15）23</t>
  </si>
  <si>
    <t>66826-78-6</t>
    <phoneticPr fontId="36" type="noConversion"/>
  </si>
  <si>
    <t>2930.90.91 50</t>
  </si>
  <si>
    <t>15088-78-5</t>
    <phoneticPr fontId="36" type="noConversion"/>
  </si>
  <si>
    <t>393-37-3</t>
    <phoneticPr fontId="36" type="noConversion"/>
  </si>
  <si>
    <t>505-48-6</t>
    <phoneticPr fontId="36" type="noConversion"/>
  </si>
  <si>
    <t>Heterocyclic with nitrogen compound category (AB-06)35</t>
  </si>
  <si>
    <t>Brown viscous liquid</t>
  </si>
  <si>
    <t>20845-34-5</t>
    <phoneticPr fontId="36" type="noConversion"/>
  </si>
  <si>
    <t>Heterocyclic with nitrogen compound category (AB-06)37</t>
  </si>
  <si>
    <t>253870-02-9</t>
    <phoneticPr fontId="36" type="noConversion"/>
  </si>
  <si>
    <t>Heterocyclic with nitrogen compound category (AB-06)44</t>
  </si>
  <si>
    <t>Brown crystalline liquid</t>
  </si>
  <si>
    <t>91-19-0</t>
    <phoneticPr fontId="36" type="noConversion"/>
  </si>
  <si>
    <t>Black-grey viscous powder</t>
  </si>
  <si>
    <t>2199-43-1</t>
    <phoneticPr fontId="36" type="noConversion"/>
  </si>
  <si>
    <t>595-46-0</t>
    <phoneticPr fontId="36" type="noConversion"/>
  </si>
  <si>
    <t>Aromatic ring products without heteroatoms category （AB-16）36</t>
  </si>
  <si>
    <t>177952-39-5</t>
    <phoneticPr fontId="36" type="noConversion"/>
  </si>
  <si>
    <t>Aromatic ring products without heteroatoms category （AB-16）50</t>
  </si>
  <si>
    <t>826-55-1</t>
    <phoneticPr fontId="36" type="noConversion"/>
  </si>
  <si>
    <t>Aromatic ring products without heteroatoms category （AB-16）51</t>
  </si>
  <si>
    <t>2438-05-3</t>
  </si>
  <si>
    <t>Aromatic ring products without heteroatoms category （AB-16）29</t>
  </si>
  <si>
    <t>25177-85-9</t>
    <phoneticPr fontId="36" type="noConversion"/>
  </si>
  <si>
    <t>White Particles and Powders</t>
  </si>
  <si>
    <t>3344-70-5</t>
    <phoneticPr fontId="36" type="noConversion"/>
  </si>
  <si>
    <t>628-21-7</t>
    <phoneticPr fontId="36" type="noConversion"/>
  </si>
  <si>
    <t>629-09-4</t>
    <phoneticPr fontId="36" type="noConversion"/>
  </si>
  <si>
    <t>4101-68-2</t>
    <phoneticPr fontId="36" type="noConversion"/>
  </si>
  <si>
    <t>32864-38-3</t>
    <phoneticPr fontId="36" type="noConversion"/>
  </si>
  <si>
    <t>30432-16-7</t>
    <phoneticPr fontId="36" type="noConversion"/>
  </si>
  <si>
    <t>39067-45-3</t>
    <phoneticPr fontId="36" type="noConversion"/>
  </si>
  <si>
    <t>505-52-2</t>
    <phoneticPr fontId="36" type="noConversion"/>
  </si>
  <si>
    <t>Heterocyclic with single or more oxygen atoms compound category （AB-15）24</t>
  </si>
  <si>
    <t>Brown fine granular powder</t>
  </si>
  <si>
    <t>5802-17-5</t>
    <phoneticPr fontId="36" type="noConversion"/>
  </si>
  <si>
    <t>Heterocyclic with single or more oxygen atoms compound category （AB-15）25</t>
  </si>
  <si>
    <t>Yellowish brown powder</t>
  </si>
  <si>
    <t>3162-29-6</t>
    <phoneticPr fontId="36" type="noConversion"/>
  </si>
  <si>
    <t>Heterocyclic with single or more oxygen atoms compound category （AB-15）26</t>
  </si>
  <si>
    <t>Light yellow-green fine granular crystals</t>
  </si>
  <si>
    <t>19814-75-6</t>
    <phoneticPr fontId="36" type="noConversion"/>
  </si>
  <si>
    <t>98-03-3</t>
    <phoneticPr fontId="36" type="noConversion"/>
  </si>
  <si>
    <t>149703-84-4</t>
    <phoneticPr fontId="36" type="noConversion"/>
  </si>
  <si>
    <t>195062-59-0</t>
    <phoneticPr fontId="36" type="noConversion"/>
  </si>
  <si>
    <t>133228-21-4</t>
    <phoneticPr fontId="36" type="noConversion"/>
  </si>
  <si>
    <t>2524-67-6</t>
    <phoneticPr fontId="36" type="noConversion"/>
  </si>
  <si>
    <t>455-36-7</t>
    <phoneticPr fontId="36" type="noConversion"/>
  </si>
  <si>
    <t>Aromatic ring products without heteroatoms category （AB-16）47</t>
  </si>
  <si>
    <t>59382-39-7</t>
    <phoneticPr fontId="36" type="noConversion"/>
  </si>
  <si>
    <t>Aromatic ring products without heteroatoms category （AB-16）35</t>
  </si>
  <si>
    <t>Pink liquid</t>
  </si>
  <si>
    <t>116632-39-4</t>
    <phoneticPr fontId="36" type="noConversion"/>
  </si>
  <si>
    <t>Aromatic ring products without heteroatoms category （AB-16）42</t>
  </si>
  <si>
    <t>955887-09-9</t>
    <phoneticPr fontId="36" type="noConversion"/>
  </si>
  <si>
    <t>Aromatic ring products without heteroatoms category （AB-16）40</t>
  </si>
  <si>
    <t>客户编号</t>
    <phoneticPr fontId="36" type="noConversion"/>
  </si>
  <si>
    <t>客户信息</t>
    <phoneticPr fontId="36" type="noConversion"/>
  </si>
  <si>
    <t>运输方式</t>
    <phoneticPr fontId="36" type="noConversion"/>
  </si>
  <si>
    <t>账号</t>
    <phoneticPr fontId="36" type="noConversion"/>
  </si>
  <si>
    <t>客户国家</t>
    <phoneticPr fontId="36" type="noConversion"/>
  </si>
  <si>
    <t>销售代表</t>
    <phoneticPr fontId="36" type="noConversion"/>
  </si>
  <si>
    <t>收件人</t>
    <phoneticPr fontId="36" type="noConversion"/>
  </si>
  <si>
    <t>WB000043-1</t>
    <phoneticPr fontId="36" type="noConversion"/>
  </si>
  <si>
    <t>FEDEX</t>
    <phoneticPr fontId="36" type="noConversion"/>
  </si>
  <si>
    <t>GERMANY</t>
    <phoneticPr fontId="36" type="noConversion"/>
  </si>
  <si>
    <t>德国</t>
    <phoneticPr fontId="36" type="noConversion"/>
  </si>
  <si>
    <t>Stefanie Niederer</t>
  </si>
  <si>
    <t>Tel: +49 721 95061-19</t>
    <phoneticPr fontId="1" type="noConversion"/>
  </si>
  <si>
    <t>FEDEX</t>
    <phoneticPr fontId="36" type="noConversion"/>
  </si>
  <si>
    <t>田丽茹</t>
    <phoneticPr fontId="36" type="noConversion"/>
  </si>
  <si>
    <t>预付</t>
    <phoneticPr fontId="36" type="noConversion"/>
  </si>
  <si>
    <t>WB000055-1</t>
    <phoneticPr fontId="36" type="noConversion"/>
  </si>
  <si>
    <t>Activate Scientific UK Ltd</t>
    <phoneticPr fontId="1" type="noConversion"/>
  </si>
  <si>
    <t>UK</t>
    <phoneticPr fontId="36" type="noConversion"/>
  </si>
  <si>
    <t>英国</t>
    <phoneticPr fontId="36" type="noConversion"/>
  </si>
  <si>
    <t>Ely, UK, CB6 1RA</t>
    <phoneticPr fontId="1" type="noConversion"/>
  </si>
  <si>
    <t>WB000069-1</t>
    <phoneticPr fontId="36" type="noConversion"/>
  </si>
  <si>
    <t>Key Organics Limited</t>
    <phoneticPr fontId="1" type="noConversion"/>
  </si>
  <si>
    <t>Highfield Road Industrial Estate</t>
    <phoneticPr fontId="1" type="noConversion"/>
  </si>
  <si>
    <t>Camelford Cornwall PL32 9RA UK</t>
    <phoneticPr fontId="1" type="noConversion"/>
  </si>
  <si>
    <t>Tel: +44 (0) 1840 212137</t>
    <phoneticPr fontId="1" type="noConversion"/>
  </si>
  <si>
    <t>WB000051-1</t>
    <phoneticPr fontId="36" type="noConversion"/>
  </si>
  <si>
    <t>JAPAN</t>
    <phoneticPr fontId="36" type="noConversion"/>
  </si>
  <si>
    <t>日本</t>
    <phoneticPr fontId="36" type="noConversion"/>
  </si>
  <si>
    <t>TOKYO 160-0022 JAPAN</t>
    <phoneticPr fontId="36" type="noConversion"/>
  </si>
  <si>
    <t>WB000082-1</t>
    <phoneticPr fontId="1" type="noConversion"/>
  </si>
  <si>
    <t>Long Tail Intl. Trade Co., Ltd.</t>
    <phoneticPr fontId="1" type="noConversion"/>
  </si>
  <si>
    <t xml:space="preserve">Taiwan </t>
    <phoneticPr fontId="1" type="noConversion"/>
  </si>
  <si>
    <t>台湾</t>
    <phoneticPr fontId="1" type="noConversion"/>
  </si>
  <si>
    <t>India</t>
    <phoneticPr fontId="1" type="noConversion"/>
  </si>
  <si>
    <t>印度</t>
    <phoneticPr fontId="1" type="noConversion"/>
  </si>
  <si>
    <t>WB000081-1</t>
    <phoneticPr fontId="1" type="noConversion"/>
  </si>
  <si>
    <t xml:space="preserve">2687-9109-4 </t>
    <phoneticPr fontId="1" type="noConversion"/>
  </si>
  <si>
    <t>日本</t>
    <phoneticPr fontId="1" type="noConversion"/>
  </si>
  <si>
    <t>ATTN:Kenshiro Shigematsu</t>
    <phoneticPr fontId="1" type="noConversion"/>
  </si>
  <si>
    <t>Osaka, 541-0047,Japan</t>
    <phoneticPr fontId="1" type="noConversion"/>
  </si>
  <si>
    <t>Tel：81-6-6231-6146</t>
    <phoneticPr fontId="1" type="noConversion"/>
  </si>
  <si>
    <t>WB000110-1</t>
    <phoneticPr fontId="1" type="noConversion"/>
  </si>
  <si>
    <t>预付</t>
    <phoneticPr fontId="1" type="noConversion"/>
  </si>
  <si>
    <t>USA</t>
    <phoneticPr fontId="1" type="noConversion"/>
  </si>
  <si>
    <t>美国</t>
    <phoneticPr fontId="1" type="noConversion"/>
  </si>
  <si>
    <t>ATTN:Irwin, Matt</t>
    <phoneticPr fontId="1" type="noConversion"/>
  </si>
  <si>
    <t>Tel：877-633-2436</t>
    <phoneticPr fontId="1" type="noConversion"/>
  </si>
  <si>
    <t>Ark Pharm, Inc.</t>
    <phoneticPr fontId="1" type="noConversion"/>
  </si>
  <si>
    <t>罗晶</t>
    <phoneticPr fontId="1" type="noConversion"/>
  </si>
  <si>
    <t>3860 North Ventura Drive</t>
    <phoneticPr fontId="1" type="noConversion"/>
  </si>
  <si>
    <t>Arlington Heights, IL 60004 USA</t>
    <phoneticPr fontId="1" type="noConversion"/>
  </si>
  <si>
    <t>8473673680</t>
    <phoneticPr fontId="1" type="noConversion"/>
  </si>
  <si>
    <t>info@arkpharminc.com</t>
    <phoneticPr fontId="1" type="noConversion"/>
  </si>
  <si>
    <t>Attn:</t>
    <phoneticPr fontId="1" type="noConversion"/>
  </si>
  <si>
    <t>WB000106-1</t>
    <phoneticPr fontId="1" type="noConversion"/>
  </si>
  <si>
    <t>FEDEX</t>
    <phoneticPr fontId="1" type="noConversion"/>
  </si>
  <si>
    <t>田丽茹</t>
    <phoneticPr fontId="1" type="noConversion"/>
  </si>
  <si>
    <t>Plot No-35,Technocrat industrial Estate</t>
    <phoneticPr fontId="36" type="noConversion"/>
  </si>
  <si>
    <t>IDA-Balanagar, Hyderabad</t>
    <phoneticPr fontId="36" type="noConversion"/>
  </si>
  <si>
    <t>5000037,India</t>
    <phoneticPr fontId="36" type="noConversion"/>
  </si>
  <si>
    <t>+918886001729</t>
    <phoneticPr fontId="1" type="noConversion"/>
  </si>
  <si>
    <t>CV009 BL-1</t>
    <phoneticPr fontId="1" type="noConversion"/>
  </si>
  <si>
    <t xml:space="preserve"> Ambeed, Inc</t>
  </si>
  <si>
    <t>DHL</t>
    <phoneticPr fontId="36" type="noConversion"/>
  </si>
  <si>
    <t>3860 N. Ventura Dr.</t>
  </si>
  <si>
    <t xml:space="preserve">Arlington Heights, IL 60004. </t>
    <phoneticPr fontId="1" type="noConversion"/>
  </si>
  <si>
    <t>+1 630-580-1088</t>
    <phoneticPr fontId="1" type="noConversion"/>
  </si>
  <si>
    <t>info@ambeed.com</t>
    <phoneticPr fontId="1" type="noConversion"/>
  </si>
  <si>
    <t>WB000216-1</t>
    <phoneticPr fontId="1" type="noConversion"/>
  </si>
  <si>
    <t>Synthonix Inc</t>
    <phoneticPr fontId="1" type="noConversion"/>
  </si>
  <si>
    <t xml:space="preserve"> 2713 Connector Dr Wake Forest</t>
    <phoneticPr fontId="1" type="noConversion"/>
  </si>
  <si>
    <t>North Carolina 27587</t>
    <phoneticPr fontId="1" type="noConversion"/>
  </si>
  <si>
    <t xml:space="preserve">United States </t>
    <phoneticPr fontId="1" type="noConversion"/>
  </si>
  <si>
    <t>9198759277</t>
    <phoneticPr fontId="1" type="noConversion"/>
  </si>
  <si>
    <t>CV001 BL-1</t>
    <phoneticPr fontId="1" type="noConversion"/>
  </si>
  <si>
    <t>ark receiving</t>
    <phoneticPr fontId="1" type="noConversion"/>
  </si>
  <si>
    <t>CV001 BL-2</t>
    <phoneticPr fontId="1" type="noConversion"/>
  </si>
  <si>
    <t>CV001 BL-3</t>
    <phoneticPr fontId="1" type="noConversion"/>
  </si>
  <si>
    <t>CV001 BL-4</t>
    <phoneticPr fontId="1" type="noConversion"/>
  </si>
  <si>
    <t>CV001 BL-5</t>
    <phoneticPr fontId="1" type="noConversion"/>
  </si>
  <si>
    <t>WB000125-1</t>
    <phoneticPr fontId="1" type="noConversion"/>
  </si>
  <si>
    <t xml:space="preserve"> eChemPortal, Inc.</t>
    <phoneticPr fontId="1" type="noConversion"/>
  </si>
  <si>
    <t>侯阳</t>
    <phoneticPr fontId="1" type="noConversion"/>
  </si>
  <si>
    <t>Patel</t>
    <phoneticPr fontId="1" type="noConversion"/>
  </si>
  <si>
    <t>WB000125-2</t>
  </si>
  <si>
    <t xml:space="preserve">11 Deerpark Drive Suite </t>
    <phoneticPr fontId="1" type="noConversion"/>
  </si>
  <si>
    <t>WB000125-3</t>
  </si>
  <si>
    <t>Suite 206 Monmouth Junction</t>
    <phoneticPr fontId="1" type="noConversion"/>
  </si>
  <si>
    <t>WB000125-4</t>
  </si>
  <si>
    <t>NJ 08852</t>
    <phoneticPr fontId="1" type="noConversion"/>
  </si>
  <si>
    <t>WB000125-5</t>
  </si>
  <si>
    <t>(888) 959-7846</t>
    <phoneticPr fontId="1" type="noConversion"/>
  </si>
  <si>
    <t>WB000313-1</t>
    <phoneticPr fontId="1" type="noConversion"/>
  </si>
  <si>
    <t>Labex Corporation</t>
  </si>
  <si>
    <t>DHL</t>
    <phoneticPr fontId="1" type="noConversion"/>
  </si>
  <si>
    <r>
      <t>I</t>
    </r>
    <r>
      <rPr>
        <sz val="12"/>
        <rFont val="宋体"/>
        <family val="3"/>
        <charset val="134"/>
      </rPr>
      <t>NDIA</t>
    </r>
    <phoneticPr fontId="36" type="noConversion"/>
  </si>
  <si>
    <t>印度</t>
    <phoneticPr fontId="36" type="noConversion"/>
  </si>
  <si>
    <t>Vinay Sharma</t>
  </si>
  <si>
    <t>WB000313-2</t>
  </si>
  <si>
    <t>Labex Corporation 3022, Sector-A</t>
  </si>
  <si>
    <t>WB000313-3</t>
  </si>
  <si>
    <t xml:space="preserve"> Pocket B&amp;C, Vasant Kunj, </t>
    <phoneticPr fontId="1" type="noConversion"/>
  </si>
  <si>
    <t>WB000313-4</t>
  </si>
  <si>
    <t xml:space="preserve">New Delhi-110070 </t>
    <phoneticPr fontId="1" type="noConversion"/>
  </si>
  <si>
    <t>WB000313-5</t>
  </si>
  <si>
    <t>91-11-26124727</t>
  </si>
  <si>
    <t>WB000334-1</t>
    <phoneticPr fontId="1" type="noConversion"/>
  </si>
  <si>
    <t>Creighton University</t>
    <phoneticPr fontId="1" type="noConversion"/>
  </si>
  <si>
    <t>Santanu Hati</t>
    <phoneticPr fontId="1" type="noConversion"/>
  </si>
  <si>
    <t>WB000334-2</t>
  </si>
  <si>
    <t>1006 N. 20th Street Criss II</t>
    <phoneticPr fontId="1" type="noConversion"/>
  </si>
  <si>
    <t>WB000334-3</t>
  </si>
  <si>
    <t>313 / Hati Omaha</t>
    <phoneticPr fontId="1" type="noConversion"/>
  </si>
  <si>
    <t>WB000334-4</t>
  </si>
  <si>
    <t>NE 68178</t>
    <phoneticPr fontId="1" type="noConversion"/>
  </si>
  <si>
    <t>WB000334-5</t>
  </si>
  <si>
    <t>(402) 280-2052</t>
    <phoneticPr fontId="1" type="noConversion"/>
  </si>
  <si>
    <t>WB000178-1</t>
  </si>
  <si>
    <t>AstaTech, Inc</t>
  </si>
  <si>
    <r>
      <t>FedEx</t>
    </r>
    <r>
      <rPr>
        <sz val="12"/>
        <rFont val="宋体"/>
        <family val="3"/>
        <charset val="134"/>
      </rPr>
      <t xml:space="preserve"> </t>
    </r>
    <phoneticPr fontId="36" type="noConversion"/>
  </si>
  <si>
    <t>USA</t>
    <phoneticPr fontId="1" type="noConversion"/>
  </si>
  <si>
    <t>美国</t>
    <phoneticPr fontId="1" type="noConversion"/>
  </si>
  <si>
    <t xml:space="preserve">Jing Wang </t>
  </si>
  <si>
    <t>WB000178-2</t>
  </si>
  <si>
    <t>Keystone Business Park</t>
  </si>
  <si>
    <t>WB000178-3</t>
  </si>
  <si>
    <t>2525 Pearl Buck Road</t>
  </si>
  <si>
    <t>WB000178-4</t>
  </si>
  <si>
    <t>Bristol, PA 19007, USA</t>
  </si>
  <si>
    <t>WB000178-5</t>
  </si>
  <si>
    <t>1-215-785-3197</t>
  </si>
  <si>
    <t>余灿</t>
    <phoneticPr fontId="36" type="noConversion"/>
  </si>
  <si>
    <t>WB000004-1</t>
    <phoneticPr fontId="36" type="noConversion"/>
  </si>
  <si>
    <t>FEDEX</t>
    <phoneticPr fontId="36" type="noConversion"/>
  </si>
  <si>
    <t>KOREA</t>
    <phoneticPr fontId="36" type="noConversion"/>
  </si>
  <si>
    <t>韩国</t>
    <phoneticPr fontId="36" type="noConversion"/>
  </si>
  <si>
    <t>田丽茹</t>
    <phoneticPr fontId="36" type="noConversion"/>
  </si>
  <si>
    <t>Yesol</t>
  </si>
  <si>
    <t>RM.501, S-Tower, 308</t>
  </si>
  <si>
    <t>Gwanggyojungang-ro</t>
  </si>
  <si>
    <t>Suji-gu,Yongin-si,  Geonggi-do, 16943,</t>
  </si>
  <si>
    <t>TEL:82-31-265-1112</t>
    <phoneticPr fontId="1" type="noConversion"/>
  </si>
  <si>
    <t>李晶晶</t>
    <phoneticPr fontId="36" type="noConversion"/>
  </si>
  <si>
    <t>Mike Crebbin</t>
  </si>
  <si>
    <t>DHL</t>
    <phoneticPr fontId="36" type="noConversion"/>
  </si>
  <si>
    <t>Heidi Davey</t>
  </si>
  <si>
    <t>WB000103-1</t>
    <phoneticPr fontId="36" type="noConversion"/>
  </si>
  <si>
    <t>TCG Lifesciences Pvt. Ltd.</t>
    <phoneticPr fontId="36" type="noConversion"/>
  </si>
  <si>
    <t>DHL</t>
    <phoneticPr fontId="36" type="noConversion"/>
  </si>
  <si>
    <t>HongKong</t>
    <phoneticPr fontId="36" type="noConversion"/>
  </si>
  <si>
    <t>香港</t>
    <phoneticPr fontId="36" type="noConversion"/>
  </si>
  <si>
    <t xml:space="preserve">CHARLIE </t>
    <phoneticPr fontId="36" type="noConversion"/>
  </si>
  <si>
    <t>MT TRADING AND LOGISTICS HK LIMITED</t>
    <phoneticPr fontId="36" type="noConversion"/>
  </si>
  <si>
    <t xml:space="preserve">G/F , 13 SHEK KIP MEI STREET , </t>
    <phoneticPr fontId="36" type="noConversion"/>
  </si>
  <si>
    <t xml:space="preserve">SHAMSHUIPO , KOWLOON , HK . </t>
    <phoneticPr fontId="36" type="noConversion"/>
  </si>
  <si>
    <t>Tel: 2389 3551</t>
    <phoneticPr fontId="36" type="noConversion"/>
  </si>
  <si>
    <t>田莉茹</t>
    <phoneticPr fontId="36" type="noConversion"/>
  </si>
  <si>
    <t>预付</t>
    <phoneticPr fontId="36" type="noConversion"/>
  </si>
  <si>
    <t>预付</t>
    <phoneticPr fontId="1" type="noConversion"/>
  </si>
  <si>
    <t xml:space="preserve"> +81-3-3354-4026</t>
  </si>
  <si>
    <t>WB000049-1</t>
    <phoneticPr fontId="36" type="noConversion"/>
  </si>
  <si>
    <t>SIA MolPort</t>
    <phoneticPr fontId="1" type="noConversion"/>
  </si>
  <si>
    <t>预付</t>
    <phoneticPr fontId="36" type="noConversion"/>
  </si>
  <si>
    <t>拉脱维亚</t>
    <phoneticPr fontId="36" type="noConversion"/>
  </si>
  <si>
    <t>MolPort  Lacplesa street 41</t>
    <phoneticPr fontId="1" type="noConversion"/>
  </si>
  <si>
    <t>Riga, LV-1011 Latvia</t>
    <phoneticPr fontId="1" type="noConversion"/>
  </si>
  <si>
    <t>TEL:+371 67790398</t>
    <phoneticPr fontId="1" type="noConversion"/>
  </si>
  <si>
    <t>Ieva Kluga</t>
  </si>
  <si>
    <t>Latvia</t>
    <phoneticPr fontId="36" type="noConversion"/>
  </si>
  <si>
    <t>Charles</t>
  </si>
  <si>
    <t>24355, Taiwan</t>
    <phoneticPr fontId="1" type="noConversion"/>
  </si>
  <si>
    <t>WB000067-1</t>
    <phoneticPr fontId="1" type="noConversion"/>
  </si>
  <si>
    <t>Chempure Private Limited</t>
    <phoneticPr fontId="1" type="noConversion"/>
  </si>
  <si>
    <t>DHL</t>
    <phoneticPr fontId="1" type="noConversion"/>
  </si>
  <si>
    <t xml:space="preserve"> India</t>
    <phoneticPr fontId="1" type="noConversion"/>
  </si>
  <si>
    <t>印度</t>
    <phoneticPr fontId="1" type="noConversion"/>
  </si>
  <si>
    <t>田丽茹</t>
    <phoneticPr fontId="1" type="noConversion"/>
  </si>
  <si>
    <t>Attn:</t>
    <phoneticPr fontId="1" type="noConversion"/>
  </si>
  <si>
    <t>188/2 Bommasandra Jigani Link Road</t>
    <phoneticPr fontId="1" type="noConversion"/>
  </si>
  <si>
    <t>WB000066-1</t>
    <phoneticPr fontId="1" type="noConversion"/>
  </si>
  <si>
    <t>Prince Scientific</t>
    <phoneticPr fontId="1" type="noConversion"/>
  </si>
  <si>
    <t>India</t>
    <phoneticPr fontId="1" type="noConversion"/>
  </si>
  <si>
    <t xml:space="preserve">4-1-10/1,Tilak Road, Opp.Church Building,Abids </t>
    <phoneticPr fontId="1" type="noConversion"/>
  </si>
  <si>
    <t>Hyderabad-500001</t>
    <phoneticPr fontId="1" type="noConversion"/>
  </si>
  <si>
    <t>Andhra Pradesh   India</t>
    <phoneticPr fontId="1" type="noConversion"/>
  </si>
  <si>
    <t>91-40-24-75-45-74</t>
    <phoneticPr fontId="1" type="noConversion"/>
  </si>
  <si>
    <t>WB000155-1</t>
    <phoneticPr fontId="1" type="noConversion"/>
  </si>
  <si>
    <t>Specs</t>
  </si>
  <si>
    <t>FEDEX</t>
    <phoneticPr fontId="1" type="noConversion"/>
  </si>
  <si>
    <t>预付</t>
    <phoneticPr fontId="1" type="noConversion"/>
  </si>
  <si>
    <t>The Netherlands</t>
  </si>
  <si>
    <t>荷兰</t>
    <phoneticPr fontId="1" type="noConversion"/>
  </si>
  <si>
    <t>周丽芬</t>
    <phoneticPr fontId="1" type="noConversion"/>
  </si>
  <si>
    <t>George Choy</t>
  </si>
  <si>
    <t>WB000155-2</t>
  </si>
  <si>
    <t>Bleiswijksewey 55</t>
    <phoneticPr fontId="1" type="noConversion"/>
  </si>
  <si>
    <t>WB000155-3</t>
  </si>
  <si>
    <t>Zoetermeer 2712PB</t>
    <phoneticPr fontId="1" type="noConversion"/>
  </si>
  <si>
    <t>WB000155-4</t>
  </si>
  <si>
    <t>The Netherlands</t>
    <phoneticPr fontId="1" type="noConversion"/>
  </si>
  <si>
    <t>WB000155-5</t>
  </si>
  <si>
    <t>Tel ：31885255111</t>
    <phoneticPr fontId="1" type="noConversion"/>
  </si>
  <si>
    <t>WB000449-1</t>
    <phoneticPr fontId="1" type="noConversion"/>
  </si>
  <si>
    <t xml:space="preserve"> Kagoshima University</t>
  </si>
  <si>
    <t>Lee Le Hooi</t>
  </si>
  <si>
    <t>WB000449-2</t>
  </si>
  <si>
    <t>Uearato-cho 2-26， Carvendish 701</t>
  </si>
  <si>
    <t>WB000449-3</t>
  </si>
  <si>
    <t xml:space="preserve">Kagoshima-shi  Kagoshima, </t>
    <phoneticPr fontId="1" type="noConversion"/>
  </si>
  <si>
    <t>WB000449-4</t>
  </si>
  <si>
    <t>Japan 8900055</t>
    <phoneticPr fontId="1" type="noConversion"/>
  </si>
  <si>
    <t>WB000449-5</t>
  </si>
  <si>
    <t>TEL:+08095086252</t>
  </si>
  <si>
    <t>FEDEX</t>
    <phoneticPr fontId="36" type="noConversion"/>
  </si>
  <si>
    <t>日本</t>
    <phoneticPr fontId="1" type="noConversion"/>
  </si>
  <si>
    <t>WB000047-1</t>
    <phoneticPr fontId="1" type="noConversion"/>
  </si>
  <si>
    <t>TCI CHEMICAL TRADING CO., LTD.</t>
    <phoneticPr fontId="1" type="noConversion"/>
  </si>
  <si>
    <t>Fedex</t>
    <phoneticPr fontId="1" type="noConversion"/>
  </si>
  <si>
    <t>日本</t>
    <phoneticPr fontId="1" type="noConversion"/>
  </si>
  <si>
    <t>Rieko</t>
  </si>
  <si>
    <t>WB000047-2</t>
  </si>
  <si>
    <t>4-10-1 Nihonbashi Honcho</t>
  </si>
  <si>
    <t>WB000047-3</t>
  </si>
  <si>
    <t>Chuo, Tokyo 1030023 Japan</t>
  </si>
  <si>
    <t>WB000047-4</t>
  </si>
  <si>
    <t>813-5651-5173</t>
  </si>
  <si>
    <t>WB000047-5</t>
  </si>
  <si>
    <t>WB000046-1</t>
    <phoneticPr fontId="1" type="noConversion"/>
  </si>
  <si>
    <t>Piramal Enterprises</t>
    <phoneticPr fontId="36" type="noConversion"/>
  </si>
  <si>
    <r>
      <t>I</t>
    </r>
    <r>
      <rPr>
        <sz val="12"/>
        <rFont val="宋体"/>
        <family val="3"/>
        <charset val="134"/>
      </rPr>
      <t>NDIA</t>
    </r>
    <phoneticPr fontId="36" type="noConversion"/>
  </si>
  <si>
    <t>印度</t>
    <phoneticPr fontId="36" type="noConversion"/>
  </si>
  <si>
    <t>Aniketh Sirsi</t>
  </si>
  <si>
    <t xml:space="preserve">Plot No18 PHARMEZ Pharmaceutical </t>
    <phoneticPr fontId="36" type="noConversion"/>
  </si>
  <si>
    <t>Special Economic Zone Sarkhej-Bawla NH#8A</t>
    <phoneticPr fontId="36" type="noConversion"/>
  </si>
  <si>
    <t>Village Matoda 382213 AHMEDABAD  INDIA</t>
    <phoneticPr fontId="36" type="noConversion"/>
  </si>
  <si>
    <t>912717613032</t>
    <phoneticPr fontId="1" type="noConversion"/>
  </si>
  <si>
    <t>侯阳</t>
    <phoneticPr fontId="1" type="noConversion"/>
  </si>
  <si>
    <t>李依琳</t>
    <phoneticPr fontId="1" type="noConversion"/>
  </si>
  <si>
    <t>侯阳</t>
    <phoneticPr fontId="1" type="noConversion"/>
  </si>
  <si>
    <t>David Davies</t>
  </si>
  <si>
    <t>张桂燕</t>
    <phoneticPr fontId="1" type="noConversion"/>
  </si>
  <si>
    <t>WB000360-1</t>
    <phoneticPr fontId="1" type="noConversion"/>
  </si>
  <si>
    <t>WASEDA University</t>
  </si>
  <si>
    <t>Takanori Shibata</t>
  </si>
  <si>
    <t>WB000360-2</t>
  </si>
  <si>
    <t>Department of Chemistry and Biochemistry,</t>
  </si>
  <si>
    <t>WB000360-3</t>
  </si>
  <si>
    <t>Waseda University,  65-504, 3-4-1, Ohkubo, </t>
  </si>
  <si>
    <t>WB000360-4</t>
  </si>
  <si>
    <t>Shinjuku, 169-8555, Japan</t>
  </si>
  <si>
    <t>WB000360-5</t>
  </si>
  <si>
    <t>81-3-5286-8098</t>
  </si>
  <si>
    <t>WB000040-1</t>
    <phoneticPr fontId="1" type="noConversion"/>
  </si>
  <si>
    <t>CFC Scientific Inc.</t>
    <phoneticPr fontId="1" type="noConversion"/>
  </si>
  <si>
    <t xml:space="preserve"> Canada</t>
  </si>
  <si>
    <t>加拿大</t>
    <phoneticPr fontId="1" type="noConversion"/>
  </si>
  <si>
    <t xml:space="preserve"> Kendre Phone</t>
  </si>
  <si>
    <t>WB000040-2</t>
  </si>
  <si>
    <t>5518 Crabapple Loop SW</t>
  </si>
  <si>
    <t>WB000040-3</t>
  </si>
  <si>
    <t>Edmonton, Alberta Canada T6X 1S5</t>
    <phoneticPr fontId="1" type="noConversion"/>
  </si>
  <si>
    <t>WB000040-4</t>
  </si>
  <si>
    <t>1-780-850-1241</t>
  </si>
  <si>
    <t>WB000040-5</t>
  </si>
  <si>
    <t>WB000048-1</t>
    <phoneticPr fontId="1" type="noConversion"/>
  </si>
  <si>
    <t>Oxygen Healthcare Research Pvt. Ltd.</t>
    <phoneticPr fontId="36" type="noConversion"/>
  </si>
  <si>
    <t>Fedex</t>
    <phoneticPr fontId="1" type="noConversion"/>
  </si>
  <si>
    <t>287884974（危险品）</t>
    <phoneticPr fontId="1" type="noConversion"/>
  </si>
  <si>
    <r>
      <t>I</t>
    </r>
    <r>
      <rPr>
        <sz val="12"/>
        <rFont val="宋体"/>
        <family val="3"/>
        <charset val="134"/>
      </rPr>
      <t>NDIA</t>
    </r>
    <phoneticPr fontId="36" type="noConversion"/>
  </si>
  <si>
    <t>印度</t>
    <phoneticPr fontId="36" type="noConversion"/>
  </si>
  <si>
    <t>Anup Pate</t>
  </si>
  <si>
    <t>WB000048-2</t>
  </si>
  <si>
    <t>Plot No. 35, Panchratna Industrial Estate, Changodar,</t>
    <phoneticPr fontId="36" type="noConversion"/>
  </si>
  <si>
    <t>WB000048-3</t>
  </si>
  <si>
    <t>IBP Laxminarayan Petrol Pump Sarkhej-Bavla Road,</t>
    <phoneticPr fontId="36" type="noConversion"/>
  </si>
  <si>
    <t>WB000048-4</t>
  </si>
  <si>
    <t>Ahmedabad 382213 GUJARAT, India</t>
    <phoneticPr fontId="36" type="noConversion"/>
  </si>
  <si>
    <t>WB000048-5</t>
  </si>
  <si>
    <t>91 8460494608</t>
  </si>
  <si>
    <t>WB000073-1</t>
    <phoneticPr fontId="1" type="noConversion"/>
  </si>
  <si>
    <t>Shreeja Enterprises</t>
  </si>
  <si>
    <t>DHL</t>
    <phoneticPr fontId="1" type="noConversion"/>
  </si>
  <si>
    <t>预付</t>
    <phoneticPr fontId="1" type="noConversion"/>
  </si>
  <si>
    <t>Amit Ghag,</t>
  </si>
  <si>
    <t>WB000073-2</t>
  </si>
  <si>
    <t>405/A Wing, Sai Aasha Complex</t>
  </si>
  <si>
    <t>WB000073-3</t>
  </si>
  <si>
    <t>Neelan Nagar   Gavanpada Road</t>
  </si>
  <si>
    <t>WB000073-4</t>
  </si>
  <si>
    <t>Mulund (East), Mumbai-400081</t>
  </si>
  <si>
    <t>WB000073-5</t>
  </si>
  <si>
    <t>91 9819395336</t>
  </si>
  <si>
    <t>WB000387-1</t>
    <phoneticPr fontId="1" type="noConversion"/>
  </si>
  <si>
    <t>EM Index Co,.Ltd</t>
    <phoneticPr fontId="1" type="noConversion"/>
  </si>
  <si>
    <t xml:space="preserve"> Korea </t>
  </si>
  <si>
    <t>韩国</t>
    <phoneticPr fontId="1" type="noConversion"/>
  </si>
  <si>
    <t>Ken Cell</t>
  </si>
  <si>
    <t>WB000387-2</t>
  </si>
  <si>
    <t>Address 1507, Gasan digital 1-ro 19</t>
  </si>
  <si>
    <t>WB000387-3</t>
  </si>
  <si>
    <t>Geumcheon-gu, Seoul</t>
  </si>
  <si>
    <t>WB000387-4</t>
  </si>
  <si>
    <t>Korea ,08594</t>
  </si>
  <si>
    <t>WB000387-5</t>
  </si>
  <si>
    <t>Tel 82-10-5478-8719</t>
    <phoneticPr fontId="1" type="noConversion"/>
  </si>
  <si>
    <t>WB000409-1</t>
    <phoneticPr fontId="1" type="noConversion"/>
  </si>
  <si>
    <t>REAX CHEMICALS</t>
  </si>
  <si>
    <t>DHL</t>
    <phoneticPr fontId="1" type="noConversion"/>
  </si>
  <si>
    <t>预付</t>
    <phoneticPr fontId="1" type="noConversion"/>
  </si>
  <si>
    <r>
      <t>I</t>
    </r>
    <r>
      <rPr>
        <sz val="12"/>
        <rFont val="宋体"/>
        <family val="3"/>
        <charset val="134"/>
      </rPr>
      <t>NDIA</t>
    </r>
    <phoneticPr fontId="36" type="noConversion"/>
  </si>
  <si>
    <t>印度</t>
    <phoneticPr fontId="36" type="noConversion"/>
  </si>
  <si>
    <t>Krishna</t>
  </si>
  <si>
    <t>WB000409-2</t>
  </si>
  <si>
    <t xml:space="preserve"> Plot no:8, Road No-15 CFC Area</t>
  </si>
  <si>
    <t>WB000409-3</t>
  </si>
  <si>
    <t>IDA-Nacharam Hyderabad,</t>
  </si>
  <si>
    <t>WB000409-4</t>
  </si>
  <si>
    <t>Telangana,India-500076</t>
  </si>
  <si>
    <t>WB000409-5</t>
  </si>
  <si>
    <t>91-6301414151</t>
  </si>
  <si>
    <t>WB000290-1</t>
    <phoneticPr fontId="1" type="noConversion"/>
  </si>
  <si>
    <t>University of South Australia</t>
    <phoneticPr fontId="1" type="noConversion"/>
  </si>
  <si>
    <t>Australia</t>
  </si>
  <si>
    <t>澳大利亚</t>
    <phoneticPr fontId="1" type="noConversion"/>
  </si>
  <si>
    <t>Renjie Chen</t>
  </si>
  <si>
    <t>WB000290-2</t>
  </si>
  <si>
    <t>HIB Building, UniSA Loading Dock</t>
  </si>
  <si>
    <t>WB000290-3</t>
  </si>
  <si>
    <t xml:space="preserve"> Northern Access Road, Adelaide, </t>
    <phoneticPr fontId="1" type="noConversion"/>
  </si>
  <si>
    <t>WB000290-4</t>
  </si>
  <si>
    <t>SA 5000 (#OS010219-1)</t>
  </si>
  <si>
    <t>WB000290-5</t>
  </si>
  <si>
    <t>TEL:468303583</t>
  </si>
  <si>
    <t>WB000423-1</t>
    <phoneticPr fontId="1" type="noConversion"/>
  </si>
  <si>
    <t>FCH GROUP</t>
    <phoneticPr fontId="1" type="noConversion"/>
  </si>
  <si>
    <t>UKRAINE</t>
  </si>
  <si>
    <t>乌克兰</t>
    <phoneticPr fontId="1" type="noConversion"/>
  </si>
  <si>
    <t>Iryna Zhylenko</t>
  </si>
  <si>
    <t>WB000423-2</t>
  </si>
  <si>
    <t>A. MATROSOVA STREET 23</t>
  </si>
  <si>
    <t>WB000423-3</t>
  </si>
  <si>
    <t xml:space="preserve"> KIEV,  UKRAINE 01103</t>
  </si>
  <si>
    <t>WB000423-4</t>
  </si>
  <si>
    <t>380442279658</t>
    <phoneticPr fontId="1" type="noConversion"/>
  </si>
  <si>
    <t>WB000423-5</t>
  </si>
  <si>
    <t>WB000011-1</t>
    <phoneticPr fontId="1" type="noConversion"/>
  </si>
  <si>
    <t xml:space="preserve"> ATTO Co., Ltd.</t>
  </si>
  <si>
    <t>3048-7465-1</t>
  </si>
  <si>
    <t>日本</t>
    <phoneticPr fontId="1" type="noConversion"/>
  </si>
  <si>
    <t>WB000011-2</t>
  </si>
  <si>
    <t>6F Izumi Building,  4-12</t>
  </si>
  <si>
    <t>WB000011-3</t>
  </si>
  <si>
    <t>Nihonbashi Hon-cho 2-Chome</t>
  </si>
  <si>
    <t>WB000011-4</t>
  </si>
  <si>
    <t>Chuo-Ku, Tokyo 103-0023</t>
  </si>
  <si>
    <t>WB000011-5</t>
  </si>
  <si>
    <t>TEL:+81-3-6262-6467</t>
  </si>
  <si>
    <t>WB000355-1</t>
    <phoneticPr fontId="1" type="noConversion"/>
  </si>
  <si>
    <t>Gradient Science</t>
  </si>
  <si>
    <t>Pawan Tripathi </t>
  </si>
  <si>
    <t>WB000355-2</t>
  </si>
  <si>
    <t>Sy No.305, 306 Part &amp; 312</t>
    <phoneticPr fontId="1" type="noConversion"/>
  </si>
  <si>
    <t>WB000355-3</t>
  </si>
  <si>
    <t>Plot No. 108 SVCIE</t>
    <phoneticPr fontId="1" type="noConversion"/>
  </si>
  <si>
    <t>WB000355-4</t>
  </si>
  <si>
    <t>IDA Jeedimetla Hyderabad-500055 Telangana</t>
    <phoneticPr fontId="1" type="noConversion"/>
  </si>
  <si>
    <t>WB000355-5</t>
  </si>
  <si>
    <t>WB000128-1</t>
    <phoneticPr fontId="1" type="noConversion"/>
  </si>
  <si>
    <t>Sapala Organics Private Limited,</t>
    <phoneticPr fontId="1" type="noConversion"/>
  </si>
  <si>
    <t>Fedex</t>
    <phoneticPr fontId="1" type="noConversion"/>
  </si>
  <si>
    <r>
      <t>I</t>
    </r>
    <r>
      <rPr>
        <sz val="12"/>
        <rFont val="宋体"/>
        <family val="3"/>
        <charset val="134"/>
      </rPr>
      <t>NDIA</t>
    </r>
    <phoneticPr fontId="36" type="noConversion"/>
  </si>
  <si>
    <t>印度</t>
    <phoneticPr fontId="36" type="noConversion"/>
  </si>
  <si>
    <t>Sudheer</t>
  </si>
  <si>
    <t>WB000128-2</t>
  </si>
  <si>
    <t xml:space="preserve"> Plot Nos.146B &amp; 147 Phase-II</t>
    <phoneticPr fontId="1" type="noConversion"/>
  </si>
  <si>
    <t>WB000128-3</t>
  </si>
  <si>
    <t>IDA Mallapur ,</t>
    <phoneticPr fontId="1" type="noConversion"/>
  </si>
  <si>
    <t>WB000128-4</t>
  </si>
  <si>
    <t>Hyderabad-500076 Telangana</t>
    <phoneticPr fontId="1" type="noConversion"/>
  </si>
  <si>
    <t>WB000128-5</t>
  </si>
  <si>
    <t>04027170174</t>
    <phoneticPr fontId="1" type="noConversion"/>
  </si>
  <si>
    <t>WB000054-1</t>
    <phoneticPr fontId="1" type="noConversion"/>
  </si>
  <si>
    <t>Dottikon Exclusive Synthesis AG</t>
    <phoneticPr fontId="1" type="noConversion"/>
  </si>
  <si>
    <t>FEDEX</t>
    <phoneticPr fontId="36" type="noConversion"/>
  </si>
  <si>
    <t>瑞士</t>
    <phoneticPr fontId="1" type="noConversion"/>
  </si>
  <si>
    <t>周丽芬</t>
    <phoneticPr fontId="1" type="noConversion"/>
  </si>
  <si>
    <t>Attn:</t>
    <phoneticPr fontId="1" type="noConversion"/>
  </si>
  <si>
    <t>KST185 c/o Warenannahme</t>
    <phoneticPr fontId="1" type="noConversion"/>
  </si>
  <si>
    <t>Hembrunnstrasse 17</t>
    <phoneticPr fontId="1" type="noConversion"/>
  </si>
  <si>
    <t>5605 Dottikon, Switzerland</t>
    <phoneticPr fontId="1" type="noConversion"/>
  </si>
  <si>
    <t>WB000049-5</t>
  </si>
  <si>
    <t>ABCR GmbH &amp; Co. KG</t>
    <phoneticPr fontId="1" type="noConversion"/>
  </si>
  <si>
    <t xml:space="preserve"> Fluorochem Limited</t>
  </si>
  <si>
    <t>AB000001-1</t>
    <phoneticPr fontId="1" type="noConversion"/>
  </si>
  <si>
    <t>AB000001-2</t>
  </si>
  <si>
    <t>AB000001-3</t>
  </si>
  <si>
    <t>AB000001-4</t>
  </si>
  <si>
    <t>AB000001-5</t>
  </si>
  <si>
    <t>DHL</t>
    <phoneticPr fontId="1" type="noConversion"/>
  </si>
  <si>
    <t>UK</t>
    <phoneticPr fontId="1" type="noConversion"/>
  </si>
  <si>
    <t>英国</t>
    <phoneticPr fontId="1" type="noConversion"/>
  </si>
  <si>
    <t>Unit 14 Graphite Way</t>
  </si>
  <si>
    <t>Hadfield  Derbyshire</t>
  </si>
  <si>
    <t>SK13 1QH UK</t>
  </si>
  <si>
    <t>TEL:4401457860111</t>
  </si>
  <si>
    <t>T</t>
  </si>
  <si>
    <t>AB000001 Fluorochem Limited</t>
  </si>
  <si>
    <t>GHS07</t>
  </si>
  <si>
    <t/>
  </si>
  <si>
    <t>B-上海成品库</t>
  </si>
  <si>
    <t>Warning</t>
  </si>
  <si>
    <t>Normal</t>
  </si>
  <si>
    <t>F</t>
  </si>
  <si>
    <t>Fluorochem Limited Unit 14 Graphite Way  Hadfield  Derbyshire  SK13 1QH  United Kingdom Contact:Emma Edwards Phone:+44(0) 1457 860 111</t>
  </si>
  <si>
    <t>USD</t>
  </si>
  <si>
    <t>无</t>
  </si>
  <si>
    <t>Commercial Invoice</t>
    <phoneticPr fontId="1" type="noConversion"/>
  </si>
  <si>
    <t>PACKING  LIST</t>
    <phoneticPr fontId="1" type="noConversion"/>
  </si>
  <si>
    <t>Freebase</t>
  </si>
  <si>
    <t>玻璃瓶</t>
    <phoneticPr fontId="1" type="noConversion"/>
  </si>
  <si>
    <t>塑料瓶</t>
    <phoneticPr fontId="1" type="noConversion"/>
  </si>
  <si>
    <t>李晶晶</t>
  </si>
  <si>
    <t>AB-16</t>
  </si>
  <si>
    <t>张雪梅</t>
  </si>
  <si>
    <t>AB-06</t>
  </si>
  <si>
    <t>H315-H319-H335</t>
  </si>
  <si>
    <t>P261-P305+P351+P338</t>
  </si>
  <si>
    <t>98%</t>
  </si>
  <si>
    <t>2933990099</t>
  </si>
  <si>
    <t>Heterocyclic with nitrogen compound category (AB-06)53</t>
  </si>
  <si>
    <t>Glass/Plastic bottle</t>
    <phoneticPr fontId="1" type="noConversion"/>
  </si>
  <si>
    <t>Heterocyclic with nitrogen compound category (AB-06)55</t>
  </si>
  <si>
    <t>Aromatic ring products without heteroatoms category （AB-16）60</t>
  </si>
  <si>
    <t>Yellow grey powder</t>
  </si>
  <si>
    <t>Carboxylic acid compound category （AB-04）22</t>
  </si>
  <si>
    <t>2918.19.31 00</t>
  </si>
  <si>
    <t>Sealed in dry,Room Temperature</t>
  </si>
  <si>
    <t>淡黄色颗粒状结晶</t>
  </si>
  <si>
    <t>包裹品名简写</t>
  </si>
  <si>
    <t>产品类型</t>
  </si>
  <si>
    <t>类型</t>
  </si>
  <si>
    <t>单号</t>
  </si>
  <si>
    <t>直寄</t>
  </si>
  <si>
    <t>BD编号</t>
  </si>
  <si>
    <t>Ark编号</t>
  </si>
  <si>
    <t>规格</t>
  </si>
  <si>
    <t>瓶数</t>
  </si>
  <si>
    <t>出库数量</t>
  </si>
  <si>
    <t>批号G数量</t>
  </si>
  <si>
    <t>包裹性状</t>
  </si>
  <si>
    <t>实际性状</t>
  </si>
  <si>
    <t>出库单明细行备注</t>
  </si>
  <si>
    <t>客户PO号</t>
  </si>
  <si>
    <t>Hazard S</t>
  </si>
  <si>
    <t>Precautionary S</t>
  </si>
  <si>
    <t>出库仓库</t>
  </si>
  <si>
    <t>单个内包装最大量</t>
  </si>
  <si>
    <t>单件包裹最大净重（货机）</t>
  </si>
  <si>
    <t>产品特殊备注</t>
  </si>
  <si>
    <t>外部批号</t>
  </si>
  <si>
    <t>EM编号</t>
  </si>
  <si>
    <t>不稳定</t>
  </si>
  <si>
    <t>熔点</t>
  </si>
  <si>
    <t>中文名</t>
  </si>
  <si>
    <t>标准纯度</t>
  </si>
  <si>
    <t>客户要求纯度</t>
  </si>
  <si>
    <t>AM编号</t>
  </si>
  <si>
    <t>Hs code</t>
  </si>
  <si>
    <t>收货地址</t>
  </si>
  <si>
    <t>币种</t>
  </si>
  <si>
    <t>批号+序号</t>
  </si>
  <si>
    <t>FC</t>
  </si>
  <si>
    <t>FCC</t>
  </si>
  <si>
    <t>发货日期</t>
  </si>
  <si>
    <t>Ice box</t>
    <phoneticPr fontId="36" type="noConversion"/>
  </si>
  <si>
    <t>二十二烷醇</t>
    <phoneticPr fontId="36" type="noConversion"/>
  </si>
  <si>
    <r>
      <t>3-(</t>
    </r>
    <r>
      <rPr>
        <sz val="10"/>
        <rFont val="宋体"/>
        <family val="3"/>
        <charset val="134"/>
      </rPr>
      <t>二乙基氨基</t>
    </r>
    <r>
      <rPr>
        <sz val="10"/>
        <rFont val="Arial"/>
        <family val="2"/>
      </rPr>
      <t>)-2,2-</t>
    </r>
    <r>
      <rPr>
        <sz val="10"/>
        <rFont val="宋体"/>
        <family val="3"/>
        <charset val="134"/>
      </rPr>
      <t>二甲基丙醇</t>
    </r>
    <phoneticPr fontId="36" type="noConversion"/>
  </si>
  <si>
    <t>4-(N-叔丁氧羰基氨基)-1-丁醇</t>
    <phoneticPr fontId="36" type="noConversion"/>
  </si>
  <si>
    <t>(S)-(1-羟基-4-甲基戊烷-2-基)氨基甲酸叔丁酯</t>
    <phoneticPr fontId="36" type="noConversion"/>
  </si>
  <si>
    <t>十三烷二酸</t>
    <phoneticPr fontId="36" type="noConversion"/>
  </si>
  <si>
    <t>二甲基丙二酸</t>
    <phoneticPr fontId="36" type="noConversion"/>
  </si>
  <si>
    <t>辛二酸</t>
    <phoneticPr fontId="36" type="noConversion"/>
  </si>
  <si>
    <t>4-氯-6-甲氧基嘧啶</t>
    <phoneticPr fontId="36" type="noConversion"/>
  </si>
  <si>
    <r>
      <t>4-(4-</t>
    </r>
    <r>
      <rPr>
        <sz val="10"/>
        <rFont val="宋体"/>
        <family val="3"/>
        <charset val="134"/>
      </rPr>
      <t>吗啉基</t>
    </r>
    <r>
      <rPr>
        <sz val="10"/>
        <rFont val="Arial"/>
        <family val="2"/>
      </rPr>
      <t>)</t>
    </r>
    <r>
      <rPr>
        <sz val="10"/>
        <rFont val="宋体"/>
        <family val="3"/>
        <charset val="134"/>
      </rPr>
      <t>苯胺</t>
    </r>
    <phoneticPr fontId="36" type="noConversion"/>
  </si>
  <si>
    <t>2-甲基苯硼酸频那醇酯</t>
    <phoneticPr fontId="36" type="noConversion"/>
  </si>
  <si>
    <t>1-(N,N-二甲基-磺酰基)吡唑</t>
    <phoneticPr fontId="36" type="noConversion"/>
  </si>
  <si>
    <t>噻吩-2-甲醛</t>
    <phoneticPr fontId="36" type="noConversion"/>
  </si>
  <si>
    <r>
      <t>2,5-</t>
    </r>
    <r>
      <rPr>
        <sz val="10"/>
        <rFont val="宋体"/>
        <family val="3"/>
        <charset val="134"/>
      </rPr>
      <t>二溴</t>
    </r>
    <r>
      <rPr>
        <sz val="10"/>
        <rFont val="Arial"/>
        <family val="2"/>
      </rPr>
      <t>-3-</t>
    </r>
    <r>
      <rPr>
        <sz val="10"/>
        <rFont val="宋体"/>
        <family val="3"/>
        <charset val="134"/>
      </rPr>
      <t>辛基噻吩</t>
    </r>
    <phoneticPr fontId="36" type="noConversion"/>
  </si>
  <si>
    <t>噻吩-2-羧酸甲酯</t>
    <phoneticPr fontId="36" type="noConversion"/>
  </si>
  <si>
    <t>二苯乙酰基二硫化物</t>
    <phoneticPr fontId="36" type="noConversion"/>
  </si>
  <si>
    <t>2-氟-5-溴三氟甲苯</t>
    <phoneticPr fontId="36" type="noConversion"/>
  </si>
  <si>
    <t>溴代十六烷</t>
    <phoneticPr fontId="36" type="noConversion"/>
  </si>
  <si>
    <t>1,12-二溴十二烷</t>
    <phoneticPr fontId="36" type="noConversion"/>
  </si>
  <si>
    <t>1,4-二碘代丁烷</t>
    <phoneticPr fontId="36" type="noConversion"/>
  </si>
  <si>
    <t>1,6-二碘己烷</t>
    <phoneticPr fontId="36" type="noConversion"/>
  </si>
  <si>
    <t>1,10-二溴癸烷</t>
    <phoneticPr fontId="36" type="noConversion"/>
  </si>
  <si>
    <t>1,4-二溴-2,3-双(溴甲基)-2-丁烯</t>
    <phoneticPr fontId="36" type="noConversion"/>
  </si>
  <si>
    <t>丙二酸乙酯叔丁酯</t>
    <phoneticPr fontId="36" type="noConversion"/>
  </si>
  <si>
    <t>环丙酰胺</t>
    <phoneticPr fontId="36" type="noConversion"/>
  </si>
  <si>
    <t>((1S,4R)-4-氨基环戊-2-烯-1-基)甲醇盐酸盐</t>
    <phoneticPr fontId="36" type="noConversion"/>
  </si>
  <si>
    <t>N-(4-羟基环己基)乙酰胺(顺反异构体混合物)</t>
    <phoneticPr fontId="36" type="noConversion"/>
  </si>
  <si>
    <t>3-羟基戊二酸二乙酯</t>
    <phoneticPr fontId="36" type="noConversion"/>
  </si>
  <si>
    <t>苯并咪唑-5-甲酸甲酯</t>
    <phoneticPr fontId="36" type="noConversion"/>
  </si>
  <si>
    <t>2-吲哚甲酸甲酯</t>
    <phoneticPr fontId="36" type="noConversion"/>
  </si>
  <si>
    <t>3-溴吲哚-2-羧酸乙酯</t>
    <phoneticPr fontId="36" type="noConversion"/>
  </si>
  <si>
    <t>1H-吡咯并[2,3-B]吡啶-3-甲醛</t>
    <phoneticPr fontId="36" type="noConversion"/>
  </si>
  <si>
    <t>N-甲基-2-哌啶甲醇</t>
    <phoneticPr fontId="36" type="noConversion"/>
  </si>
  <si>
    <t>哌啶-1,3-二甲酸1-苄酯3-乙酯</t>
    <phoneticPr fontId="36" type="noConversion"/>
  </si>
  <si>
    <t>2,4-二甲基-5-醛基-1H-吡咯-3-羧酸</t>
    <phoneticPr fontId="36" type="noConversion"/>
  </si>
  <si>
    <t>丁基氯化吡啶</t>
    <phoneticPr fontId="36" type="noConversion"/>
  </si>
  <si>
    <t>2-氟-3-硝基吡啶</t>
    <phoneticPr fontId="36" type="noConversion"/>
  </si>
  <si>
    <t>N-Boc-4-亚甲基哌啶</t>
    <phoneticPr fontId="36" type="noConversion"/>
  </si>
  <si>
    <t>喹喔啉</t>
    <phoneticPr fontId="36" type="noConversion"/>
  </si>
  <si>
    <t>吲哚-2,3-二酮</t>
    <phoneticPr fontId="36" type="noConversion"/>
  </si>
  <si>
    <t>5-甲氧基吲哚-2-甲酸乙酯</t>
    <phoneticPr fontId="36" type="noConversion"/>
  </si>
  <si>
    <t>N-(羟甲基)烟酰胺</t>
    <phoneticPr fontId="36" type="noConversion"/>
  </si>
  <si>
    <t>吡咯-2-羧酸乙酯</t>
    <phoneticPr fontId="36" type="noConversion"/>
  </si>
  <si>
    <t>6-氯吡嗪-2-羧酸甲酯</t>
    <phoneticPr fontId="36" type="noConversion"/>
  </si>
  <si>
    <t>2-氯-5-乙基嘧啶</t>
    <phoneticPr fontId="36" type="noConversion"/>
  </si>
  <si>
    <t>4-溴-3,5-二甲基异恶唑</t>
    <phoneticPr fontId="36" type="noConversion"/>
  </si>
  <si>
    <t>2,4-二氯苯并[4,5]噻吩并[3,2-d]嘧啶</t>
    <phoneticPr fontId="36" type="noConversion"/>
  </si>
  <si>
    <t>3-(3-甲氧基苯基)-5-氨基异噁唑</t>
    <phoneticPr fontId="36" type="noConversion"/>
  </si>
  <si>
    <t>3-异色酮</t>
    <phoneticPr fontId="36" type="noConversion"/>
  </si>
  <si>
    <t>2-溴二苯并[b,d]呋喃</t>
    <phoneticPr fontId="36" type="noConversion"/>
  </si>
  <si>
    <t>3-氟酞酐</t>
    <phoneticPr fontId="36" type="noConversion"/>
  </si>
  <si>
    <t>异苯并呋喃-1(3H)-酮</t>
    <phoneticPr fontId="36" type="noConversion"/>
  </si>
  <si>
    <t>5-溴-2,3-二氢苯并呋喃</t>
    <phoneticPr fontId="36" type="noConversion"/>
  </si>
  <si>
    <t>6-甲氧基苯并二氢吡喃-4-酮</t>
    <phoneticPr fontId="36" type="noConversion"/>
  </si>
  <si>
    <t>3',4'-亚甲二氧苯乙酮</t>
    <phoneticPr fontId="36" type="noConversion"/>
  </si>
  <si>
    <t>9,9-二甲基氧杂蒽</t>
    <phoneticPr fontId="36" type="noConversion"/>
  </si>
  <si>
    <t>3'-氟苯乙酮</t>
    <phoneticPr fontId="36" type="noConversion"/>
  </si>
  <si>
    <t>2-茚羧酸</t>
    <phoneticPr fontId="36" type="noConversion"/>
  </si>
  <si>
    <t>4,4'-二溴二苯基甲酮</t>
    <phoneticPr fontId="36" type="noConversion"/>
  </si>
  <si>
    <t>4,5-二氟-2-硝基苯甲酸</t>
    <phoneticPr fontId="36" type="noConversion"/>
  </si>
  <si>
    <t>2-氟-5-碘硝基苯</t>
    <phoneticPr fontId="36" type="noConversion"/>
  </si>
  <si>
    <t>5-溴-2-硝基三氟甲苯</t>
    <phoneticPr fontId="36" type="noConversion"/>
  </si>
  <si>
    <t>2,4-双(三氟甲基)苯乙酸</t>
    <phoneticPr fontId="36" type="noConversion"/>
  </si>
  <si>
    <t>1-碘萘</t>
    <phoneticPr fontId="36" type="noConversion"/>
  </si>
  <si>
    <t>1-氟-4-(3-碘丙基)苯</t>
    <phoneticPr fontId="36" type="noConversion"/>
  </si>
  <si>
    <t>4-溴-2,6-二氟苯甲酸叔丁酯</t>
    <phoneticPr fontId="36" type="noConversion"/>
  </si>
  <si>
    <t>3-氟-4-硝基苯甲酸甲酯</t>
    <phoneticPr fontId="36" type="noConversion"/>
  </si>
  <si>
    <t>3-甲氧基-2-甲基苯甲酸</t>
    <phoneticPr fontId="36" type="noConversion"/>
  </si>
  <si>
    <t>1-氟-4-碘-2-(三氟甲基)苯</t>
    <phoneticPr fontId="36" type="noConversion"/>
  </si>
  <si>
    <t>3-溴-11H-苯并[B]荧烯-11-酮</t>
    <phoneticPr fontId="36" type="noConversion"/>
  </si>
  <si>
    <t>alpha,alpha-二甲基苯乙酸</t>
    <phoneticPr fontId="36" type="noConversion"/>
  </si>
  <si>
    <t>对丙基苯甲酸</t>
    <phoneticPr fontId="36" type="noConversion"/>
  </si>
  <si>
    <t>2-(三氟甲基)苯基乙酸</t>
    <phoneticPr fontId="36" type="noConversion"/>
  </si>
  <si>
    <t>2,6-二羟乙氨基甲苯</t>
    <phoneticPr fontId="36" type="noConversion"/>
  </si>
  <si>
    <t>9-溴-10-苯基蒽</t>
    <phoneticPr fontId="36" type="noConversion"/>
  </si>
  <si>
    <t>2,7-二溴-9-芴酮</t>
    <phoneticPr fontId="36" type="noConversion"/>
  </si>
  <si>
    <t>冰盒</t>
    <phoneticPr fontId="36" type="noConversion"/>
  </si>
  <si>
    <t>Amine compound category （AB-03）6</t>
    <phoneticPr fontId="36" type="noConversion"/>
  </si>
  <si>
    <t>Carboxylic acid compound category (AB-04)1</t>
    <phoneticPr fontId="36" type="noConversion"/>
  </si>
  <si>
    <r>
      <t xml:space="preserve">Carboxylic acid compound category </t>
    </r>
    <r>
      <rPr>
        <sz val="11"/>
        <rFont val="宋体"/>
        <family val="3"/>
        <charset val="134"/>
      </rPr>
      <t>（</t>
    </r>
    <r>
      <rPr>
        <sz val="11"/>
        <rFont val="Arial"/>
        <family val="2"/>
      </rPr>
      <t>AB-04</t>
    </r>
    <r>
      <rPr>
        <sz val="11"/>
        <rFont val="宋体"/>
        <family val="3"/>
        <charset val="134"/>
      </rPr>
      <t>）</t>
    </r>
    <r>
      <rPr>
        <sz val="11"/>
        <rFont val="Arial"/>
        <family val="2"/>
      </rPr>
      <t>2</t>
    </r>
    <phoneticPr fontId="36" type="noConversion"/>
  </si>
  <si>
    <r>
      <t xml:space="preserve">Carboxylic acid compound category </t>
    </r>
    <r>
      <rPr>
        <sz val="11"/>
        <rFont val="宋体"/>
        <family val="3"/>
        <charset val="134"/>
      </rPr>
      <t>（</t>
    </r>
    <r>
      <rPr>
        <sz val="11"/>
        <rFont val="Arial"/>
        <family val="2"/>
      </rPr>
      <t>AB-04</t>
    </r>
    <r>
      <rPr>
        <sz val="11"/>
        <rFont val="宋体"/>
        <family val="3"/>
        <charset val="134"/>
      </rPr>
      <t>）</t>
    </r>
    <r>
      <rPr>
        <sz val="11"/>
        <rFont val="Arial"/>
        <family val="2"/>
      </rPr>
      <t>4</t>
    </r>
    <r>
      <rPr>
        <sz val="11"/>
        <color theme="1"/>
        <rFont val="宋体"/>
        <family val="2"/>
        <charset val="134"/>
      </rPr>
      <t/>
    </r>
    <phoneticPr fontId="36" type="noConversion"/>
  </si>
  <si>
    <t>Heterocyclic hydrocarbon compound category (AB-07)4</t>
    <phoneticPr fontId="36" type="noConversion"/>
  </si>
  <si>
    <t>Heterocyclic hydrocarbon compound category (AB-07)9</t>
    <phoneticPr fontId="36" type="noConversion"/>
  </si>
  <si>
    <t>Sulfonamide compound category(AB-08)3</t>
    <phoneticPr fontId="36" type="noConversion"/>
  </si>
  <si>
    <t>Sulfur compound category (AB-09)4</t>
    <phoneticPr fontId="36" type="noConversion"/>
  </si>
  <si>
    <t>Sulfur compound category (AB-09)6</t>
    <phoneticPr fontId="36" type="noConversion"/>
  </si>
  <si>
    <t>Sulfur compound category (AB-09)9</t>
    <phoneticPr fontId="36" type="noConversion"/>
  </si>
  <si>
    <t>Aromatic ring products without heteroatoms category （AB-16）7</t>
    <phoneticPr fontId="36" type="noConversion"/>
  </si>
  <si>
    <t>Acyclic hydrocarbon compound category （AB-02）11</t>
    <phoneticPr fontId="36" type="noConversion"/>
  </si>
  <si>
    <t>Acyclic hydrocarbon compound category （AB-02）12</t>
    <phoneticPr fontId="36" type="noConversion"/>
  </si>
  <si>
    <t>Acyclic hydrocarbon compound category （AB-02）13</t>
    <phoneticPr fontId="36" type="noConversion"/>
  </si>
  <si>
    <t>Acyclic hydrocarbon compound category （AB-02）14</t>
    <phoneticPr fontId="36" type="noConversion"/>
  </si>
  <si>
    <t>Acyclic hydrocarbon compound category （AB-02）15</t>
    <phoneticPr fontId="36" type="noConversion"/>
  </si>
  <si>
    <t>Acyclic hydrocarbon compound category （AB-02）16</t>
    <phoneticPr fontId="36" type="noConversion"/>
  </si>
  <si>
    <t>Acyclic hydrocarbon compound category （AB-02）19</t>
    <phoneticPr fontId="36" type="noConversion"/>
  </si>
  <si>
    <t>Amine compound category (AB-03)17</t>
    <phoneticPr fontId="36" type="noConversion"/>
  </si>
  <si>
    <t>Amine compound category (AB-03)18</t>
    <phoneticPr fontId="36" type="noConversion"/>
  </si>
  <si>
    <t>Amine compound category (AB-03)19</t>
    <phoneticPr fontId="36" type="noConversion"/>
  </si>
  <si>
    <t>Heterocyclic with nitrogen compound category (AB-06)13</t>
    <phoneticPr fontId="36" type="noConversion"/>
  </si>
  <si>
    <t>Heterocyclic with nitrogen compound category (AB-06)30</t>
    <phoneticPr fontId="36" type="noConversion"/>
  </si>
  <si>
    <t>Heterocyclic with nitrogen compound category (AB-06)46</t>
    <phoneticPr fontId="36" type="noConversion"/>
  </si>
  <si>
    <t>Heterocyclic with nitrogen compound category (AB-06)48</t>
    <phoneticPr fontId="36" type="noConversion"/>
  </si>
  <si>
    <t>Heterocyclic with nitrogen compound category (AB-06)49</t>
    <phoneticPr fontId="36" type="noConversion"/>
  </si>
  <si>
    <t>Heterocyclic hydrocarbon compound category (AB-07)11</t>
    <phoneticPr fontId="36" type="noConversion"/>
  </si>
  <si>
    <t>Heterocyclic hydrocarbon compound category (AB-07)12</t>
    <phoneticPr fontId="36" type="noConversion"/>
  </si>
  <si>
    <t>Heterocyclic hydrocarbon compound category (AB-07)14</t>
    <phoneticPr fontId="36" type="noConversion"/>
  </si>
  <si>
    <t>Heterocyclic with single or more oxygen atoms compound category （AB-15）18</t>
    <phoneticPr fontId="36" type="noConversion"/>
  </si>
  <si>
    <t>Aromatic ring products without heteroatoms category （AB-16）26</t>
    <phoneticPr fontId="36" type="noConversion"/>
  </si>
  <si>
    <t>Aromatic ring products without heteroatoms category （AB-16）55</t>
  </si>
  <si>
    <t>Aromatic ring products without heteroatoms category （AB-16）57</t>
  </si>
  <si>
    <t>Ice box</t>
  </si>
  <si>
    <t>2905.19.90 90</t>
  </si>
  <si>
    <t>Colorless Liquid</t>
    <phoneticPr fontId="36" type="noConversion"/>
  </si>
  <si>
    <t>2020379535</t>
    <phoneticPr fontId="36" type="noConversion"/>
  </si>
  <si>
    <t>2020379544</t>
    <phoneticPr fontId="36" type="noConversion"/>
  </si>
  <si>
    <t>2020379549</t>
    <phoneticPr fontId="36" type="noConversion"/>
  </si>
  <si>
    <t>2020379555</t>
    <phoneticPr fontId="36" type="noConversion"/>
  </si>
  <si>
    <t>规格：</t>
    <phoneticPr fontId="36" type="noConversion"/>
  </si>
  <si>
    <t>非对苯二甲酸</t>
    <phoneticPr fontId="36" type="noConversion"/>
  </si>
  <si>
    <t>非乙醇胺及其盐</t>
    <phoneticPr fontId="36" type="noConversion"/>
  </si>
  <si>
    <t>非乌洛托品、－己内酰胺</t>
    <phoneticPr fontId="36" type="noConversion"/>
  </si>
  <si>
    <t>非乌洛托品、－己内酰胺</t>
  </si>
  <si>
    <t>非丙酮</t>
    <phoneticPr fontId="36" type="noConversion"/>
  </si>
  <si>
    <t>白色粉末</t>
    <phoneticPr fontId="36" type="noConversion"/>
  </si>
  <si>
    <t>无色透明液体</t>
  </si>
  <si>
    <t>淡黄色透明液体</t>
  </si>
  <si>
    <t>白色结晶性粉末</t>
    <phoneticPr fontId="36" type="noConversion"/>
  </si>
  <si>
    <t>无色透明粘稠液体</t>
    <phoneticPr fontId="36" type="noConversion"/>
  </si>
  <si>
    <t>白色细小颗粒状粉末</t>
  </si>
  <si>
    <t>类白色结晶</t>
  </si>
  <si>
    <t>白色晶体颗粒</t>
  </si>
  <si>
    <t>象牙色粉末</t>
  </si>
  <si>
    <t>红棕色细小颗粒状粉末</t>
  </si>
  <si>
    <t>淡黄色结晶</t>
  </si>
  <si>
    <t>褐色结晶和粉末</t>
  </si>
  <si>
    <t>淡黄色结晶性粉末</t>
  </si>
  <si>
    <t>橘黄色液体</t>
  </si>
  <si>
    <t>白色结晶性粉末</t>
  </si>
  <si>
    <t>无色至淡粉色透明液体</t>
  </si>
  <si>
    <t>棕色液体</t>
  </si>
  <si>
    <t>黄棕色结晶性粉末</t>
  </si>
  <si>
    <t>无色透明液体</t>
    <phoneticPr fontId="36" type="noConversion"/>
  </si>
  <si>
    <t>浅紫红色粉末</t>
  </si>
  <si>
    <t>类白色颗粒及粉末</t>
  </si>
  <si>
    <t>褐色粘性液体</t>
  </si>
  <si>
    <t>黄棕色粉末</t>
  </si>
  <si>
    <t>褐色带结晶的液体</t>
  </si>
  <si>
    <t>橘色粉末</t>
  </si>
  <si>
    <t>浅黄棕色粉末</t>
  </si>
  <si>
    <t>黑灰色粉末</t>
  </si>
  <si>
    <t>褐色粉末</t>
    <phoneticPr fontId="36" type="noConversion"/>
  </si>
  <si>
    <t>淡棕色透明液体</t>
  </si>
  <si>
    <t>类白色粉末</t>
    <phoneticPr fontId="36" type="noConversion"/>
  </si>
  <si>
    <t>淡黄色粉末</t>
    <phoneticPr fontId="36" type="noConversion"/>
  </si>
  <si>
    <t>橘红色粉末</t>
  </si>
  <si>
    <t>白色颗粒状结晶</t>
  </si>
  <si>
    <t>淡黄色细小结晶颗粒</t>
  </si>
  <si>
    <t>棕褐色细小颗粒状粉末</t>
  </si>
  <si>
    <t>浅黄绿色细小颗粒状结晶</t>
  </si>
  <si>
    <t>红棕色液体</t>
  </si>
  <si>
    <t>淡紫色粉末</t>
  </si>
  <si>
    <t>淡黄色粉末</t>
  </si>
  <si>
    <t>类白色颗粒状结晶</t>
  </si>
  <si>
    <t>粉色液体</t>
  </si>
  <si>
    <t>黄色粉末</t>
  </si>
  <si>
    <t>灰棕色粉末</t>
  </si>
  <si>
    <t>淡黄绿色粉末</t>
  </si>
  <si>
    <t>黄色粉末</t>
    <phoneticPr fontId="36" type="noConversion"/>
  </si>
  <si>
    <t>白色和蓝色塑料袋（内含凝胶）</t>
  </si>
  <si>
    <t>蓝色塑料外壳（内含凝胶）</t>
  </si>
  <si>
    <r>
      <t>2019</t>
    </r>
    <r>
      <rPr>
        <sz val="10"/>
        <rFont val="宋体"/>
        <family val="3"/>
        <charset val="134"/>
      </rPr>
      <t>年中文名</t>
    </r>
    <phoneticPr fontId="1" type="noConversion"/>
  </si>
  <si>
    <t>661-19-8</t>
    <phoneticPr fontId="36" type="noConversion"/>
  </si>
  <si>
    <t>75178-87-9</t>
    <phoneticPr fontId="36" type="noConversion"/>
  </si>
  <si>
    <t>82010-31-9</t>
    <phoneticPr fontId="36" type="noConversion"/>
  </si>
  <si>
    <t>32328-03-3</t>
    <phoneticPr fontId="36" type="noConversion"/>
  </si>
  <si>
    <t>23611-75-8</t>
    <phoneticPr fontId="36" type="noConversion"/>
  </si>
  <si>
    <t>111196-81-7</t>
    <phoneticPr fontId="36" type="noConversion"/>
  </si>
  <si>
    <t>160199-05-3</t>
    <phoneticPr fontId="36" type="noConversion"/>
  </si>
  <si>
    <t>119162-46-8</t>
    <phoneticPr fontId="36" type="noConversion"/>
  </si>
  <si>
    <t>90-14-2</t>
    <phoneticPr fontId="36" type="noConversion"/>
  </si>
  <si>
    <t>149330-25-6</t>
    <phoneticPr fontId="36" type="noConversion"/>
  </si>
  <si>
    <t>23674-20-6</t>
    <phoneticPr fontId="36" type="noConversion"/>
  </si>
  <si>
    <t>14348-75-5</t>
    <phoneticPr fontId="36" type="noConversion"/>
  </si>
  <si>
    <t>zzz</t>
    <phoneticPr fontId="36" type="noConversion"/>
  </si>
  <si>
    <r>
      <rPr>
        <b/>
        <sz val="10.5"/>
        <rFont val="Times New Roman"/>
        <family val="1"/>
      </rPr>
      <t xml:space="preserve">         </t>
    </r>
    <r>
      <rPr>
        <b/>
        <sz val="10.5"/>
        <rFont val="宋体"/>
        <family val="3"/>
        <charset val="134"/>
      </rPr>
      <t>本委托书有效期自签字之日起至</t>
    </r>
    <r>
      <rPr>
        <b/>
        <sz val="10.5"/>
        <rFont val="Times New Roman"/>
        <family val="1"/>
      </rPr>
      <t xml:space="preserve">   2020 </t>
    </r>
    <r>
      <rPr>
        <b/>
        <sz val="10.5"/>
        <rFont val="宋体"/>
        <family val="3"/>
        <charset val="134"/>
      </rPr>
      <t>年</t>
    </r>
    <r>
      <rPr>
        <b/>
        <sz val="10.5"/>
        <rFont val="Times New Roman"/>
        <family val="1"/>
      </rPr>
      <t xml:space="preserve">  12  </t>
    </r>
    <r>
      <rPr>
        <b/>
        <sz val="10.5"/>
        <rFont val="宋体"/>
        <family val="3"/>
        <charset val="134"/>
      </rPr>
      <t>月</t>
    </r>
    <r>
      <rPr>
        <b/>
        <sz val="10.5"/>
        <rFont val="Times New Roman"/>
        <family val="1"/>
      </rPr>
      <t xml:space="preserve">  31 </t>
    </r>
    <r>
      <rPr>
        <b/>
        <sz val="10.5"/>
        <rFont val="宋体"/>
        <family val="3"/>
        <charset val="134"/>
      </rPr>
      <t>日止。</t>
    </r>
    <phoneticPr fontId="1" type="noConversion"/>
  </si>
  <si>
    <t>Salt</t>
  </si>
  <si>
    <t>H302-H315-H319-H335</t>
  </si>
  <si>
    <t>Inert atmosphere,Room Temperature</t>
  </si>
  <si>
    <t>97%</t>
  </si>
  <si>
    <t>Keep in dark place,Inert atmosphere,Room temperature</t>
  </si>
  <si>
    <t>Inert atmosphere,2-8°C</t>
  </si>
  <si>
    <t>Keep in dark place,Inert atmosphere,2-8°C</t>
  </si>
  <si>
    <t>95%</t>
  </si>
  <si>
    <t>白色粉末（White Solid）</t>
  </si>
  <si>
    <t>白色固体</t>
  </si>
  <si>
    <t>白色固体（White Solid）</t>
  </si>
  <si>
    <t>2930909099</t>
  </si>
  <si>
    <t>无色液体</t>
  </si>
  <si>
    <t>无色液体（Colorless Liquid）</t>
  </si>
  <si>
    <t>P280-P305+P351+P338-P310</t>
  </si>
  <si>
    <t>已捡货</t>
  </si>
  <si>
    <t>2916399090</t>
  </si>
  <si>
    <t>非丙烯酸、丙烯酸盐或酯 外观：浅紫红色粉末</t>
    <phoneticPr fontId="36" type="noConversion"/>
  </si>
  <si>
    <t>非丙烯酸、丙烯酸盐或酯 外观：白色粉末</t>
    <phoneticPr fontId="36" type="noConversion"/>
  </si>
  <si>
    <t>非丙烯酸、丙烯酸盐或酯 外观：红棕色液体</t>
    <phoneticPr fontId="36" type="noConversion"/>
  </si>
  <si>
    <t>非丙烯酸、丙烯酸盐或酯 外观：淡黄色粉末</t>
    <phoneticPr fontId="36" type="noConversion"/>
  </si>
  <si>
    <t>非丙烯酸、丙烯酸盐或酯 外观：淡黄色透明液体</t>
    <phoneticPr fontId="36" type="noConversion"/>
  </si>
  <si>
    <t>非丙烯酸、丙烯酸盐或酯 外观：类白色颗粒状结晶</t>
    <phoneticPr fontId="36" type="noConversion"/>
  </si>
  <si>
    <t>UK直寄</t>
  </si>
  <si>
    <t>2924299099</t>
  </si>
  <si>
    <t>2903999090</t>
  </si>
  <si>
    <t>99.97%</t>
  </si>
  <si>
    <t>Keep in dark place,Sealed in dry,Room Temperature</t>
  </si>
  <si>
    <t>98+%</t>
  </si>
  <si>
    <t>96%</t>
  </si>
  <si>
    <t>2933399099</t>
  </si>
  <si>
    <t>Sealed in dry,Store in freezer, under -20°C</t>
  </si>
  <si>
    <t>2918990090</t>
  </si>
  <si>
    <t>AB-02</t>
  </si>
  <si>
    <t>9/14/2020</t>
  </si>
  <si>
    <t>2917190090</t>
  </si>
  <si>
    <t>H302-H315-H319-H332-H335</t>
  </si>
  <si>
    <t>P261-P280-P305+P351+P338</t>
  </si>
  <si>
    <t>AB-09</t>
  </si>
  <si>
    <t>Shipped in cold pack</t>
  </si>
  <si>
    <t>95-97°C</t>
  </si>
  <si>
    <t>AB-04</t>
  </si>
  <si>
    <t>2922499990</t>
  </si>
  <si>
    <t>海关监管条件：A,B；检验检疫类别：N,M,R,Q</t>
  </si>
  <si>
    <t>95+%</t>
  </si>
  <si>
    <t>2924199090</t>
  </si>
  <si>
    <t>1/9/2020</t>
  </si>
  <si>
    <t>H302+H312+H332-H315-H319-H335</t>
  </si>
  <si>
    <t>类白色粉末（Off white solid）</t>
  </si>
  <si>
    <t>2913000090</t>
  </si>
  <si>
    <t>2931900090</t>
  </si>
  <si>
    <t>海关监管条件：A,B；检验检疫类别：N,M,R,S</t>
  </si>
  <si>
    <t>淡黄色液体</t>
  </si>
  <si>
    <t>淡黄色液体（Pale-yellow Liquid）</t>
  </si>
  <si>
    <t>H317-H319</t>
  </si>
  <si>
    <t>P280-P305+P351+P338</t>
  </si>
  <si>
    <t>Inert atmosphere,Store in freezer, under -20°C</t>
  </si>
  <si>
    <t>类白色固体</t>
  </si>
  <si>
    <t>类白色固体（Off white solid）</t>
  </si>
  <si>
    <t>300°C</t>
  </si>
  <si>
    <t>FC外贸</t>
  </si>
  <si>
    <t>DHL</t>
  </si>
  <si>
    <t>黄色粉末（Yellow Solid）</t>
  </si>
  <si>
    <t>H302</t>
  </si>
  <si>
    <t>2926909090</t>
  </si>
  <si>
    <t>黄色液体（Yellow Liquid）</t>
  </si>
  <si>
    <t>褐色粉末</t>
  </si>
  <si>
    <t>AB-10</t>
  </si>
  <si>
    <t>4/12/2022</t>
  </si>
  <si>
    <t>2843900090</t>
  </si>
  <si>
    <t>2843900090(有监管)</t>
  </si>
  <si>
    <t>97+%</t>
  </si>
  <si>
    <t>Keep in dark place,Sealed in dry,2-8°C</t>
  </si>
  <si>
    <t>165.19</t>
  </si>
  <si>
    <t>AB-15</t>
  </si>
  <si>
    <t>2932999099</t>
  </si>
  <si>
    <t>物流发货1</t>
  </si>
  <si>
    <t>H302-H312-H315-H319-H335</t>
  </si>
  <si>
    <t>海关监管条件:A,B；检验检疫类别：N,M,R,S</t>
  </si>
  <si>
    <t>246.02</t>
  </si>
  <si>
    <t>166.17</t>
  </si>
  <si>
    <t>UK直寄 25g*4</t>
  </si>
  <si>
    <t>2921420090</t>
  </si>
  <si>
    <t>2922491990</t>
  </si>
  <si>
    <t>海关监管条件:A,B；检验检疫类别：M,R,P,Q</t>
  </si>
  <si>
    <t>98.69%</t>
  </si>
  <si>
    <t>12/3/2020</t>
  </si>
  <si>
    <t>UK直寄 5g*5</t>
  </si>
  <si>
    <t>189.21</t>
  </si>
  <si>
    <t>UK直寄 100g*2</t>
  </si>
  <si>
    <t>IF654230</t>
  </si>
  <si>
    <t>BD10256-25g</t>
  </si>
  <si>
    <t>AK-29648-25g</t>
  </si>
  <si>
    <t>微黄色粉末</t>
  </si>
  <si>
    <t>微黄色粉末（Pale-yellow Solid）</t>
  </si>
  <si>
    <t>P100428</t>
  </si>
  <si>
    <t>20200109-606</t>
  </si>
  <si>
    <t>SOBD482565</t>
  </si>
  <si>
    <t>4-Bromo-2-nitrobenzoic acid</t>
  </si>
  <si>
    <t>99277-71-1</t>
  </si>
  <si>
    <t>WG0010256-190322001</t>
  </si>
  <si>
    <t>SOBLD113825</t>
  </si>
  <si>
    <t>R1-E-007-5300</t>
  </si>
  <si>
    <t>3/4/2023</t>
  </si>
  <si>
    <t>ATZ537</t>
  </si>
  <si>
    <t>165-169°C</t>
  </si>
  <si>
    <t>2-硝基-4-溴苯甲酸</t>
  </si>
  <si>
    <t>A140952-25g</t>
  </si>
  <si>
    <t>IF654230 BD10256-25g WG0010256-190322001 R1-E-007-5300 W9-168</t>
  </si>
  <si>
    <t>W9-168</t>
  </si>
  <si>
    <t>048806</t>
  </si>
  <si>
    <t>FCC532543</t>
  </si>
  <si>
    <t>BD12740</t>
  </si>
  <si>
    <t>AK126481</t>
  </si>
  <si>
    <t>浅棕色粉末</t>
  </si>
  <si>
    <t>浅棕色粉末（Pale-brown Solid）</t>
  </si>
  <si>
    <t>Sodium 4-Amino-5-hydroxy-2,7-naphthalenedisulfonate</t>
  </si>
  <si>
    <t>5460-09-3</t>
  </si>
  <si>
    <t>341.29</t>
  </si>
  <si>
    <t>H315-H319</t>
  </si>
  <si>
    <t>P305+P351+P338</t>
  </si>
  <si>
    <t>BK0012740-190129001</t>
  </si>
  <si>
    <t>BDF-04-14</t>
  </si>
  <si>
    <t>85%</t>
  </si>
  <si>
    <t>1/13/2022</t>
  </si>
  <si>
    <t>ATU122</t>
  </si>
  <si>
    <t>1-氨基-8-萘酚-3,6-二磺酸钠</t>
  </si>
  <si>
    <t>A688100</t>
  </si>
  <si>
    <t>2922210000</t>
  </si>
  <si>
    <t>IF654230 BD12740 BK0012740-190129001 BDF-04-14 W9-172</t>
  </si>
  <si>
    <t>W9-172</t>
  </si>
  <si>
    <t>321939</t>
  </si>
  <si>
    <t>FCC513783</t>
  </si>
  <si>
    <t>BD22050-100g</t>
  </si>
  <si>
    <t>AK-36009-100g</t>
  </si>
  <si>
    <t>棕色液体（Brown liquid）（Brown Liquid）</t>
  </si>
  <si>
    <t>3-Bromo-4-fluoroaniline</t>
  </si>
  <si>
    <t>656-64-4</t>
  </si>
  <si>
    <t>190.01</t>
  </si>
  <si>
    <t>H302-H319</t>
  </si>
  <si>
    <t>WG0022050-190616001</t>
  </si>
  <si>
    <t>R1-E-017-2500</t>
  </si>
  <si>
    <t>6/3/2022</t>
  </si>
  <si>
    <t>AGA446</t>
  </si>
  <si>
    <t>34-36°C</t>
  </si>
  <si>
    <t>3-溴-4-氟苯胺</t>
  </si>
  <si>
    <t>A159788-100g</t>
  </si>
  <si>
    <t>IF654230 BD22050-100g WG0022050-190616001 R1-E-017-2500 W9-162</t>
  </si>
  <si>
    <t>W9-162</t>
  </si>
  <si>
    <t>013091</t>
  </si>
  <si>
    <t>FCC33497</t>
  </si>
  <si>
    <t>BD14633</t>
  </si>
  <si>
    <t>AK-38384</t>
  </si>
  <si>
    <t>[1,1'-Biphenyl]-4-ylmethanol</t>
  </si>
  <si>
    <t>3597-91-9</t>
  </si>
  <si>
    <t>184.23</t>
  </si>
  <si>
    <t>WG0014633-190116001</t>
  </si>
  <si>
    <t>BDF-10-45A3</t>
  </si>
  <si>
    <t>12/27/2022</t>
  </si>
  <si>
    <t>ASC436</t>
  </si>
  <si>
    <t>98-104°C</t>
  </si>
  <si>
    <t>4-联苯甲醇</t>
  </si>
  <si>
    <t>A180856</t>
  </si>
  <si>
    <t>2906299090</t>
  </si>
  <si>
    <t>IF654230 BD14633 WG0014633-190116001 BDF-10-45A3 W9-158</t>
  </si>
  <si>
    <t>W9-158</t>
  </si>
  <si>
    <t>216401</t>
  </si>
  <si>
    <t>FCC34950</t>
  </si>
  <si>
    <t>IF654450</t>
  </si>
  <si>
    <t>BD21443</t>
  </si>
  <si>
    <t>AK-49907</t>
  </si>
  <si>
    <t>H-Ala-Obzl.HCl</t>
  </si>
  <si>
    <t>5557-83-5</t>
  </si>
  <si>
    <t>215.68</t>
  </si>
  <si>
    <t>WG0021443-171122001</t>
  </si>
  <si>
    <t>100gF-05-62C2</t>
  </si>
  <si>
    <t>11/8/2020</t>
  </si>
  <si>
    <t>ANV386</t>
  </si>
  <si>
    <t>140-142°C</t>
  </si>
  <si>
    <t>L-丙氨酸苄酯盐酸盐</t>
  </si>
  <si>
    <t>A169435</t>
  </si>
  <si>
    <t>IF654450 BD21443 WG0021443-171122001 100gF-05-62C2 W9-297</t>
  </si>
  <si>
    <t>W9-297</t>
  </si>
  <si>
    <t>222200</t>
  </si>
  <si>
    <t>FCC17987</t>
  </si>
  <si>
    <t>IF654450 BD21443 WG0021443-171122001 100gF-05-62C2 W9-298</t>
  </si>
  <si>
    <t>W9-298</t>
  </si>
  <si>
    <t>IF654450 BD21443 WG0021443-171122001 100gF-05-62C2 W9-299</t>
  </si>
  <si>
    <t>W9-299</t>
  </si>
  <si>
    <t>IF654450 BD21443 WG0021443-171122001 100gF-05-62C2 W9-300</t>
  </si>
  <si>
    <t>W9-300</t>
  </si>
  <si>
    <t>BD182628-10g</t>
  </si>
  <si>
    <t>AK-51135-10g</t>
  </si>
  <si>
    <t>2-Bromo-5-nitrobenzenecarbaldehyde</t>
  </si>
  <si>
    <t>84459-32-5</t>
  </si>
  <si>
    <t>230.02</t>
  </si>
  <si>
    <t>WG0182628-181229001</t>
  </si>
  <si>
    <t>C1-F-023-71D1</t>
  </si>
  <si>
    <t>98.54%</t>
  </si>
  <si>
    <t>12/22/2020</t>
  </si>
  <si>
    <t>ASA762</t>
  </si>
  <si>
    <t>2-溴-5-硝基苯甲醛</t>
  </si>
  <si>
    <t>A110506-10g</t>
  </si>
  <si>
    <t>IF654230 BD182628-10g WG0182628-181229001 C1-F-023-71D1 W9-163</t>
  </si>
  <si>
    <t>W9-163</t>
  </si>
  <si>
    <t>038339</t>
  </si>
  <si>
    <t>FCC26476</t>
  </si>
  <si>
    <t>BD247918</t>
  </si>
  <si>
    <t>AK124392</t>
  </si>
  <si>
    <t>2-Bromonaphthalen-1-amine</t>
  </si>
  <si>
    <t>771-14-2</t>
  </si>
  <si>
    <t>222.08</t>
  </si>
  <si>
    <t>P264-P280-P302+P352+P332+P313+P362+P364-P305+P351+P338+P337+P313</t>
  </si>
  <si>
    <t>BK0247918-190919001</t>
  </si>
  <si>
    <t>BDF-05-45A3</t>
  </si>
  <si>
    <t>BKC817</t>
  </si>
  <si>
    <t>1-氨基-2-溴萘</t>
  </si>
  <si>
    <t>A280670</t>
  </si>
  <si>
    <t>2921499090</t>
  </si>
  <si>
    <t>IF654230 BD247918 BK0247918-190919001 BDF-05-45A3 W9-171</t>
  </si>
  <si>
    <t>W9-171</t>
  </si>
  <si>
    <t>318213</t>
  </si>
  <si>
    <t>FCC517086</t>
  </si>
  <si>
    <t>BD139592-100g</t>
  </si>
  <si>
    <t>AK139324-100g</t>
  </si>
  <si>
    <t>Methyl 2-phenoxyacetate</t>
  </si>
  <si>
    <t>2065-23-8</t>
  </si>
  <si>
    <t>WG0139592-180619001</t>
  </si>
  <si>
    <t>100gR-79-51C4</t>
  </si>
  <si>
    <t>99.17%</t>
  </si>
  <si>
    <t>6/5/2021</t>
  </si>
  <si>
    <t>AQX300</t>
  </si>
  <si>
    <t>≥300°C</t>
  </si>
  <si>
    <t>苯氧乙酸甲酯</t>
  </si>
  <si>
    <t>A244754-100g</t>
  </si>
  <si>
    <t>IF654230 BD139592-100g WG0139592-180619001 100gR-79-51C4 W9-156</t>
  </si>
  <si>
    <t>W9-156</t>
  </si>
  <si>
    <t>001024</t>
  </si>
  <si>
    <t>FCC2010138</t>
  </si>
  <si>
    <t>R1-C-009-41A2</t>
  </si>
  <si>
    <t>IF654230 BD139592-100g WG0139592-180619001 R1-C-009-41A2 W9-157</t>
  </si>
  <si>
    <t>W9-157</t>
  </si>
  <si>
    <t>BD691539</t>
  </si>
  <si>
    <t>AK611203</t>
  </si>
  <si>
    <t>透明液体</t>
  </si>
  <si>
    <t>透明液体（Colorless Liquid）</t>
  </si>
  <si>
    <t>1-(3-Bromopropyl)-3-methoxybenzene</t>
  </si>
  <si>
    <t>6943-97-1</t>
  </si>
  <si>
    <t>229.11</t>
  </si>
  <si>
    <t>WG0691539-190719001</t>
  </si>
  <si>
    <t>BDG-08-22D5</t>
  </si>
  <si>
    <t>7/9/2021</t>
  </si>
  <si>
    <t>BKU824</t>
  </si>
  <si>
    <t>1-(3-溴丙基)-3-甲氧基苯</t>
  </si>
  <si>
    <t>A413229</t>
  </si>
  <si>
    <t>2909309090</t>
  </si>
  <si>
    <t>IF654230 BD691539 WG0691539-190719001 BDG-08-22D5 W9-167</t>
  </si>
  <si>
    <t>W9-167</t>
  </si>
  <si>
    <t>545319</t>
  </si>
  <si>
    <t>FCC599429</t>
  </si>
  <si>
    <t>BD765105-250mg</t>
  </si>
  <si>
    <t>AK686053-250mg</t>
  </si>
  <si>
    <t>[2,2'-Bipyridine]-5,5'-diamine</t>
  </si>
  <si>
    <t>52382-48-6</t>
  </si>
  <si>
    <t>186.21</t>
  </si>
  <si>
    <t>WG0765105-191207001</t>
  </si>
  <si>
    <t>C1-F-034-41B6</t>
  </si>
  <si>
    <t>BLC970</t>
  </si>
  <si>
    <t>[2,2'-联吡啶]-5,5'-二胺</t>
  </si>
  <si>
    <t>A353356-250mg</t>
  </si>
  <si>
    <t>IF654230 BD765105-250mg WG0765105-191207001 C1-F-034-41B6 W9-166</t>
  </si>
  <si>
    <t>W9-166</t>
  </si>
  <si>
    <t>541440</t>
  </si>
  <si>
    <t>FCC3118970</t>
  </si>
  <si>
    <t>BD141004-25g</t>
  </si>
  <si>
    <t>AK153226-25g</t>
  </si>
  <si>
    <t>2-(Azepan-1-yl)ethanol</t>
  </si>
  <si>
    <t>20603-00-3</t>
  </si>
  <si>
    <t>143.23</t>
  </si>
  <si>
    <t>H319-H412</t>
  </si>
  <si>
    <t>P273-P305+P351+P338</t>
  </si>
  <si>
    <t>WG0141004-190610001</t>
  </si>
  <si>
    <t>C1-F-019-35C2</t>
  </si>
  <si>
    <t>5/31/2021</t>
  </si>
  <si>
    <t>AGZ340</t>
  </si>
  <si>
    <t>2-(氮杂环庚烷-1-基)乙醇</t>
  </si>
  <si>
    <t>A104120-25g</t>
  </si>
  <si>
    <t>IF654230 BD141004-25g WG0141004-190610001 C1-F-019-35C2 W9-161</t>
  </si>
  <si>
    <t>W9-161</t>
  </si>
  <si>
    <t>403688</t>
  </si>
  <si>
    <t>FCC569536</t>
  </si>
  <si>
    <t>BD19955-100g</t>
  </si>
  <si>
    <t>AK-46549-100g</t>
  </si>
  <si>
    <t>H-DL-Phg-OH</t>
  </si>
  <si>
    <t>2835-06-5</t>
  </si>
  <si>
    <t>151.16</t>
  </si>
  <si>
    <t>WG0019955-190703001</t>
  </si>
  <si>
    <t>R1-E-046-7300</t>
  </si>
  <si>
    <t>12/26/2020</t>
  </si>
  <si>
    <t>AGC588</t>
  </si>
  <si>
    <t>290°C</t>
  </si>
  <si>
    <t>DL-苯甘氨酸</t>
  </si>
  <si>
    <t>A122323-100g</t>
  </si>
  <si>
    <t>海关监管条件：A,B；检验检疫类别：M,R,P,Q</t>
  </si>
  <si>
    <t>IF654230 BD19955-100g WG0019955-190703001 R1-E-046-7300 W9-164</t>
  </si>
  <si>
    <t>W9-164</t>
  </si>
  <si>
    <t>093739</t>
  </si>
  <si>
    <t>FCC539110</t>
  </si>
  <si>
    <t>IF654230 BD19955-100g WG0019955-190703001 R1-E-046-7300 W9-165</t>
  </si>
  <si>
    <t>W9-165</t>
  </si>
  <si>
    <t>BD129813-100g</t>
  </si>
  <si>
    <t>AK-49425-100g</t>
  </si>
  <si>
    <t>Ethyltriphenylphosphonium bromide</t>
  </si>
  <si>
    <t>1530-32-1</t>
  </si>
  <si>
    <t>371.25</t>
  </si>
  <si>
    <t>WG0129813-191217001</t>
  </si>
  <si>
    <t>R2-E-003-6200</t>
  </si>
  <si>
    <t>11/27/2023</t>
  </si>
  <si>
    <t>BMU619</t>
  </si>
  <si>
    <t>203-205°C</t>
  </si>
  <si>
    <t>乙基三苯基溴化鏻</t>
  </si>
  <si>
    <t>A194526-100g</t>
  </si>
  <si>
    <t>2902909000</t>
  </si>
  <si>
    <t>IF654230 BD129813-100g WG0129813-191217001 R2-E-003-6200 W9-169</t>
  </si>
  <si>
    <t>W9-169</t>
  </si>
  <si>
    <t>319155</t>
  </si>
  <si>
    <t>FCC3120619</t>
  </si>
  <si>
    <t>BD132241-25g</t>
  </si>
  <si>
    <t>AK-39061-25g</t>
  </si>
  <si>
    <t>1,4-Dioxane-2,5-diol</t>
  </si>
  <si>
    <t>23147-58-2</t>
  </si>
  <si>
    <t>120.10</t>
  </si>
  <si>
    <t>WG0132241-190906001</t>
  </si>
  <si>
    <t>C1-A-014-11A1</t>
  </si>
  <si>
    <t>95% mixture of stereoisomers.</t>
  </si>
  <si>
    <t>8/24/2022</t>
  </si>
  <si>
    <t>BKP278</t>
  </si>
  <si>
    <t>85°C</t>
  </si>
  <si>
    <t>乙醇醛二聚体(羟基乙醛二聚体)</t>
  </si>
  <si>
    <t>A179048-25g</t>
  </si>
  <si>
    <t>IF654230 BD132241-25g WG0132241-190906001 C1-A-014-11A1 W9-170</t>
  </si>
  <si>
    <t>W9-170</t>
  </si>
  <si>
    <t>092250</t>
  </si>
  <si>
    <t>FCC34217</t>
  </si>
  <si>
    <t>BD20260-100g</t>
  </si>
  <si>
    <t>AK-46723-100g</t>
  </si>
  <si>
    <t>Boc-β-Ala-OH</t>
  </si>
  <si>
    <t>3303-84-2</t>
  </si>
  <si>
    <t>WG0020260-190430001</t>
  </si>
  <si>
    <t>100gR-45-42A3</t>
  </si>
  <si>
    <t>4/15/2023</t>
  </si>
  <si>
    <t>AGU969</t>
  </si>
  <si>
    <t>76-78°C</t>
  </si>
  <si>
    <t>BOC-β-丙氨酸</t>
  </si>
  <si>
    <t>A101626-100g</t>
  </si>
  <si>
    <t>IF654230 BD20260-100g WG0020260-190430001 100gR-45-42A3 W9-159</t>
  </si>
  <si>
    <t>W9-159</t>
  </si>
  <si>
    <t>019572</t>
  </si>
  <si>
    <t>FCC35260</t>
  </si>
  <si>
    <t>100gR-45-42B2</t>
  </si>
  <si>
    <t>IF654230 BD20260-100g WG0020260-190430001 100gR-45-42B2 W9-160</t>
  </si>
  <si>
    <t>W9-160</t>
  </si>
  <si>
    <t>2786307996</t>
  </si>
  <si>
    <t>2786307996 JD014600007632991495</t>
  </si>
  <si>
    <t>IF654245</t>
  </si>
  <si>
    <t>FC外贸</t>
    <phoneticPr fontId="36" type="noConversion"/>
  </si>
  <si>
    <t>BD1589-5g</t>
  </si>
  <si>
    <t>AK-40249-5g</t>
  </si>
  <si>
    <t>P100426</t>
  </si>
  <si>
    <t>20200109-607</t>
  </si>
  <si>
    <t>SOBD482572</t>
  </si>
  <si>
    <t>Fmoc-Dap(Boc)-OH</t>
  </si>
  <si>
    <t>162558-25-0</t>
  </si>
  <si>
    <t>426.46</t>
  </si>
  <si>
    <t>WG0001589-180716001</t>
  </si>
  <si>
    <t>SOBLD113827</t>
  </si>
  <si>
    <t>5gC-02-54A4</t>
  </si>
  <si>
    <t>1/9/2021</t>
  </si>
  <si>
    <t>AQY821</t>
  </si>
  <si>
    <t>131-139°C</t>
  </si>
  <si>
    <t>N-Fmoc-N'-Boc-L-2,3-二氨基丙酸</t>
  </si>
  <si>
    <t>A117408-5g</t>
  </si>
  <si>
    <t>IF654245 BD1589-5g WG0001589-180716001 5gC-02-54A4 W9-63</t>
  </si>
  <si>
    <t>W9-63</t>
  </si>
  <si>
    <t>M03241</t>
  </si>
  <si>
    <t>FCC25243</t>
  </si>
  <si>
    <t>5gC-02-53A3</t>
  </si>
  <si>
    <t>IF654245 BD1589-5g WG0001589-180716001 5gC-02-53A3 W9-64</t>
  </si>
  <si>
    <t>W9-64</t>
  </si>
  <si>
    <t>5gC-02-53A2</t>
  </si>
  <si>
    <t>IF654245 BD1589-5g WG0001589-180716001 5gC-02-53A2 W9-65</t>
  </si>
  <si>
    <t>W9-65</t>
  </si>
  <si>
    <t>5gC-02-52C3</t>
  </si>
  <si>
    <t>IF654245 BD1589-5g WG0001589-180716001 5gC-02-52C3 W9-66</t>
  </si>
  <si>
    <t>W9-66</t>
  </si>
  <si>
    <t>5gC-02-54A2</t>
  </si>
  <si>
    <t>IF654245 BD1589-5g WG0001589-180716001 5gC-02-54A2 W9-67</t>
  </si>
  <si>
    <t>W9-67</t>
  </si>
  <si>
    <t>BD8508-100g</t>
  </si>
  <si>
    <t>AK-45990-100g</t>
  </si>
  <si>
    <t>Boc-Asp-Obzl</t>
  </si>
  <si>
    <t>30925-18-9</t>
  </si>
  <si>
    <t>323.34</t>
  </si>
  <si>
    <t>WG0008508-190426001</t>
  </si>
  <si>
    <t>100gR-89-22C1</t>
  </si>
  <si>
    <t>AGU136</t>
  </si>
  <si>
    <t>BOC-L-天冬氨酸-1-苄酯</t>
  </si>
  <si>
    <t>A256519-100g</t>
  </si>
  <si>
    <t>IF654245 BD8508-100g WG0008508-190426001 100gR-89-22C1 W9-68</t>
  </si>
  <si>
    <t>W9-68</t>
  </si>
  <si>
    <t>M03269</t>
  </si>
  <si>
    <t>FCC36692</t>
  </si>
  <si>
    <t>BD11956-25g</t>
  </si>
  <si>
    <t>AK327205-25g</t>
  </si>
  <si>
    <t>Baclofen</t>
  </si>
  <si>
    <t>1134-47-0</t>
  </si>
  <si>
    <t>213.66</t>
  </si>
  <si>
    <t>WG0011956-171010001</t>
  </si>
  <si>
    <t>C1-B-035-42B1</t>
  </si>
  <si>
    <t>99.14%</t>
  </si>
  <si>
    <t>9/30/2020</t>
  </si>
  <si>
    <t>AMP949</t>
  </si>
  <si>
    <t>CSN10524-25g</t>
  </si>
  <si>
    <t>4-氨基-3-(4-氯苯基)丁酸</t>
  </si>
  <si>
    <t>A190802-25g</t>
  </si>
  <si>
    <t>IF654245 BD11956-25g WG0011956-171010001 C1-B-035-42B1 W9-69</t>
  </si>
  <si>
    <t>W9-69</t>
  </si>
  <si>
    <t>M01382</t>
  </si>
  <si>
    <t>FCC534161</t>
  </si>
  <si>
    <t>BD6398-100g</t>
  </si>
  <si>
    <t>AK-25734-100g</t>
  </si>
  <si>
    <t>4-(Hydroxymethyl)benzoic acid</t>
  </si>
  <si>
    <t>3006-96-0</t>
  </si>
  <si>
    <t>152.15</t>
  </si>
  <si>
    <t>WG0006398-190628001</t>
  </si>
  <si>
    <t>R1-E-042-4200</t>
  </si>
  <si>
    <t>6/10/2023</t>
  </si>
  <si>
    <t>AGP851</t>
  </si>
  <si>
    <t>182-185°C</t>
  </si>
  <si>
    <t>4-羟甲基苯甲酸</t>
  </si>
  <si>
    <t>A165011-100g</t>
  </si>
  <si>
    <t>2918190090</t>
  </si>
  <si>
    <t>IF654245 BD6398-100g WG0006398-190628001 R1-E-042-4200 W9-59</t>
  </si>
  <si>
    <t>W9-59</t>
  </si>
  <si>
    <t>M02899</t>
  </si>
  <si>
    <t>FCC31068</t>
  </si>
  <si>
    <t>BD6829-500g</t>
  </si>
  <si>
    <t>AK-36068-500g</t>
  </si>
  <si>
    <t>D-Phenylalanine</t>
  </si>
  <si>
    <t>673-06-3</t>
  </si>
  <si>
    <t>WG0006829-171020001</t>
  </si>
  <si>
    <t>500gR-41-63A1</t>
  </si>
  <si>
    <t>7/27/2021</t>
  </si>
  <si>
    <t>AMC772</t>
  </si>
  <si>
    <t>CSN18722-500g</t>
  </si>
  <si>
    <t>273-276°C</t>
  </si>
  <si>
    <t>(R)-2-氨基-3-苯基丙酸</t>
  </si>
  <si>
    <t>A123221-500g</t>
  </si>
  <si>
    <t>IF654245 BD6829-500g WG0006829-171020001 500gR-41-63A1 W9-60</t>
  </si>
  <si>
    <t>W9-60</t>
  </si>
  <si>
    <t>M02934</t>
  </si>
  <si>
    <t>FCC24334</t>
  </si>
  <si>
    <t>BD4057</t>
  </si>
  <si>
    <t>AK-33123</t>
  </si>
  <si>
    <t>4-Chloro-2,5-difluorobenzoic acid;</t>
  </si>
  <si>
    <t>132794-07-1</t>
  </si>
  <si>
    <t>192.55</t>
  </si>
  <si>
    <t>WG0004057-190617001</t>
  </si>
  <si>
    <t>BDF4L-DS09</t>
  </si>
  <si>
    <t>6/14/2020</t>
  </si>
  <si>
    <t>AGA506</t>
  </si>
  <si>
    <t>154-157°C</t>
  </si>
  <si>
    <t>2.5-二氟-4-氯苯甲酸</t>
  </si>
  <si>
    <t>A488999</t>
  </si>
  <si>
    <t>IF654245 BD4057 WG0004057-190617001 BDF4L-DS09 W9-71</t>
  </si>
  <si>
    <t>W9-71</t>
  </si>
  <si>
    <t>001627</t>
  </si>
  <si>
    <t>FCC525915</t>
  </si>
  <si>
    <t>IF654486</t>
  </si>
  <si>
    <t>BD134883</t>
  </si>
  <si>
    <t>AK106147</t>
  </si>
  <si>
    <t>黑色固体</t>
  </si>
  <si>
    <t>黑色固体（Black Solid）</t>
  </si>
  <si>
    <t>Iridium(III) chloride xhydrate</t>
  </si>
  <si>
    <t>14996-61-3</t>
  </si>
  <si>
    <t>316.59</t>
  </si>
  <si>
    <t>H319</t>
  </si>
  <si>
    <t>WG0134883-190704001</t>
  </si>
  <si>
    <t>R1-E-044-3400</t>
  </si>
  <si>
    <t>6/14/2023</t>
  </si>
  <si>
    <t>AGC558</t>
  </si>
  <si>
    <t>763°C</t>
  </si>
  <si>
    <t>氯化铱x水合物</t>
  </si>
  <si>
    <t>A446060</t>
  </si>
  <si>
    <t>海关监管条件:4,x,y；备用：3815900000</t>
  </si>
  <si>
    <t>IF654486 BD134883 WG0134883-190704001 R1-E-044-3400 W9-381</t>
  </si>
  <si>
    <t>W9-381</t>
  </si>
  <si>
    <t>235635</t>
  </si>
  <si>
    <t>FCC568249</t>
  </si>
  <si>
    <t>BD29440-25g</t>
  </si>
  <si>
    <t>AK-48877-25g</t>
  </si>
  <si>
    <t>6-Methylnicotinamide</t>
  </si>
  <si>
    <t>6960-22-1</t>
  </si>
  <si>
    <t>136.15</t>
  </si>
  <si>
    <t>WZG110913-008N</t>
  </si>
  <si>
    <t>R1-F-006-53B5</t>
  </si>
  <si>
    <t>6/17/2023</t>
  </si>
  <si>
    <t>RPW777</t>
  </si>
  <si>
    <t>197-199°C</t>
  </si>
  <si>
    <t>6-甲基烟酰胺</t>
  </si>
  <si>
    <t>A131881-25g</t>
  </si>
  <si>
    <t>IF654245 BD29440-25g WZG110913-008N R1-F-006-53B5 W9-55</t>
  </si>
  <si>
    <t>W9-55</t>
  </si>
  <si>
    <t>068543</t>
  </si>
  <si>
    <t>FCC606830</t>
  </si>
  <si>
    <t>BD59957-25g</t>
  </si>
  <si>
    <t>AK164478-25g</t>
  </si>
  <si>
    <t>Oct-1-en-3-one</t>
  </si>
  <si>
    <t>4312-99-6</t>
  </si>
  <si>
    <t>126.20</t>
  </si>
  <si>
    <t>WG0059957-171225001</t>
  </si>
  <si>
    <t>25gC-10-63A1</t>
  </si>
  <si>
    <t>96.5%</t>
  </si>
  <si>
    <t>4/19/2020</t>
  </si>
  <si>
    <t>ANY345</t>
  </si>
  <si>
    <t>1-辛烯-3-酮</t>
  </si>
  <si>
    <t>A193991-25g</t>
  </si>
  <si>
    <t>2914190090</t>
  </si>
  <si>
    <t>IF654245 BD59957-25g WG0059957-171225001 25gC-10-63A1 W9-54</t>
  </si>
  <si>
    <t>W9-54</t>
  </si>
  <si>
    <t>464574</t>
  </si>
  <si>
    <t>FCC197967</t>
  </si>
  <si>
    <t>BD134755-1g</t>
  </si>
  <si>
    <t>AK130198-1g</t>
  </si>
  <si>
    <t>tert-Butyl 2-iodoacetate</t>
  </si>
  <si>
    <t>49827-15-8</t>
  </si>
  <si>
    <t>242.06</t>
  </si>
  <si>
    <t>WG0134755-170825001</t>
  </si>
  <si>
    <t>1gC-72-62A3</t>
  </si>
  <si>
    <t>8/20/2020</t>
  </si>
  <si>
    <t>AMY654</t>
  </si>
  <si>
    <t>碘乙酸叔丁酯</t>
  </si>
  <si>
    <t>A329520-1g</t>
  </si>
  <si>
    <t>2915900090</t>
  </si>
  <si>
    <t>IF654245 BD134755-1g WG0134755-170825001 1gC-72-62A3 W9-70</t>
  </si>
  <si>
    <t>W9-70</t>
  </si>
  <si>
    <t>324991</t>
  </si>
  <si>
    <t>FCC2009934</t>
  </si>
  <si>
    <t>IF654448</t>
  </si>
  <si>
    <t>BD34276</t>
  </si>
  <si>
    <t>AK-72552</t>
  </si>
  <si>
    <t>Ethyl 2-methyl-3-oxobutanoate</t>
  </si>
  <si>
    <t>609-14-3</t>
  </si>
  <si>
    <t>144.17</t>
  </si>
  <si>
    <t>WG0034276-190525001</t>
  </si>
  <si>
    <t>UK直寄 100g*5</t>
  </si>
  <si>
    <t>R1-E-030-4400</t>
  </si>
  <si>
    <t>5/8/2023</t>
  </si>
  <si>
    <t>AGX934</t>
  </si>
  <si>
    <t>-45°C</t>
  </si>
  <si>
    <t>2-甲基乙酰乙酸乙酯</t>
  </si>
  <si>
    <t>A186472</t>
  </si>
  <si>
    <t>2918300090</t>
  </si>
  <si>
    <t>IF654448 BD34276 WG0034276-190525001 R1-E-030-4400 W9-302</t>
  </si>
  <si>
    <t>W9-302</t>
  </si>
  <si>
    <t>079640</t>
  </si>
  <si>
    <t>FCC547791</t>
  </si>
  <si>
    <t>IF654448 BD34276 WG0034276-190525001 R1-E-030-4400 W9-303</t>
  </si>
  <si>
    <t>W9-303</t>
  </si>
  <si>
    <t>IF654448 BD34276 WG0034276-190525001 R1-E-030-4400 W9-304</t>
  </si>
  <si>
    <t>W9-304</t>
  </si>
  <si>
    <t>IF654448 BD34276 WG0034276-190525001 R1-E-030-4400 W9-305</t>
  </si>
  <si>
    <t>W9-305</t>
  </si>
  <si>
    <t>IF654448 BD34276 WG0034276-190525001 R1-E-030-4400 W9-306</t>
  </si>
  <si>
    <t>W9-306</t>
  </si>
  <si>
    <t>BD33944</t>
  </si>
  <si>
    <t>AK-48312</t>
  </si>
  <si>
    <t>L-Cysteine</t>
  </si>
  <si>
    <t>52-90-4</t>
  </si>
  <si>
    <t>121.16</t>
  </si>
  <si>
    <t>WG0033944-191224001</t>
  </si>
  <si>
    <t>FSZ3L-DS22</t>
  </si>
  <si>
    <t>12/22/2021</t>
  </si>
  <si>
    <t>BMW544</t>
  </si>
  <si>
    <t>CSN23419</t>
  </si>
  <si>
    <t>220°C</t>
  </si>
  <si>
    <t>L-半胱氨酸</t>
  </si>
  <si>
    <t>A390912</t>
  </si>
  <si>
    <t>2930901000</t>
  </si>
  <si>
    <t>海关监管条件：A；检验检疫类别：M,P</t>
  </si>
  <si>
    <t>IF654245 BD33944 WG0033944-191224001 FSZ3L-DS22 W9-62</t>
  </si>
  <si>
    <t>W9-62</t>
  </si>
  <si>
    <t>M03086</t>
  </si>
  <si>
    <t>FCC3122544</t>
  </si>
  <si>
    <t>BD8507</t>
  </si>
  <si>
    <t>AK-45989</t>
  </si>
  <si>
    <t>Boc-Asp(Obzl)-OH</t>
  </si>
  <si>
    <t>7536-58-5</t>
  </si>
  <si>
    <t>WG0008507-200104001</t>
  </si>
  <si>
    <t>BDF4L-DS206</t>
  </si>
  <si>
    <t>99.89%</t>
  </si>
  <si>
    <t>12/22/2022</t>
  </si>
  <si>
    <t>BMX330</t>
  </si>
  <si>
    <t>98-102°C</t>
  </si>
  <si>
    <t>Boc-L-天冬氨酸4-苄酯</t>
  </si>
  <si>
    <t>A145664</t>
  </si>
  <si>
    <t>IF654245 BD8507 WG0008507-200104001 BDF4L-DS206 W9-50</t>
  </si>
  <si>
    <t>W9-50</t>
  </si>
  <si>
    <t>M03266</t>
  </si>
  <si>
    <t>FCC3123330</t>
  </si>
  <si>
    <t>IF654245 BD8507 WG0008507-200104001 BDF4L-DS206 W9-51</t>
  </si>
  <si>
    <t>W9-51</t>
  </si>
  <si>
    <t>IF654245 BD8507 WG0008507-200104001 BDF4L-DS206 W9-52</t>
  </si>
  <si>
    <t>W9-52</t>
  </si>
  <si>
    <t>IF654245 BD8507 WG0008507-200104001 BDF4L-DS206 W9-53</t>
  </si>
  <si>
    <t>W9-53</t>
  </si>
  <si>
    <t>BD38049-5g</t>
  </si>
  <si>
    <t>AK307737-5g</t>
  </si>
  <si>
    <t>4-(Cyanomethyl)benzonitrile</t>
  </si>
  <si>
    <t>876-31-3</t>
  </si>
  <si>
    <t>142.16</t>
  </si>
  <si>
    <t>WG0038049-191110001</t>
  </si>
  <si>
    <t>R1-F-065-52C1</t>
  </si>
  <si>
    <t>10/22/2023</t>
  </si>
  <si>
    <t>BLZ369</t>
  </si>
  <si>
    <t>100-104°C</t>
  </si>
  <si>
    <t>4-氰基苯乙腈</t>
  </si>
  <si>
    <t>A121766-5g</t>
  </si>
  <si>
    <t>IF654245 BD38049-5g WG0038049-191110001 R1-F-065-52C1 W9-57</t>
  </si>
  <si>
    <t>W9-57</t>
  </si>
  <si>
    <t>516386</t>
  </si>
  <si>
    <t>FCC36594</t>
  </si>
  <si>
    <t>IF654293</t>
  </si>
  <si>
    <t>SOBD482611</t>
  </si>
  <si>
    <t>SOBLD113849</t>
  </si>
  <si>
    <t>IF654293 BD8507 WG0008507-200104001 BDF4L-DS206 W9-235</t>
  </si>
  <si>
    <t>W9-235</t>
  </si>
  <si>
    <t>BD147837-10g</t>
  </si>
  <si>
    <t>AK-54749-10g</t>
  </si>
  <si>
    <t>Potassium 1-carboxyvinyl hydrogenphosphate</t>
  </si>
  <si>
    <t>4265-07-0</t>
  </si>
  <si>
    <t>206.13</t>
  </si>
  <si>
    <t>WG0147837-190720001</t>
  </si>
  <si>
    <t>F1-F-007-73A2</t>
  </si>
  <si>
    <t>4/20/2020</t>
  </si>
  <si>
    <t>BKV274</t>
  </si>
  <si>
    <t>磷酸烯醇式丙酮酸单钾盐</t>
  </si>
  <si>
    <t>A637267-10g</t>
  </si>
  <si>
    <t>2919900090</t>
  </si>
  <si>
    <t>IF654245 BD147837-10g WG0147837-190720001 F1-F-007-73A2 W9-58</t>
  </si>
  <si>
    <t>W9-58</t>
  </si>
  <si>
    <t>M02738</t>
  </si>
  <si>
    <t>FCC34429</t>
  </si>
  <si>
    <t>BD8518-100g</t>
  </si>
  <si>
    <t>AK-49597-100g</t>
  </si>
  <si>
    <t>Boc-Glu-OtBu</t>
  </si>
  <si>
    <t>24277-39-2</t>
  </si>
  <si>
    <t>303.35</t>
  </si>
  <si>
    <t>WG0008518-190513001</t>
  </si>
  <si>
    <t>100gF-05-31B4</t>
  </si>
  <si>
    <t>5/8/2020</t>
  </si>
  <si>
    <t>AGW096</t>
  </si>
  <si>
    <t>Boc-L-谷氨酸-1-叔丁酯</t>
  </si>
  <si>
    <t>A297281-100g</t>
  </si>
  <si>
    <t>IF654245 BD8518-100g WG0008518-190513001 100gF-05-31B4 W9-56</t>
  </si>
  <si>
    <t>W9-56</t>
  </si>
  <si>
    <t>M06178</t>
  </si>
  <si>
    <t>FCC36793</t>
  </si>
  <si>
    <t>BD34688-500g</t>
  </si>
  <si>
    <t>AK143332-500g</t>
  </si>
  <si>
    <t>H-Asn-OH</t>
  </si>
  <si>
    <t>70-47-3</t>
  </si>
  <si>
    <t>132.12</t>
  </si>
  <si>
    <t>WG0034688-181212001</t>
  </si>
  <si>
    <t>500gR-43-42B2</t>
  </si>
  <si>
    <t>11/21/2022</t>
  </si>
  <si>
    <t>ASY647</t>
  </si>
  <si>
    <t>CSN24987-500g</t>
  </si>
  <si>
    <t>L-(+)-无水天冬酰胺酸</t>
  </si>
  <si>
    <t>A260357-500g</t>
  </si>
  <si>
    <t>IF654245 BD34688-500g WG0034688-181212001 500gR-43-42B2 W9-61</t>
  </si>
  <si>
    <t>W9-61</t>
  </si>
  <si>
    <t>M02999</t>
  </si>
  <si>
    <t>FCC27485</t>
  </si>
  <si>
    <t>DHL</t>
    <phoneticPr fontId="36" type="noConversion"/>
  </si>
  <si>
    <t>2786337676</t>
    <phoneticPr fontId="36" type="noConversion"/>
  </si>
  <si>
    <t>十三烷二酸</t>
  </si>
  <si>
    <t>505-52-2</t>
  </si>
  <si>
    <t>非对苯二甲酸</t>
  </si>
  <si>
    <t>（1）</t>
  </si>
  <si>
    <t xml:space="preserve">品名： </t>
  </si>
  <si>
    <t>（HS CODE:</t>
  </si>
  <si>
    <t>)</t>
  </si>
  <si>
    <t>（2）</t>
  </si>
  <si>
    <t>成分含量：</t>
  </si>
  <si>
    <t>净含量99%，杂质（结晶水约1%）</t>
  </si>
  <si>
    <t>（3）</t>
  </si>
  <si>
    <t>用途：实验室用</t>
  </si>
  <si>
    <t>CAS:</t>
  </si>
  <si>
    <t>（4）</t>
  </si>
  <si>
    <t>签约日期：</t>
  </si>
  <si>
    <t>（5）</t>
  </si>
  <si>
    <t>（6）</t>
  </si>
  <si>
    <t>品牌类型：无      是否享受目的国优惠政策：否</t>
  </si>
  <si>
    <t>溴代十六烷</t>
  </si>
  <si>
    <t>1,4-二碘代丁烷</t>
  </si>
  <si>
    <t>628-21-7</t>
  </si>
  <si>
    <t>5-甲氧基吲哚-2-甲酸乙酯</t>
  </si>
  <si>
    <t>4792-58-9</t>
  </si>
  <si>
    <t>6-氯吡嗪-2-羧酸甲酯</t>
  </si>
  <si>
    <t>23611-75-8</t>
  </si>
  <si>
    <t>page 1/2</t>
  </si>
  <si>
    <t>2-氟-5-碘硝基苯</t>
  </si>
  <si>
    <t>364-75-0</t>
  </si>
  <si>
    <t>2,4-双(三氟甲基)苯乙酸</t>
  </si>
  <si>
    <t>177952-39-5</t>
  </si>
  <si>
    <t>非丙烯酸、丙烯酸盐或酯 外观：白色粉末</t>
  </si>
  <si>
    <t>page 2/2</t>
  </si>
  <si>
    <t>page 3/2</t>
  </si>
  <si>
    <t>page 4/4</t>
  </si>
  <si>
    <t>1/1</t>
  </si>
  <si>
    <t>2786337676</t>
  </si>
  <si>
    <t>英国</t>
  </si>
  <si>
    <t>2786337676/20200109-607</t>
  </si>
  <si>
    <t>克</t>
  </si>
  <si>
    <t>美元</t>
  </si>
  <si>
    <t>中国</t>
  </si>
  <si>
    <t>上海南汇</t>
  </si>
  <si>
    <t>照章征税</t>
  </si>
  <si>
    <t>2/1</t>
  </si>
  <si>
    <t xml:space="preserve"> </t>
  </si>
  <si>
    <t>3/1</t>
  </si>
  <si>
    <t>4/1</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</si>
</sst>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76" formatCode="0_ "/>
    <numFmt numFmtId="177" formatCode="&quot;US$&quot;#,##0.00;\-&quot;US$&quot;#,##0.00"/>
    <numFmt numFmtId="178" formatCode="0.00_ "/>
    <numFmt numFmtId="179" formatCode="[$-F800]dddd\,\ mmmm\ dd\,\ yyyy"/>
    <numFmt numFmtId="180" formatCode="0.00_);[Red]\(0.00\)"/>
    <numFmt numFmtId="181" formatCode="[=0]&quot; &quot;;General"/>
    <numFmt numFmtId="182" formatCode="mm/dd/yy;@"/>
    <numFmt numFmtId="183" formatCode="[=0]&quot;&quot;;General"/>
  </numFmts>
  <fonts count="121">
    <font>
      <sz val="12"/>
      <name val="宋体"/>
      <charset val="134"/>
    </font>
    <font>
      <sz val="9"/>
      <name val="宋体"/>
      <family val="3"/>
      <charset val="134"/>
    </font>
    <font>
      <sz val="12"/>
      <name val="Times New Roman"/>
      <family val="1"/>
    </font>
    <font>
      <sz val="11"/>
      <name val="Times New Roman"/>
      <family val="1"/>
    </font>
    <font>
      <b/>
      <sz val="14"/>
      <name val="Arial"/>
      <family val="2"/>
    </font>
    <font>
      <sz val="12"/>
      <name val="Arial"/>
      <family val="2"/>
    </font>
    <font>
      <b/>
      <sz val="12"/>
      <name val="Arial"/>
      <family val="2"/>
    </font>
    <font>
      <sz val="11"/>
      <name val="Arial"/>
      <family val="2"/>
    </font>
    <font>
      <sz val="10"/>
      <name val="Arial"/>
      <family val="2"/>
    </font>
    <font>
      <b/>
      <sz val="10"/>
      <name val="Arial"/>
      <family val="2"/>
    </font>
    <font>
      <sz val="11"/>
      <name val="宋体"/>
      <family val="3"/>
      <charset val="134"/>
    </font>
    <font>
      <b/>
      <sz val="11"/>
      <name val="Arial"/>
      <family val="2"/>
    </font>
    <font>
      <u/>
      <sz val="11"/>
      <name val="Arial"/>
      <family val="2"/>
    </font>
    <font>
      <u/>
      <sz val="12"/>
      <color indexed="12"/>
      <name val="宋体"/>
      <family val="3"/>
      <charset val="134"/>
    </font>
    <font>
      <b/>
      <sz val="18"/>
      <name val="Times New Roman"/>
      <family val="1"/>
    </font>
    <font>
      <sz val="9"/>
      <name val="宋体"/>
      <family val="3"/>
      <charset val="134"/>
    </font>
    <font>
      <b/>
      <sz val="12"/>
      <name val="Times New Roman"/>
      <family val="1"/>
    </font>
    <font>
      <b/>
      <sz val="12"/>
      <name val="宋体"/>
      <family val="3"/>
      <charset val="134"/>
    </font>
    <font>
      <sz val="10"/>
      <color indexed="12"/>
      <name val="宋体"/>
      <family val="3"/>
      <charset val="134"/>
    </font>
    <font>
      <sz val="10"/>
      <name val="宋体"/>
      <family val="3"/>
      <charset val="134"/>
    </font>
    <font>
      <sz val="12"/>
      <name val="宋体"/>
      <family val="3"/>
      <charset val="134"/>
    </font>
    <font>
      <sz val="9"/>
      <name val="宋体"/>
      <family val="3"/>
      <charset val="134"/>
    </font>
    <font>
      <b/>
      <sz val="9"/>
      <name val="Arial"/>
      <family val="2"/>
    </font>
    <font>
      <sz val="9"/>
      <name val="Arial"/>
      <family val="2"/>
    </font>
    <font>
      <b/>
      <i/>
      <sz val="12"/>
      <name val="Arial"/>
      <family val="2"/>
    </font>
    <font>
      <b/>
      <sz val="12"/>
      <name val="宋体"/>
      <family val="3"/>
      <charset val="134"/>
    </font>
    <font>
      <b/>
      <sz val="10"/>
      <name val="宋体"/>
      <family val="3"/>
      <charset val="134"/>
    </font>
    <font>
      <b/>
      <sz val="14"/>
      <name val="宋体"/>
      <family val="3"/>
      <charset val="134"/>
    </font>
    <font>
      <b/>
      <sz val="19"/>
      <name val="宋体"/>
      <family val="3"/>
      <charset val="134"/>
    </font>
    <font>
      <b/>
      <sz val="10"/>
      <name val="Times New Roman"/>
      <family val="1"/>
    </font>
    <font>
      <b/>
      <sz val="8"/>
      <name val="Arial"/>
      <family val="2"/>
    </font>
    <font>
      <sz val="9"/>
      <name val="宋体"/>
      <family val="2"/>
      <charset val="134"/>
      <scheme val="minor"/>
    </font>
    <font>
      <sz val="10"/>
      <name val="Times New Roman"/>
      <family val="1"/>
    </font>
    <font>
      <b/>
      <sz val="10"/>
      <color theme="1"/>
      <name val="Arial"/>
      <family val="2"/>
    </font>
    <font>
      <b/>
      <sz val="6"/>
      <color rgb="FF000000"/>
      <name val="宋体"/>
      <family val="3"/>
      <charset val="134"/>
    </font>
    <font>
      <u/>
      <sz val="12"/>
      <color rgb="FF0000FF"/>
      <name val="宋体"/>
      <family val="3"/>
      <charset val="134"/>
    </font>
    <font>
      <sz val="9"/>
      <name val="宋体"/>
      <family val="3"/>
      <charset val="134"/>
      <scheme val="minor"/>
    </font>
    <font>
      <sz val="9"/>
      <name val="宋体"/>
      <family val="3"/>
      <charset val="134"/>
    </font>
    <font>
      <b/>
      <sz val="7"/>
      <color theme="1"/>
      <name val="Arial"/>
      <family val="2"/>
    </font>
    <font>
      <sz val="9"/>
      <name val="Times New Roman"/>
      <family val="1"/>
    </font>
    <font>
      <sz val="11"/>
      <color rgb="FF002060"/>
      <name val="宋体"/>
      <family val="2"/>
      <scheme val="minor"/>
    </font>
    <font>
      <sz val="10.5"/>
      <name val="宋体"/>
      <family val="3"/>
      <charset val="134"/>
    </font>
    <font>
      <b/>
      <sz val="10.5"/>
      <name val="宋体"/>
      <family val="3"/>
      <charset val="134"/>
    </font>
    <font>
      <sz val="11"/>
      <name val="宋体"/>
      <family val="2"/>
      <scheme val="minor"/>
    </font>
    <font>
      <sz val="7"/>
      <name val="宋体"/>
      <family val="3"/>
      <charset val="134"/>
    </font>
    <font>
      <b/>
      <sz val="18"/>
      <name val="黑体"/>
      <family val="3"/>
      <charset val="134"/>
    </font>
    <font>
      <b/>
      <sz val="10.5"/>
      <name val="黑体"/>
      <family val="3"/>
      <charset val="134"/>
    </font>
    <font>
      <b/>
      <sz val="14"/>
      <name val="黑体"/>
      <family val="3"/>
      <charset val="134"/>
    </font>
    <font>
      <b/>
      <sz val="10"/>
      <name val="楷体_GB2312"/>
      <family val="1"/>
      <charset val="134"/>
    </font>
    <font>
      <b/>
      <sz val="10.5"/>
      <name val="Times New Roman"/>
      <family val="1"/>
    </font>
    <font>
      <b/>
      <sz val="16"/>
      <name val="黑体"/>
      <family val="3"/>
      <charset val="134"/>
    </font>
    <font>
      <b/>
      <sz val="16"/>
      <name val="Times New Roman"/>
      <family val="1"/>
    </font>
    <font>
      <b/>
      <sz val="9"/>
      <name val="宋体"/>
      <family val="3"/>
      <charset val="134"/>
    </font>
    <font>
      <b/>
      <sz val="9"/>
      <name val="Times New Roman"/>
      <family val="1"/>
    </font>
    <font>
      <sz val="11"/>
      <color theme="1"/>
      <name val="宋体"/>
      <family val="2"/>
      <scheme val="minor"/>
    </font>
    <font>
      <b/>
      <sz val="9"/>
      <name val="宋体"/>
      <family val="3"/>
      <charset val="134"/>
      <scheme val="minor"/>
    </font>
    <font>
      <b/>
      <sz val="9"/>
      <color indexed="81"/>
      <name val="Tahoma"/>
      <family val="2"/>
    </font>
    <font>
      <sz val="9"/>
      <color indexed="81"/>
      <name val="Tahoma"/>
      <family val="2"/>
    </font>
    <font>
      <b/>
      <sz val="18"/>
      <name val="Arial"/>
      <family val="2"/>
    </font>
    <font>
      <sz val="12"/>
      <name val="宋体"/>
      <family val="3"/>
      <charset val="134"/>
      <scheme val="minor"/>
    </font>
    <font>
      <sz val="11"/>
      <color rgb="FFFF0000"/>
      <name val="宋体"/>
      <family val="2"/>
      <scheme val="minor"/>
    </font>
    <font>
      <sz val="9"/>
      <color rgb="FF000000"/>
      <name val="Microsoft YaHei"/>
      <family val="2"/>
    </font>
    <font>
      <sz val="9"/>
      <color rgb="FF000000"/>
      <name val="Microsoft YaHei"/>
      <family val="2"/>
      <charset val="134"/>
    </font>
    <font>
      <b/>
      <sz val="16"/>
      <name val="宋体"/>
      <family val="3"/>
      <charset val="134"/>
      <scheme val="minor"/>
    </font>
    <font>
      <sz val="11"/>
      <name val="宋体"/>
      <family val="3"/>
      <charset val="134"/>
      <scheme val="minor"/>
    </font>
    <font>
      <b/>
      <sz val="7"/>
      <name val="宋体"/>
      <family val="3"/>
      <charset val="134"/>
      <scheme val="minor"/>
    </font>
    <font>
      <sz val="10"/>
      <name val="宋体"/>
      <family val="3"/>
      <charset val="134"/>
      <scheme val="minor"/>
    </font>
    <font>
      <b/>
      <sz val="10"/>
      <name val="宋体"/>
      <family val="3"/>
      <charset val="134"/>
      <scheme val="minor"/>
    </font>
    <font>
      <b/>
      <sz val="6"/>
      <name val="宋体"/>
      <family val="3"/>
      <charset val="134"/>
      <scheme val="minor"/>
    </font>
    <font>
      <sz val="12"/>
      <name val="宋体"/>
      <family val="3"/>
      <charset val="134"/>
    </font>
    <font>
      <sz val="11"/>
      <color rgb="FF000000"/>
      <name val="宋体"/>
      <family val="3"/>
      <charset val="134"/>
      <scheme val="minor"/>
    </font>
    <font>
      <sz val="9"/>
      <color theme="1"/>
      <name val="宋体"/>
      <family val="2"/>
      <scheme val="minor"/>
    </font>
    <font>
      <sz val="10"/>
      <color rgb="FF000000"/>
      <name val="宋体"/>
      <family val="3"/>
      <charset val="134"/>
      <scheme val="minor"/>
    </font>
    <font>
      <sz val="11"/>
      <color indexed="8"/>
      <name val="宋体"/>
      <family val="3"/>
      <charset val="134"/>
    </font>
    <font>
      <sz val="11"/>
      <color indexed="9"/>
      <name val="宋体"/>
      <family val="3"/>
      <charset val="134"/>
    </font>
    <font>
      <b/>
      <sz val="15"/>
      <color indexed="56"/>
      <name val="宋体"/>
      <family val="3"/>
      <charset val="134"/>
    </font>
    <font>
      <b/>
      <sz val="18"/>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2"/>
      <color rgb="FF000000"/>
      <name val="宋体"/>
      <family val="3"/>
      <charset val="134"/>
    </font>
    <font>
      <u/>
      <sz val="11"/>
      <color theme="10"/>
      <name val="宋体"/>
      <family val="2"/>
      <scheme val="minor"/>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1"/>
      <color rgb="FF000000"/>
      <name val="宋体"/>
      <family val="3"/>
      <charset val="134"/>
      <scheme val="minor"/>
    </font>
    <font>
      <sz val="22"/>
      <name val="Wingdings 2"/>
      <family val="1"/>
      <charset val="2"/>
    </font>
    <font>
      <sz val="22"/>
      <name val="楷体"/>
      <family val="3"/>
      <charset val="134"/>
    </font>
    <font>
      <sz val="11"/>
      <color rgb="FF002060"/>
      <name val="宋体"/>
      <family val="3"/>
      <charset val="134"/>
      <scheme val="minor"/>
    </font>
    <font>
      <sz val="11"/>
      <color rgb="FF002060"/>
      <name val="宋体"/>
      <family val="3"/>
      <charset val="134"/>
    </font>
    <font>
      <sz val="12"/>
      <color theme="1"/>
      <name val="Arial"/>
      <family val="2"/>
    </font>
    <font>
      <b/>
      <sz val="11"/>
      <color theme="1"/>
      <name val="宋体"/>
      <family val="3"/>
      <charset val="134"/>
      <scheme val="minor"/>
    </font>
    <font>
      <sz val="11"/>
      <color theme="1"/>
      <name val="宋体"/>
      <family val="3"/>
      <charset val="134"/>
    </font>
    <font>
      <sz val="11"/>
      <color theme="1"/>
      <name val="Arial"/>
      <family val="2"/>
    </font>
    <font>
      <b/>
      <sz val="20"/>
      <color theme="1"/>
      <name val="宋体"/>
      <family val="3"/>
      <charset val="134"/>
      <scheme val="minor"/>
    </font>
    <font>
      <sz val="12"/>
      <color theme="1"/>
      <name val="宋体"/>
      <family val="2"/>
      <scheme val="minor"/>
    </font>
    <font>
      <sz val="14"/>
      <color theme="1"/>
      <name val="宋体"/>
      <family val="2"/>
      <scheme val="minor"/>
    </font>
    <font>
      <sz val="14"/>
      <color theme="1"/>
      <name val="Arial"/>
      <family val="2"/>
    </font>
    <font>
      <b/>
      <sz val="12"/>
      <color theme="1"/>
      <name val="Arial"/>
      <family val="2"/>
    </font>
    <font>
      <sz val="16"/>
      <color theme="1"/>
      <name val="宋体"/>
      <family val="3"/>
      <charset val="134"/>
      <scheme val="minor"/>
    </font>
    <font>
      <sz val="16"/>
      <color theme="1"/>
      <name val="宋体"/>
      <family val="2"/>
      <scheme val="minor"/>
    </font>
    <font>
      <sz val="11"/>
      <name val="Calibri"/>
      <family val="2"/>
    </font>
    <font>
      <b/>
      <sz val="11"/>
      <color theme="1"/>
      <name val="Arial"/>
      <family val="2"/>
    </font>
    <font>
      <b/>
      <sz val="5.5"/>
      <color theme="1"/>
      <name val="Arial"/>
      <family val="2"/>
    </font>
    <font>
      <sz val="8"/>
      <name val="Times New Roman"/>
      <family val="1"/>
    </font>
    <font>
      <b/>
      <sz val="12"/>
      <color theme="1"/>
      <name val="Century Schoolbook"/>
      <family val="1"/>
    </font>
    <font>
      <b/>
      <sz val="11"/>
      <color theme="1"/>
      <name val="宋体"/>
      <family val="2"/>
      <scheme val="minor"/>
    </font>
    <font>
      <b/>
      <sz val="7"/>
      <name val="Arial"/>
      <family val="2"/>
    </font>
    <font>
      <b/>
      <i/>
      <sz val="10"/>
      <color rgb="FF000000"/>
      <name val="Arial"/>
      <family val="2"/>
    </font>
    <font>
      <sz val="11"/>
      <color theme="1"/>
      <name val="宋体"/>
      <family val="2"/>
      <charset val="134"/>
    </font>
    <font>
      <sz val="10"/>
      <color rgb="FF262626"/>
      <name val="Arial"/>
      <family val="2"/>
    </font>
    <font>
      <sz val="10.5"/>
      <name val="Times New Roman"/>
      <family val="1"/>
    </font>
    <font>
      <sz val="11"/>
      <color rgb="FF006100"/>
      <name val="宋体"/>
      <family val="2"/>
      <charset val="134"/>
      <scheme val="minor"/>
    </font>
    <font>
      <b/>
      <i/>
      <sz val="12"/>
      <color rgb="FF000000"/>
      <name val="Arial"/>
      <family val="2"/>
    </font>
  </fonts>
  <fills count="37">
    <fill>
      <patternFill patternType="none"/>
    </fill>
    <fill>
      <patternFill patternType="gray125"/>
    </fill>
    <fill>
      <patternFill patternType="solid">
        <fgColor theme="0"/>
        <bgColor indexed="64"/>
      </patternFill>
    </fill>
    <fill>
      <patternFill patternType="solid">
        <fgColor theme="6"/>
        <bgColor indexed="64"/>
      </patternFill>
    </fill>
    <fill>
      <patternFill patternType="solid">
        <fgColor rgb="FFFFFF00"/>
        <bgColor indexed="64"/>
      </patternFill>
    </fill>
    <fill>
      <patternFill patternType="solid">
        <fgColor rgb="FF00B050"/>
        <bgColor indexed="64"/>
      </patternFill>
    </fill>
    <fill>
      <patternFill patternType="solid">
        <fgColor rgb="FF92D050"/>
        <bgColor indexed="64"/>
      </patternFill>
    </fill>
    <fill>
      <patternFill patternType="solid">
        <fgColor rgb="FF92D050"/>
        <bgColor rgb="FF000000"/>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22"/>
        <bgColor indexed="64"/>
      </patternFill>
    </fill>
    <fill>
      <patternFill patternType="solid">
        <fgColor indexed="55"/>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43"/>
        <bgColor indexed="64"/>
      </patternFill>
    </fill>
    <fill>
      <patternFill patternType="solid">
        <fgColor indexed="26"/>
        <bgColor indexed="64"/>
      </patternFill>
    </fill>
    <fill>
      <patternFill patternType="solid">
        <fgColor rgb="FFFFFFFF"/>
        <bgColor rgb="FF000000"/>
      </patternFill>
    </fill>
    <fill>
      <patternFill patternType="solid">
        <fgColor rgb="FF00B050"/>
        <bgColor rgb="FF000000"/>
      </patternFill>
    </fill>
    <fill>
      <patternFill patternType="solid">
        <fgColor theme="0"/>
        <bgColor rgb="FF000000"/>
      </patternFill>
    </fill>
    <fill>
      <patternFill patternType="solid">
        <fgColor theme="3" tint="0.79998168889431442"/>
        <bgColor indexed="64"/>
      </patternFill>
    </fill>
    <fill>
      <patternFill patternType="solid">
        <fgColor theme="7" tint="0.59999389629810485"/>
        <bgColor indexed="64"/>
      </patternFill>
    </fill>
    <fill>
      <patternFill patternType="solid">
        <fgColor rgb="FFC6EFCE"/>
      </patternFill>
    </fill>
    <fill>
      <patternFill patternType="solid">
        <fgColor theme="9" tint="0.59999389629810485"/>
        <bgColor indexed="64"/>
      </patternFill>
    </fill>
  </fills>
  <borders count="67">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top style="medium">
        <color indexed="64"/>
      </top>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bottom style="medium">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64">
    <xf numFmtId="0" fontId="0" fillId="0" borderId="0"/>
    <xf numFmtId="0" fontId="13" fillId="0" borderId="0" applyNumberFormat="0" applyFill="0" applyBorder="0" applyAlignment="0" applyProtection="0">
      <alignment vertical="top"/>
      <protection locked="0"/>
    </xf>
    <xf numFmtId="0" fontId="20" fillId="0" borderId="0"/>
    <xf numFmtId="0" fontId="54" fillId="0" borderId="0"/>
    <xf numFmtId="0" fontId="54" fillId="0" borderId="0"/>
    <xf numFmtId="43" fontId="69" fillId="0" borderId="0" applyFont="0" applyFill="0" applyBorder="0" applyAlignment="0" applyProtection="0">
      <alignment vertical="center"/>
    </xf>
    <xf numFmtId="0" fontId="73" fillId="8" borderId="0" applyNumberFormat="0" applyBorder="0" applyAlignment="0" applyProtection="0">
      <alignment vertical="center"/>
    </xf>
    <xf numFmtId="0" fontId="73" fillId="8" borderId="0" applyNumberFormat="0" applyBorder="0" applyAlignment="0" applyProtection="0">
      <alignment vertical="center"/>
    </xf>
    <xf numFmtId="0" fontId="73" fillId="8" borderId="0" applyNumberFormat="0" applyBorder="0" applyAlignment="0" applyProtection="0">
      <alignment vertical="center"/>
    </xf>
    <xf numFmtId="0" fontId="73" fillId="8" borderId="0" applyNumberFormat="0" applyBorder="0" applyAlignment="0" applyProtection="0">
      <alignment vertical="center"/>
    </xf>
    <xf numFmtId="0" fontId="73" fillId="8" borderId="0" applyNumberFormat="0" applyBorder="0" applyAlignment="0" applyProtection="0">
      <alignment vertical="center"/>
    </xf>
    <xf numFmtId="0" fontId="73" fillId="8" borderId="0" applyNumberFormat="0" applyBorder="0" applyAlignment="0" applyProtection="0">
      <alignment vertical="center"/>
    </xf>
    <xf numFmtId="0" fontId="73" fillId="9" borderId="0" applyNumberFormat="0" applyBorder="0" applyAlignment="0" applyProtection="0">
      <alignment vertical="center"/>
    </xf>
    <xf numFmtId="0" fontId="73" fillId="9" borderId="0" applyNumberFormat="0" applyBorder="0" applyAlignment="0" applyProtection="0">
      <alignment vertical="center"/>
    </xf>
    <xf numFmtId="0" fontId="73" fillId="9" borderId="0" applyNumberFormat="0" applyBorder="0" applyAlignment="0" applyProtection="0">
      <alignment vertical="center"/>
    </xf>
    <xf numFmtId="0" fontId="73" fillId="9" borderId="0" applyNumberFormat="0" applyBorder="0" applyAlignment="0" applyProtection="0">
      <alignment vertical="center"/>
    </xf>
    <xf numFmtId="0" fontId="73" fillId="9" borderId="0" applyNumberFormat="0" applyBorder="0" applyAlignment="0" applyProtection="0">
      <alignment vertical="center"/>
    </xf>
    <xf numFmtId="0" fontId="73" fillId="9" borderId="0" applyNumberFormat="0" applyBorder="0" applyAlignment="0" applyProtection="0">
      <alignment vertical="center"/>
    </xf>
    <xf numFmtId="0" fontId="73" fillId="10" borderId="0" applyNumberFormat="0" applyBorder="0" applyAlignment="0" applyProtection="0">
      <alignment vertical="center"/>
    </xf>
    <xf numFmtId="0" fontId="73" fillId="10" borderId="0" applyNumberFormat="0" applyBorder="0" applyAlignment="0" applyProtection="0">
      <alignment vertical="center"/>
    </xf>
    <xf numFmtId="0" fontId="73" fillId="10" borderId="0" applyNumberFormat="0" applyBorder="0" applyAlignment="0" applyProtection="0">
      <alignment vertical="center"/>
    </xf>
    <xf numFmtId="0" fontId="73" fillId="10" borderId="0" applyNumberFormat="0" applyBorder="0" applyAlignment="0" applyProtection="0">
      <alignment vertical="center"/>
    </xf>
    <xf numFmtId="0" fontId="73" fillId="10" borderId="0" applyNumberFormat="0" applyBorder="0" applyAlignment="0" applyProtection="0">
      <alignment vertical="center"/>
    </xf>
    <xf numFmtId="0" fontId="73" fillId="10"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2" borderId="0" applyNumberFormat="0" applyBorder="0" applyAlignment="0" applyProtection="0">
      <alignment vertical="center"/>
    </xf>
    <xf numFmtId="0" fontId="73" fillId="12" borderId="0" applyNumberFormat="0" applyBorder="0" applyAlignment="0" applyProtection="0">
      <alignment vertical="center"/>
    </xf>
    <xf numFmtId="0" fontId="73" fillId="12" borderId="0" applyNumberFormat="0" applyBorder="0" applyAlignment="0" applyProtection="0">
      <alignment vertical="center"/>
    </xf>
    <xf numFmtId="0" fontId="73" fillId="12" borderId="0" applyNumberFormat="0" applyBorder="0" applyAlignment="0" applyProtection="0">
      <alignment vertical="center"/>
    </xf>
    <xf numFmtId="0" fontId="73" fillId="12" borderId="0" applyNumberFormat="0" applyBorder="0" applyAlignment="0" applyProtection="0">
      <alignment vertical="center"/>
    </xf>
    <xf numFmtId="0" fontId="73" fillId="12" borderId="0" applyNumberFormat="0" applyBorder="0" applyAlignment="0" applyProtection="0">
      <alignment vertical="center"/>
    </xf>
    <xf numFmtId="0" fontId="73" fillId="13" borderId="0" applyNumberFormat="0" applyBorder="0" applyAlignment="0" applyProtection="0">
      <alignment vertical="center"/>
    </xf>
    <xf numFmtId="0" fontId="73" fillId="13" borderId="0" applyNumberFormat="0" applyBorder="0" applyAlignment="0" applyProtection="0">
      <alignment vertical="center"/>
    </xf>
    <xf numFmtId="0" fontId="73" fillId="13" borderId="0" applyNumberFormat="0" applyBorder="0" applyAlignment="0" applyProtection="0">
      <alignment vertical="center"/>
    </xf>
    <xf numFmtId="0" fontId="73" fillId="13" borderId="0" applyNumberFormat="0" applyBorder="0" applyAlignment="0" applyProtection="0">
      <alignment vertical="center"/>
    </xf>
    <xf numFmtId="0" fontId="73" fillId="13" borderId="0" applyNumberFormat="0" applyBorder="0" applyAlignment="0" applyProtection="0">
      <alignment vertical="center"/>
    </xf>
    <xf numFmtId="0" fontId="73" fillId="13"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5" borderId="0" applyNumberFormat="0" applyBorder="0" applyAlignment="0" applyProtection="0">
      <alignment vertical="center"/>
    </xf>
    <xf numFmtId="0" fontId="73" fillId="15" borderId="0" applyNumberFormat="0" applyBorder="0" applyAlignment="0" applyProtection="0">
      <alignment vertical="center"/>
    </xf>
    <xf numFmtId="0" fontId="73" fillId="15" borderId="0" applyNumberFormat="0" applyBorder="0" applyAlignment="0" applyProtection="0">
      <alignment vertical="center"/>
    </xf>
    <xf numFmtId="0" fontId="73" fillId="15" borderId="0" applyNumberFormat="0" applyBorder="0" applyAlignment="0" applyProtection="0">
      <alignment vertical="center"/>
    </xf>
    <xf numFmtId="0" fontId="73" fillId="15" borderId="0" applyNumberFormat="0" applyBorder="0" applyAlignment="0" applyProtection="0">
      <alignment vertical="center"/>
    </xf>
    <xf numFmtId="0" fontId="73" fillId="15" borderId="0" applyNumberFormat="0" applyBorder="0" applyAlignment="0" applyProtection="0">
      <alignment vertical="center"/>
    </xf>
    <xf numFmtId="0" fontId="73" fillId="16" borderId="0" applyNumberFormat="0" applyBorder="0" applyAlignment="0" applyProtection="0">
      <alignment vertical="center"/>
    </xf>
    <xf numFmtId="0" fontId="73" fillId="16" borderId="0" applyNumberFormat="0" applyBorder="0" applyAlignment="0" applyProtection="0">
      <alignment vertical="center"/>
    </xf>
    <xf numFmtId="0" fontId="73" fillId="16" borderId="0" applyNumberFormat="0" applyBorder="0" applyAlignment="0" applyProtection="0">
      <alignment vertical="center"/>
    </xf>
    <xf numFmtId="0" fontId="73" fillId="16" borderId="0" applyNumberFormat="0" applyBorder="0" applyAlignment="0" applyProtection="0">
      <alignment vertical="center"/>
    </xf>
    <xf numFmtId="0" fontId="73" fillId="16" borderId="0" applyNumberFormat="0" applyBorder="0" applyAlignment="0" applyProtection="0">
      <alignment vertical="center"/>
    </xf>
    <xf numFmtId="0" fontId="73" fillId="16"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1"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4" borderId="0" applyNumberFormat="0" applyBorder="0" applyAlignment="0" applyProtection="0">
      <alignment vertical="center"/>
    </xf>
    <xf numFmtId="0" fontId="73" fillId="17" borderId="0" applyNumberFormat="0" applyBorder="0" applyAlignment="0" applyProtection="0">
      <alignment vertical="center"/>
    </xf>
    <xf numFmtId="0" fontId="73" fillId="17" borderId="0" applyNumberFormat="0" applyBorder="0" applyAlignment="0" applyProtection="0">
      <alignment vertical="center"/>
    </xf>
    <xf numFmtId="0" fontId="73" fillId="17" borderId="0" applyNumberFormat="0" applyBorder="0" applyAlignment="0" applyProtection="0">
      <alignment vertical="center"/>
    </xf>
    <xf numFmtId="0" fontId="73" fillId="17" borderId="0" applyNumberFormat="0" applyBorder="0" applyAlignment="0" applyProtection="0">
      <alignment vertical="center"/>
    </xf>
    <xf numFmtId="0" fontId="73" fillId="17" borderId="0" applyNumberFormat="0" applyBorder="0" applyAlignment="0" applyProtection="0">
      <alignment vertical="center"/>
    </xf>
    <xf numFmtId="0" fontId="73" fillId="17" borderId="0" applyNumberFormat="0" applyBorder="0" applyAlignment="0" applyProtection="0">
      <alignment vertical="center"/>
    </xf>
    <xf numFmtId="0" fontId="74" fillId="18" borderId="0" applyNumberFormat="0" applyBorder="0" applyAlignment="0" applyProtection="0">
      <alignment vertical="center"/>
    </xf>
    <xf numFmtId="0" fontId="74" fillId="18" borderId="0" applyNumberFormat="0" applyBorder="0" applyAlignment="0" applyProtection="0">
      <alignment vertical="center"/>
    </xf>
    <xf numFmtId="0" fontId="74" fillId="18" borderId="0" applyNumberFormat="0" applyBorder="0" applyAlignment="0" applyProtection="0">
      <alignment vertical="center"/>
    </xf>
    <xf numFmtId="0" fontId="74" fillId="18" borderId="0" applyNumberFormat="0" applyBorder="0" applyAlignment="0" applyProtection="0">
      <alignment vertical="center"/>
    </xf>
    <xf numFmtId="0" fontId="74" fillId="18" borderId="0" applyNumberFormat="0" applyBorder="0" applyAlignment="0" applyProtection="0">
      <alignment vertical="center"/>
    </xf>
    <xf numFmtId="0" fontId="74" fillId="18" borderId="0" applyNumberFormat="0" applyBorder="0" applyAlignment="0" applyProtection="0">
      <alignment vertical="center"/>
    </xf>
    <xf numFmtId="0" fontId="74" fillId="15" borderId="0" applyNumberFormat="0" applyBorder="0" applyAlignment="0" applyProtection="0">
      <alignment vertical="center"/>
    </xf>
    <xf numFmtId="0" fontId="74" fillId="15" borderId="0" applyNumberFormat="0" applyBorder="0" applyAlignment="0" applyProtection="0">
      <alignment vertical="center"/>
    </xf>
    <xf numFmtId="0" fontId="74" fillId="15" borderId="0" applyNumberFormat="0" applyBorder="0" applyAlignment="0" applyProtection="0">
      <alignment vertical="center"/>
    </xf>
    <xf numFmtId="0" fontId="74" fillId="15" borderId="0" applyNumberFormat="0" applyBorder="0" applyAlignment="0" applyProtection="0">
      <alignment vertical="center"/>
    </xf>
    <xf numFmtId="0" fontId="74" fillId="15" borderId="0" applyNumberFormat="0" applyBorder="0" applyAlignment="0" applyProtection="0">
      <alignment vertical="center"/>
    </xf>
    <xf numFmtId="0" fontId="74" fillId="15" borderId="0" applyNumberFormat="0" applyBorder="0" applyAlignment="0" applyProtection="0">
      <alignment vertical="center"/>
    </xf>
    <xf numFmtId="0" fontId="74" fillId="16" borderId="0" applyNumberFormat="0" applyBorder="0" applyAlignment="0" applyProtection="0">
      <alignment vertical="center"/>
    </xf>
    <xf numFmtId="0" fontId="74" fillId="16" borderId="0" applyNumberFormat="0" applyBorder="0" applyAlignment="0" applyProtection="0">
      <alignment vertical="center"/>
    </xf>
    <xf numFmtId="0" fontId="74" fillId="16" borderId="0" applyNumberFormat="0" applyBorder="0" applyAlignment="0" applyProtection="0">
      <alignment vertical="center"/>
    </xf>
    <xf numFmtId="0" fontId="74" fillId="16" borderId="0" applyNumberFormat="0" applyBorder="0" applyAlignment="0" applyProtection="0">
      <alignment vertical="center"/>
    </xf>
    <xf numFmtId="0" fontId="74" fillId="16" borderId="0" applyNumberFormat="0" applyBorder="0" applyAlignment="0" applyProtection="0">
      <alignment vertical="center"/>
    </xf>
    <xf numFmtId="0" fontId="74" fillId="16"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1" borderId="0" applyNumberFormat="0" applyBorder="0" applyAlignment="0" applyProtection="0">
      <alignment vertical="center"/>
    </xf>
    <xf numFmtId="0" fontId="74" fillId="21" borderId="0" applyNumberFormat="0" applyBorder="0" applyAlignment="0" applyProtection="0">
      <alignment vertical="center"/>
    </xf>
    <xf numFmtId="0" fontId="74" fillId="21" borderId="0" applyNumberFormat="0" applyBorder="0" applyAlignment="0" applyProtection="0">
      <alignment vertical="center"/>
    </xf>
    <xf numFmtId="0" fontId="74" fillId="21" borderId="0" applyNumberFormat="0" applyBorder="0" applyAlignment="0" applyProtection="0">
      <alignment vertical="center"/>
    </xf>
    <xf numFmtId="0" fontId="74" fillId="21" borderId="0" applyNumberFormat="0" applyBorder="0" applyAlignment="0" applyProtection="0">
      <alignment vertical="center"/>
    </xf>
    <xf numFmtId="0" fontId="74" fillId="21" borderId="0" applyNumberFormat="0" applyBorder="0" applyAlignment="0" applyProtection="0">
      <alignment vertical="center"/>
    </xf>
    <xf numFmtId="0" fontId="75" fillId="0" borderId="58" applyNumberFormat="0" applyFill="0" applyAlignment="0" applyProtection="0">
      <alignment vertical="center"/>
    </xf>
    <xf numFmtId="0" fontId="75" fillId="0" borderId="58" applyNumberFormat="0" applyFill="0" applyAlignment="0" applyProtection="0">
      <alignment vertical="center"/>
    </xf>
    <xf numFmtId="0" fontId="75" fillId="0" borderId="58" applyNumberFormat="0" applyFill="0" applyAlignment="0" applyProtection="0">
      <alignment vertical="center"/>
    </xf>
    <xf numFmtId="0" fontId="75" fillId="0" borderId="58" applyNumberFormat="0" applyFill="0" applyAlignment="0" applyProtection="0">
      <alignment vertical="center"/>
    </xf>
    <xf numFmtId="0" fontId="75" fillId="0" borderId="58" applyNumberFormat="0" applyFill="0" applyAlignment="0" applyProtection="0">
      <alignment vertical="center"/>
    </xf>
    <xf numFmtId="0" fontId="75" fillId="0" borderId="58" applyNumberFormat="0" applyFill="0" applyAlignment="0" applyProtection="0">
      <alignment vertical="center"/>
    </xf>
    <xf numFmtId="0" fontId="76" fillId="0" borderId="0" applyNumberFormat="0" applyFill="0" applyBorder="0" applyAlignment="0" applyProtection="0">
      <alignment vertical="center"/>
    </xf>
    <xf numFmtId="0" fontId="77" fillId="0" borderId="59" applyNumberFormat="0" applyFill="0" applyAlignment="0" applyProtection="0">
      <alignment vertical="center"/>
    </xf>
    <xf numFmtId="0" fontId="77" fillId="0" borderId="59" applyNumberFormat="0" applyFill="0" applyAlignment="0" applyProtection="0">
      <alignment vertical="center"/>
    </xf>
    <xf numFmtId="0" fontId="77" fillId="0" borderId="59" applyNumberFormat="0" applyFill="0" applyAlignment="0" applyProtection="0">
      <alignment vertical="center"/>
    </xf>
    <xf numFmtId="0" fontId="77" fillId="0" borderId="59" applyNumberFormat="0" applyFill="0" applyAlignment="0" applyProtection="0">
      <alignment vertical="center"/>
    </xf>
    <xf numFmtId="0" fontId="77" fillId="0" borderId="59" applyNumberFormat="0" applyFill="0" applyAlignment="0" applyProtection="0">
      <alignment vertical="center"/>
    </xf>
    <xf numFmtId="0" fontId="77" fillId="0" borderId="59" applyNumberFormat="0" applyFill="0" applyAlignment="0" applyProtection="0">
      <alignment vertical="center"/>
    </xf>
    <xf numFmtId="0" fontId="78" fillId="0" borderId="60" applyNumberFormat="0" applyFill="0" applyAlignment="0" applyProtection="0">
      <alignment vertical="center"/>
    </xf>
    <xf numFmtId="0" fontId="78" fillId="0" borderId="60" applyNumberFormat="0" applyFill="0" applyAlignment="0" applyProtection="0">
      <alignment vertical="center"/>
    </xf>
    <xf numFmtId="0" fontId="78" fillId="0" borderId="60" applyNumberFormat="0" applyFill="0" applyAlignment="0" applyProtection="0">
      <alignment vertical="center"/>
    </xf>
    <xf numFmtId="0" fontId="78" fillId="0" borderId="60" applyNumberFormat="0" applyFill="0" applyAlignment="0" applyProtection="0">
      <alignment vertical="center"/>
    </xf>
    <xf numFmtId="0" fontId="78" fillId="0" borderId="60" applyNumberFormat="0" applyFill="0" applyAlignment="0" applyProtection="0">
      <alignment vertical="center"/>
    </xf>
    <xf numFmtId="0" fontId="78" fillId="0" borderId="60" applyNumberFormat="0" applyFill="0" applyAlignment="0" applyProtection="0">
      <alignment vertical="center"/>
    </xf>
    <xf numFmtId="0" fontId="78"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9" fillId="9" borderId="0" applyNumberFormat="0" applyBorder="0" applyAlignment="0" applyProtection="0">
      <alignment vertical="center"/>
    </xf>
    <xf numFmtId="0" fontId="79" fillId="9" borderId="0" applyNumberFormat="0" applyBorder="0" applyAlignment="0" applyProtection="0">
      <alignment vertical="center"/>
    </xf>
    <xf numFmtId="0" fontId="79" fillId="9" borderId="0" applyNumberFormat="0" applyBorder="0" applyAlignment="0" applyProtection="0">
      <alignment vertical="center"/>
    </xf>
    <xf numFmtId="0" fontId="79" fillId="9" borderId="0" applyNumberFormat="0" applyBorder="0" applyAlignment="0" applyProtection="0">
      <alignment vertical="center"/>
    </xf>
    <xf numFmtId="0" fontId="79" fillId="9" borderId="0" applyNumberFormat="0" applyBorder="0" applyAlignment="0" applyProtection="0">
      <alignment vertical="center"/>
    </xf>
    <xf numFmtId="0" fontId="79" fillId="9" borderId="0" applyNumberFormat="0" applyBorder="0" applyAlignment="0" applyProtection="0">
      <alignment vertical="center"/>
    </xf>
    <xf numFmtId="0" fontId="54" fillId="0" borderId="0"/>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80" fillId="0" borderId="0"/>
    <xf numFmtId="0" fontId="81" fillId="0" borderId="0" applyNumberFormat="0" applyFill="0" applyBorder="0" applyAlignment="0" applyProtection="0"/>
    <xf numFmtId="0" fontId="82" fillId="10" borderId="0" applyNumberFormat="0" applyBorder="0" applyAlignment="0" applyProtection="0">
      <alignment vertical="center"/>
    </xf>
    <xf numFmtId="0" fontId="82" fillId="10" borderId="0" applyNumberFormat="0" applyBorder="0" applyAlignment="0" applyProtection="0">
      <alignment vertical="center"/>
    </xf>
    <xf numFmtId="0" fontId="82" fillId="10" borderId="0" applyNumberFormat="0" applyBorder="0" applyAlignment="0" applyProtection="0">
      <alignment vertical="center"/>
    </xf>
    <xf numFmtId="0" fontId="82" fillId="10" borderId="0" applyNumberFormat="0" applyBorder="0" applyAlignment="0" applyProtection="0">
      <alignment vertical="center"/>
    </xf>
    <xf numFmtId="0" fontId="82" fillId="10" borderId="0" applyNumberFormat="0" applyBorder="0" applyAlignment="0" applyProtection="0">
      <alignment vertical="center"/>
    </xf>
    <xf numFmtId="0" fontId="82" fillId="10" borderId="0" applyNumberFormat="0" applyBorder="0" applyAlignment="0" applyProtection="0">
      <alignment vertical="center"/>
    </xf>
    <xf numFmtId="0" fontId="83" fillId="0" borderId="61" applyNumberFormat="0" applyFill="0" applyAlignment="0" applyProtection="0">
      <alignment vertical="center"/>
    </xf>
    <xf numFmtId="0" fontId="83" fillId="0" borderId="61" applyNumberFormat="0" applyFill="0" applyAlignment="0" applyProtection="0">
      <alignment vertical="center"/>
    </xf>
    <xf numFmtId="0" fontId="83" fillId="0" borderId="61" applyNumberFormat="0" applyFill="0" applyAlignment="0" applyProtection="0">
      <alignment vertical="center"/>
    </xf>
    <xf numFmtId="0" fontId="83" fillId="0" borderId="61" applyNumberFormat="0" applyFill="0" applyAlignment="0" applyProtection="0">
      <alignment vertical="center"/>
    </xf>
    <xf numFmtId="0" fontId="83" fillId="0" borderId="61" applyNumberFormat="0" applyFill="0" applyAlignment="0" applyProtection="0">
      <alignment vertical="center"/>
    </xf>
    <xf numFmtId="0" fontId="83" fillId="0" borderId="61" applyNumberFormat="0" applyFill="0" applyAlignment="0" applyProtection="0">
      <alignment vertical="center"/>
    </xf>
    <xf numFmtId="0" fontId="84" fillId="22" borderId="62" applyNumberFormat="0" applyAlignment="0" applyProtection="0">
      <alignment vertical="center"/>
    </xf>
    <xf numFmtId="0" fontId="84" fillId="22" borderId="62" applyNumberFormat="0" applyAlignment="0" applyProtection="0">
      <alignment vertical="center"/>
    </xf>
    <xf numFmtId="0" fontId="84" fillId="22" borderId="62" applyNumberFormat="0" applyAlignment="0" applyProtection="0">
      <alignment vertical="center"/>
    </xf>
    <xf numFmtId="0" fontId="84" fillId="22" borderId="62" applyNumberFormat="0" applyAlignment="0" applyProtection="0">
      <alignment vertical="center"/>
    </xf>
    <xf numFmtId="0" fontId="84" fillId="22" borderId="62" applyNumberFormat="0" applyAlignment="0" applyProtection="0">
      <alignment vertical="center"/>
    </xf>
    <xf numFmtId="0" fontId="84" fillId="22" borderId="62" applyNumberFormat="0" applyAlignment="0" applyProtection="0">
      <alignment vertical="center"/>
    </xf>
    <xf numFmtId="0" fontId="85" fillId="23" borderId="63" applyNumberFormat="0" applyAlignment="0" applyProtection="0">
      <alignment vertical="center"/>
    </xf>
    <xf numFmtId="0" fontId="85" fillId="23" borderId="63" applyNumberFormat="0" applyAlignment="0" applyProtection="0">
      <alignment vertical="center"/>
    </xf>
    <xf numFmtId="0" fontId="85" fillId="23" borderId="63" applyNumberFormat="0" applyAlignment="0" applyProtection="0">
      <alignment vertical="center"/>
    </xf>
    <xf numFmtId="0" fontId="85" fillId="23" borderId="63" applyNumberFormat="0" applyAlignment="0" applyProtection="0">
      <alignment vertical="center"/>
    </xf>
    <xf numFmtId="0" fontId="85" fillId="23" borderId="63" applyNumberFormat="0" applyAlignment="0" applyProtection="0">
      <alignment vertical="center"/>
    </xf>
    <xf numFmtId="0" fontId="85" fillId="23" borderId="63" applyNumberFormat="0" applyAlignment="0" applyProtection="0">
      <alignment vertical="center"/>
    </xf>
    <xf numFmtId="0" fontId="86"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8" fillId="0" borderId="64" applyNumberFormat="0" applyFill="0" applyAlignment="0" applyProtection="0">
      <alignment vertical="center"/>
    </xf>
    <xf numFmtId="0" fontId="88" fillId="0" borderId="64" applyNumberFormat="0" applyFill="0" applyAlignment="0" applyProtection="0">
      <alignment vertical="center"/>
    </xf>
    <xf numFmtId="0" fontId="88" fillId="0" borderId="64" applyNumberFormat="0" applyFill="0" applyAlignment="0" applyProtection="0">
      <alignment vertical="center"/>
    </xf>
    <xf numFmtId="0" fontId="88" fillId="0" borderId="64" applyNumberFormat="0" applyFill="0" applyAlignment="0" applyProtection="0">
      <alignment vertical="center"/>
    </xf>
    <xf numFmtId="0" fontId="88" fillId="0" borderId="64" applyNumberFormat="0" applyFill="0" applyAlignment="0" applyProtection="0">
      <alignment vertical="center"/>
    </xf>
    <xf numFmtId="0" fontId="88" fillId="0" borderId="64" applyNumberFormat="0" applyFill="0" applyAlignment="0" applyProtection="0">
      <alignment vertical="center"/>
    </xf>
    <xf numFmtId="0" fontId="74" fillId="24" borderId="0" applyNumberFormat="0" applyBorder="0" applyAlignment="0" applyProtection="0">
      <alignment vertical="center"/>
    </xf>
    <xf numFmtId="0" fontId="74" fillId="24" borderId="0" applyNumberFormat="0" applyBorder="0" applyAlignment="0" applyProtection="0">
      <alignment vertical="center"/>
    </xf>
    <xf numFmtId="0" fontId="74" fillId="24" borderId="0" applyNumberFormat="0" applyBorder="0" applyAlignment="0" applyProtection="0">
      <alignment vertical="center"/>
    </xf>
    <xf numFmtId="0" fontId="74" fillId="24" borderId="0" applyNumberFormat="0" applyBorder="0" applyAlignment="0" applyProtection="0">
      <alignment vertical="center"/>
    </xf>
    <xf numFmtId="0" fontId="74" fillId="24" borderId="0" applyNumberFormat="0" applyBorder="0" applyAlignment="0" applyProtection="0">
      <alignment vertical="center"/>
    </xf>
    <xf numFmtId="0" fontId="74" fillId="24" borderId="0" applyNumberFormat="0" applyBorder="0" applyAlignment="0" applyProtection="0">
      <alignment vertical="center"/>
    </xf>
    <xf numFmtId="0" fontId="74" fillId="25" borderId="0" applyNumberFormat="0" applyBorder="0" applyAlignment="0" applyProtection="0">
      <alignment vertical="center"/>
    </xf>
    <xf numFmtId="0" fontId="74" fillId="25" borderId="0" applyNumberFormat="0" applyBorder="0" applyAlignment="0" applyProtection="0">
      <alignment vertical="center"/>
    </xf>
    <xf numFmtId="0" fontId="74" fillId="25" borderId="0" applyNumberFormat="0" applyBorder="0" applyAlignment="0" applyProtection="0">
      <alignment vertical="center"/>
    </xf>
    <xf numFmtId="0" fontId="74" fillId="25" borderId="0" applyNumberFormat="0" applyBorder="0" applyAlignment="0" applyProtection="0">
      <alignment vertical="center"/>
    </xf>
    <xf numFmtId="0" fontId="74" fillId="25" borderId="0" applyNumberFormat="0" applyBorder="0" applyAlignment="0" applyProtection="0">
      <alignment vertical="center"/>
    </xf>
    <xf numFmtId="0" fontId="74" fillId="25" borderId="0" applyNumberFormat="0" applyBorder="0" applyAlignment="0" applyProtection="0">
      <alignment vertical="center"/>
    </xf>
    <xf numFmtId="0" fontId="74" fillId="26" borderId="0" applyNumberFormat="0" applyBorder="0" applyAlignment="0" applyProtection="0">
      <alignment vertical="center"/>
    </xf>
    <xf numFmtId="0" fontId="74" fillId="26" borderId="0" applyNumberFormat="0" applyBorder="0" applyAlignment="0" applyProtection="0">
      <alignment vertical="center"/>
    </xf>
    <xf numFmtId="0" fontId="74" fillId="26" borderId="0" applyNumberFormat="0" applyBorder="0" applyAlignment="0" applyProtection="0">
      <alignment vertical="center"/>
    </xf>
    <xf numFmtId="0" fontId="74" fillId="26" borderId="0" applyNumberFormat="0" applyBorder="0" applyAlignment="0" applyProtection="0">
      <alignment vertical="center"/>
    </xf>
    <xf numFmtId="0" fontId="74" fillId="26" borderId="0" applyNumberFormat="0" applyBorder="0" applyAlignment="0" applyProtection="0">
      <alignment vertical="center"/>
    </xf>
    <xf numFmtId="0" fontId="74" fillId="26"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19"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0" borderId="0" applyNumberFormat="0" applyBorder="0" applyAlignment="0" applyProtection="0">
      <alignment vertical="center"/>
    </xf>
    <xf numFmtId="0" fontId="74" fillId="27" borderId="0" applyNumberFormat="0" applyBorder="0" applyAlignment="0" applyProtection="0">
      <alignment vertical="center"/>
    </xf>
    <xf numFmtId="0" fontId="74" fillId="27" borderId="0" applyNumberFormat="0" applyBorder="0" applyAlignment="0" applyProtection="0">
      <alignment vertical="center"/>
    </xf>
    <xf numFmtId="0" fontId="74" fillId="27" borderId="0" applyNumberFormat="0" applyBorder="0" applyAlignment="0" applyProtection="0">
      <alignment vertical="center"/>
    </xf>
    <xf numFmtId="0" fontId="74" fillId="27" borderId="0" applyNumberFormat="0" applyBorder="0" applyAlignment="0" applyProtection="0">
      <alignment vertical="center"/>
    </xf>
    <xf numFmtId="0" fontId="74" fillId="27" borderId="0" applyNumberFormat="0" applyBorder="0" applyAlignment="0" applyProtection="0">
      <alignment vertical="center"/>
    </xf>
    <xf numFmtId="0" fontId="74" fillId="27" borderId="0" applyNumberFormat="0" applyBorder="0" applyAlignment="0" applyProtection="0">
      <alignment vertical="center"/>
    </xf>
    <xf numFmtId="0" fontId="89" fillId="28" borderId="0" applyNumberFormat="0" applyBorder="0" applyAlignment="0" applyProtection="0">
      <alignment vertical="center"/>
    </xf>
    <xf numFmtId="0" fontId="89" fillId="28" borderId="0" applyNumberFormat="0" applyBorder="0" applyAlignment="0" applyProtection="0">
      <alignment vertical="center"/>
    </xf>
    <xf numFmtId="0" fontId="89" fillId="28" borderId="0" applyNumberFormat="0" applyBorder="0" applyAlignment="0" applyProtection="0">
      <alignment vertical="center"/>
    </xf>
    <xf numFmtId="0" fontId="89" fillId="28" borderId="0" applyNumberFormat="0" applyBorder="0" applyAlignment="0" applyProtection="0">
      <alignment vertical="center"/>
    </xf>
    <xf numFmtId="0" fontId="89" fillId="28" borderId="0" applyNumberFormat="0" applyBorder="0" applyAlignment="0" applyProtection="0">
      <alignment vertical="center"/>
    </xf>
    <xf numFmtId="0" fontId="89" fillId="28" borderId="0" applyNumberFormat="0" applyBorder="0" applyAlignment="0" applyProtection="0">
      <alignment vertical="center"/>
    </xf>
    <xf numFmtId="0" fontId="90" fillId="22" borderId="65" applyNumberFormat="0" applyAlignment="0" applyProtection="0">
      <alignment vertical="center"/>
    </xf>
    <xf numFmtId="0" fontId="90" fillId="22" borderId="65" applyNumberFormat="0" applyAlignment="0" applyProtection="0">
      <alignment vertical="center"/>
    </xf>
    <xf numFmtId="0" fontId="90" fillId="22" borderId="65" applyNumberFormat="0" applyAlignment="0" applyProtection="0">
      <alignment vertical="center"/>
    </xf>
    <xf numFmtId="0" fontId="90" fillId="22" borderId="65" applyNumberFormat="0" applyAlignment="0" applyProtection="0">
      <alignment vertical="center"/>
    </xf>
    <xf numFmtId="0" fontId="90" fillId="22" borderId="65" applyNumberFormat="0" applyAlignment="0" applyProtection="0">
      <alignment vertical="center"/>
    </xf>
    <xf numFmtId="0" fontId="90" fillId="22" borderId="65" applyNumberFormat="0" applyAlignment="0" applyProtection="0">
      <alignment vertical="center"/>
    </xf>
    <xf numFmtId="0" fontId="91" fillId="13" borderId="62" applyNumberFormat="0" applyAlignment="0" applyProtection="0">
      <alignment vertical="center"/>
    </xf>
    <xf numFmtId="0" fontId="91" fillId="13" borderId="62" applyNumberFormat="0" applyAlignment="0" applyProtection="0">
      <alignment vertical="center"/>
    </xf>
    <xf numFmtId="0" fontId="91" fillId="13" borderId="62" applyNumberFormat="0" applyAlignment="0" applyProtection="0">
      <alignment vertical="center"/>
    </xf>
    <xf numFmtId="0" fontId="91" fillId="13" borderId="62" applyNumberFormat="0" applyAlignment="0" applyProtection="0">
      <alignment vertical="center"/>
    </xf>
    <xf numFmtId="0" fontId="91" fillId="13" borderId="62" applyNumberFormat="0" applyAlignment="0" applyProtection="0">
      <alignment vertical="center"/>
    </xf>
    <xf numFmtId="0" fontId="91" fillId="13" borderId="62" applyNumberFormat="0" applyAlignment="0" applyProtection="0">
      <alignment vertical="center"/>
    </xf>
    <xf numFmtId="0" fontId="20" fillId="29" borderId="66" applyNumberFormat="0" applyFont="0" applyAlignment="0" applyProtection="0">
      <alignment vertical="center"/>
    </xf>
    <xf numFmtId="0" fontId="20" fillId="29" borderId="66" applyNumberFormat="0" applyFont="0" applyAlignment="0" applyProtection="0">
      <alignment vertical="center"/>
    </xf>
    <xf numFmtId="0" fontId="20" fillId="29" borderId="66" applyNumberFormat="0" applyFont="0" applyAlignment="0" applyProtection="0">
      <alignment vertical="center"/>
    </xf>
    <xf numFmtId="0" fontId="20" fillId="29" borderId="66" applyNumberFormat="0" applyFont="0" applyAlignment="0" applyProtection="0">
      <alignment vertical="center"/>
    </xf>
    <xf numFmtId="0" fontId="20" fillId="29" borderId="66" applyNumberFormat="0" applyFont="0" applyAlignment="0" applyProtection="0">
      <alignment vertical="center"/>
    </xf>
    <xf numFmtId="0" fontId="20" fillId="29" borderId="66" applyNumberFormat="0" applyFont="0" applyAlignment="0" applyProtection="0">
      <alignment vertical="center"/>
    </xf>
    <xf numFmtId="0" fontId="20" fillId="0" borderId="0"/>
    <xf numFmtId="0" fontId="20" fillId="0" borderId="0"/>
    <xf numFmtId="0" fontId="20" fillId="0" borderId="0"/>
    <xf numFmtId="0" fontId="119" fillId="35" borderId="0" applyNumberFormat="0" applyBorder="0" applyAlignment="0" applyProtection="0">
      <alignment vertical="center"/>
    </xf>
  </cellStyleXfs>
  <cellXfs count="779">
    <xf numFmtId="0" fontId="0" fillId="0" borderId="0" xfId="0"/>
    <xf numFmtId="0" fontId="3" fillId="0" borderId="0" xfId="0" applyFont="1"/>
    <xf numFmtId="0" fontId="5" fillId="0" borderId="0" xfId="0" applyFont="1"/>
    <xf numFmtId="0" fontId="7" fillId="0" borderId="0" xfId="0" applyFont="1"/>
    <xf numFmtId="0" fontId="6" fillId="0" borderId="0" xfId="0" applyFont="1"/>
    <xf numFmtId="14" fontId="6" fillId="0" borderId="0" xfId="0" applyNumberFormat="1" applyFont="1" applyFill="1" applyAlignment="1">
      <alignment horizontal="justify"/>
    </xf>
    <xf numFmtId="0" fontId="8" fillId="0" borderId="1" xfId="0" applyFont="1" applyBorder="1"/>
    <xf numFmtId="0" fontId="8" fillId="0" borderId="0" xfId="0" applyFont="1" applyBorder="1"/>
    <xf numFmtId="0" fontId="7" fillId="0" borderId="0" xfId="0" applyFont="1" applyAlignment="1">
      <alignment vertical="center"/>
    </xf>
    <xf numFmtId="0" fontId="10" fillId="0" borderId="0" xfId="0" applyFont="1" applyAlignment="1">
      <alignment vertical="center"/>
    </xf>
    <xf numFmtId="0" fontId="7" fillId="0" borderId="0" xfId="0" applyFont="1" applyAlignment="1">
      <alignment vertical="center" wrapText="1"/>
    </xf>
    <xf numFmtId="0" fontId="10" fillId="0" borderId="0" xfId="0" applyFont="1"/>
    <xf numFmtId="0" fontId="7" fillId="0" borderId="0" xfId="0" applyFont="1" applyBorder="1" applyAlignment="1">
      <alignment vertical="center"/>
    </xf>
    <xf numFmtId="0" fontId="4" fillId="0" borderId="0" xfId="0" applyFont="1" applyAlignment="1">
      <alignment horizontal="center"/>
    </xf>
    <xf numFmtId="0" fontId="0" fillId="0" borderId="0" xfId="0" applyAlignment="1">
      <alignment horizontal="left"/>
    </xf>
    <xf numFmtId="49" fontId="16" fillId="0" borderId="0" xfId="0" applyNumberFormat="1" applyFont="1" applyFill="1" applyBorder="1" applyAlignment="1"/>
    <xf numFmtId="0" fontId="18" fillId="0" borderId="0" xfId="0" applyFont="1" applyAlignment="1">
      <alignment horizontal="left"/>
    </xf>
    <xf numFmtId="0" fontId="0" fillId="0" borderId="0" xfId="0" applyFill="1"/>
    <xf numFmtId="0" fontId="0" fillId="0" borderId="1" xfId="0" applyFill="1" applyBorder="1"/>
    <xf numFmtId="0" fontId="20" fillId="0" borderId="0" xfId="0" applyFont="1"/>
    <xf numFmtId="0" fontId="6" fillId="0" borderId="0" xfId="0" applyFont="1" applyBorder="1"/>
    <xf numFmtId="0" fontId="6" fillId="0" borderId="18" xfId="0" applyFont="1" applyBorder="1"/>
    <xf numFmtId="0" fontId="5" fillId="0" borderId="18" xfId="0" applyFont="1" applyBorder="1"/>
    <xf numFmtId="0" fontId="8" fillId="0" borderId="0" xfId="1" applyFont="1" applyBorder="1" applyAlignment="1" applyProtection="1"/>
    <xf numFmtId="0" fontId="7" fillId="0" borderId="18" xfId="0" applyFont="1" applyBorder="1"/>
    <xf numFmtId="0" fontId="10" fillId="0" borderId="18" xfId="0" applyFont="1" applyBorder="1"/>
    <xf numFmtId="0" fontId="0" fillId="0" borderId="0" xfId="0" applyAlignment="1">
      <alignment vertical="center" wrapText="1"/>
    </xf>
    <xf numFmtId="0" fontId="2" fillId="0" borderId="10" xfId="0" applyFont="1" applyFill="1" applyBorder="1" applyAlignment="1">
      <alignment horizontal="center" vertical="center"/>
    </xf>
    <xf numFmtId="0" fontId="0" fillId="0" borderId="0" xfId="0" applyAlignment="1">
      <alignment vertical="center"/>
    </xf>
    <xf numFmtId="0" fontId="8" fillId="0" borderId="10" xfId="0" applyFont="1" applyFill="1" applyBorder="1" applyAlignment="1">
      <alignment horizontal="center" vertical="center"/>
    </xf>
    <xf numFmtId="0" fontId="18" fillId="0" borderId="0" xfId="0" applyFont="1" applyAlignment="1">
      <alignment horizontal="left" vertical="center"/>
    </xf>
    <xf numFmtId="0" fontId="8" fillId="0" borderId="10" xfId="0" applyFont="1" applyBorder="1" applyAlignment="1">
      <alignment vertical="center" wrapText="1"/>
    </xf>
    <xf numFmtId="0" fontId="8" fillId="0" borderId="0" xfId="0" applyFont="1" applyAlignment="1">
      <alignment vertical="center" wrapText="1"/>
    </xf>
    <xf numFmtId="0" fontId="11" fillId="0" borderId="1" xfId="0" applyNumberFormat="1" applyFont="1" applyBorder="1" applyAlignment="1">
      <alignment horizontal="left" vertical="center"/>
    </xf>
    <xf numFmtId="0" fontId="16" fillId="0" borderId="0" xfId="0" applyFont="1" applyFill="1"/>
    <xf numFmtId="0" fontId="16" fillId="0" borderId="3" xfId="0" applyFont="1" applyFill="1" applyBorder="1"/>
    <xf numFmtId="0" fontId="17" fillId="0" borderId="4" xfId="0" applyFont="1" applyFill="1" applyBorder="1"/>
    <xf numFmtId="0" fontId="17" fillId="0" borderId="5" xfId="0" applyFont="1" applyFill="1" applyBorder="1"/>
    <xf numFmtId="0" fontId="0" fillId="0" borderId="6" xfId="0" applyFill="1" applyBorder="1"/>
    <xf numFmtId="0" fontId="0" fillId="0" borderId="0" xfId="0" applyFill="1" applyBorder="1"/>
    <xf numFmtId="0" fontId="0" fillId="0" borderId="9" xfId="0" applyFill="1" applyBorder="1"/>
    <xf numFmtId="0" fontId="24" fillId="0" borderId="15" xfId="0" applyFont="1" applyFill="1" applyBorder="1" applyAlignment="1"/>
    <xf numFmtId="0" fontId="6" fillId="0" borderId="0" xfId="0" applyFont="1" applyFill="1" applyBorder="1"/>
    <xf numFmtId="0" fontId="0" fillId="0" borderId="18" xfId="0" applyFill="1" applyBorder="1"/>
    <xf numFmtId="0" fontId="17" fillId="0" borderId="0" xfId="0" applyFont="1"/>
    <xf numFmtId="0" fontId="19" fillId="0" borderId="36" xfId="0" applyFont="1" applyBorder="1" applyAlignment="1">
      <alignment horizontal="center" vertical="center"/>
    </xf>
    <xf numFmtId="0" fontId="19" fillId="0" borderId="37" xfId="0" applyFont="1" applyBorder="1" applyAlignment="1">
      <alignment horizontal="center" vertical="center"/>
    </xf>
    <xf numFmtId="0" fontId="0" fillId="0" borderId="0" xfId="0" applyAlignment="1">
      <alignment horizontal="left" vertical="center" wrapText="1"/>
    </xf>
    <xf numFmtId="14" fontId="29" fillId="0" borderId="0" xfId="0" applyNumberFormat="1" applyFont="1" applyFill="1"/>
    <xf numFmtId="14" fontId="11" fillId="0" borderId="0" xfId="0" applyNumberFormat="1" applyFont="1"/>
    <xf numFmtId="0" fontId="19" fillId="0" borderId="10" xfId="0" applyFont="1" applyBorder="1" applyAlignment="1">
      <alignment vertical="center" wrapText="1"/>
    </xf>
    <xf numFmtId="14" fontId="1" fillId="0" borderId="10" xfId="0" applyNumberFormat="1" applyFont="1" applyBorder="1" applyAlignment="1">
      <alignment horizontal="left" vertical="center"/>
    </xf>
    <xf numFmtId="0" fontId="19" fillId="0" borderId="0" xfId="0" applyFont="1"/>
    <xf numFmtId="0" fontId="8" fillId="0" borderId="7" xfId="0" applyNumberFormat="1" applyFont="1" applyFill="1" applyBorder="1"/>
    <xf numFmtId="0" fontId="5" fillId="0" borderId="0" xfId="0" applyFont="1" applyAlignment="1">
      <alignment vertical="center"/>
    </xf>
    <xf numFmtId="0" fontId="9" fillId="0" borderId="10" xfId="0" applyFont="1" applyFill="1" applyBorder="1" applyAlignment="1">
      <alignment vertical="center" wrapText="1"/>
    </xf>
    <xf numFmtId="0" fontId="8" fillId="0" borderId="0" xfId="0" applyFont="1" applyAlignment="1">
      <alignment vertical="center"/>
    </xf>
    <xf numFmtId="0" fontId="16" fillId="0" borderId="7" xfId="0" applyNumberFormat="1" applyFont="1" applyFill="1" applyBorder="1" applyAlignment="1"/>
    <xf numFmtId="0" fontId="16" fillId="0" borderId="0" xfId="0" applyNumberFormat="1" applyFont="1" applyFill="1" applyBorder="1" applyAlignment="1"/>
    <xf numFmtId="0" fontId="0" fillId="0" borderId="6" xfId="0" applyNumberFormat="1" applyFill="1" applyBorder="1"/>
    <xf numFmtId="0" fontId="0" fillId="0" borderId="0" xfId="0" applyNumberFormat="1" applyFill="1" applyBorder="1"/>
    <xf numFmtId="0" fontId="0" fillId="0" borderId="0" xfId="0" applyNumberFormat="1" applyFill="1"/>
    <xf numFmtId="0" fontId="0" fillId="0" borderId="1" xfId="0" applyNumberFormat="1" applyFill="1" applyBorder="1"/>
    <xf numFmtId="0" fontId="0" fillId="0" borderId="9" xfId="0" applyNumberFormat="1" applyFill="1" applyBorder="1"/>
    <xf numFmtId="0" fontId="1" fillId="0" borderId="2" xfId="0" applyFont="1" applyBorder="1" applyAlignment="1">
      <alignment horizontal="left" vertical="center"/>
    </xf>
    <xf numFmtId="0" fontId="1" fillId="0" borderId="13" xfId="0" applyFont="1" applyBorder="1" applyAlignment="1">
      <alignment horizontal="left" vertical="center"/>
    </xf>
    <xf numFmtId="0" fontId="22" fillId="0" borderId="10" xfId="0" applyFont="1" applyFill="1" applyBorder="1" applyAlignment="1">
      <alignment horizontal="center" vertical="center" wrapText="1"/>
    </xf>
    <xf numFmtId="0" fontId="32" fillId="0" borderId="10" xfId="0" applyFont="1" applyFill="1" applyBorder="1" applyAlignment="1">
      <alignment horizontal="center" vertical="center"/>
    </xf>
    <xf numFmtId="0" fontId="19" fillId="0" borderId="0" xfId="0" applyFont="1" applyAlignment="1">
      <alignment vertical="center"/>
    </xf>
    <xf numFmtId="0" fontId="19" fillId="0" borderId="10" xfId="0" applyFont="1" applyBorder="1" applyAlignment="1">
      <alignment wrapText="1"/>
    </xf>
    <xf numFmtId="0" fontId="19" fillId="0" borderId="10" xfId="0" applyFont="1" applyBorder="1" applyAlignment="1">
      <alignment horizontal="left" wrapText="1"/>
    </xf>
    <xf numFmtId="0" fontId="16" fillId="0" borderId="4" xfId="0" applyFont="1" applyBorder="1"/>
    <xf numFmtId="0" fontId="20" fillId="0" borderId="0" xfId="0" applyFont="1" applyAlignment="1">
      <alignment horizontal="center" vertical="center"/>
    </xf>
    <xf numFmtId="0" fontId="1" fillId="0" borderId="20" xfId="0" applyFont="1" applyBorder="1" applyAlignment="1">
      <alignment horizontal="left" vertical="center"/>
    </xf>
    <xf numFmtId="0" fontId="19" fillId="0" borderId="20" xfId="0" applyFont="1" applyBorder="1" applyAlignment="1">
      <alignment horizontal="center" vertical="center"/>
    </xf>
    <xf numFmtId="0" fontId="19" fillId="0" borderId="2" xfId="0" applyFont="1" applyBorder="1" applyAlignment="1">
      <alignment horizontal="center" vertical="center"/>
    </xf>
    <xf numFmtId="0" fontId="19" fillId="0" borderId="35" xfId="0" applyFont="1" applyBorder="1" applyAlignment="1">
      <alignment horizontal="center" vertical="center"/>
    </xf>
    <xf numFmtId="0" fontId="16" fillId="0" borderId="3" xfId="0" applyNumberFormat="1" applyFont="1" applyFill="1" applyBorder="1"/>
    <xf numFmtId="0" fontId="9" fillId="0" borderId="10" xfId="0" applyFont="1" applyFill="1" applyBorder="1" applyAlignment="1">
      <alignment horizontal="center" vertical="center" wrapText="1"/>
    </xf>
    <xf numFmtId="14" fontId="39" fillId="0" borderId="13" xfId="0" applyNumberFormat="1" applyFont="1" applyBorder="1" applyAlignment="1">
      <alignment horizontal="center" vertical="center"/>
    </xf>
    <xf numFmtId="0" fontId="40" fillId="0" borderId="10" xfId="0" applyFont="1" applyFill="1" applyBorder="1" applyAlignment="1">
      <alignment horizontal="left" vertical="center"/>
    </xf>
    <xf numFmtId="0" fontId="8" fillId="0" borderId="10" xfId="0" applyFont="1" applyBorder="1" applyAlignment="1">
      <alignment vertical="center"/>
    </xf>
    <xf numFmtId="0" fontId="41" fillId="0" borderId="0" xfId="0" applyFont="1"/>
    <xf numFmtId="0" fontId="41" fillId="0" borderId="0" xfId="0" applyFont="1" applyAlignment="1">
      <alignment horizontal="left"/>
    </xf>
    <xf numFmtId="0" fontId="41" fillId="0" borderId="0" xfId="0" applyFont="1" applyAlignment="1">
      <alignment horizontal="center"/>
    </xf>
    <xf numFmtId="0" fontId="42" fillId="0" borderId="0" xfId="0" applyFont="1"/>
    <xf numFmtId="0" fontId="41" fillId="0" borderId="0" xfId="0" applyFont="1" applyAlignment="1">
      <alignment horizontal="center" vertical="center"/>
    </xf>
    <xf numFmtId="0" fontId="41" fillId="0" borderId="0" xfId="0" applyFont="1" applyAlignment="1">
      <alignment vertical="center"/>
    </xf>
    <xf numFmtId="0" fontId="40" fillId="2" borderId="10" xfId="0" applyFont="1" applyFill="1" applyBorder="1" applyAlignment="1">
      <alignment horizontal="left" vertical="center"/>
    </xf>
    <xf numFmtId="0" fontId="44" fillId="0" borderId="20" xfId="0" applyFont="1" applyBorder="1" applyAlignment="1">
      <alignment vertical="center"/>
    </xf>
    <xf numFmtId="0" fontId="44" fillId="0" borderId="2" xfId="0" applyFont="1" applyBorder="1" applyAlignment="1">
      <alignment vertical="center" wrapText="1"/>
    </xf>
    <xf numFmtId="0" fontId="44" fillId="0" borderId="13" xfId="0" applyFont="1" applyBorder="1" applyAlignment="1">
      <alignment vertical="center" wrapText="1"/>
    </xf>
    <xf numFmtId="49" fontId="55" fillId="0" borderId="15" xfId="3" applyNumberFormat="1" applyFont="1" applyBorder="1" applyAlignment="1">
      <alignment vertical="top"/>
    </xf>
    <xf numFmtId="49" fontId="55" fillId="0" borderId="19" xfId="3" applyNumberFormat="1" applyFont="1" applyBorder="1" applyAlignment="1">
      <alignment vertical="top"/>
    </xf>
    <xf numFmtId="0" fontId="5" fillId="0" borderId="0" xfId="2" applyFont="1"/>
    <xf numFmtId="0" fontId="6" fillId="0" borderId="0" xfId="2" applyFont="1"/>
    <xf numFmtId="0" fontId="6" fillId="0" borderId="0" xfId="2" applyFont="1" applyAlignment="1">
      <alignment wrapText="1"/>
    </xf>
    <xf numFmtId="176" fontId="11" fillId="0" borderId="18" xfId="2" applyNumberFormat="1" applyFont="1" applyBorder="1" applyAlignment="1">
      <alignment horizontal="left"/>
    </xf>
    <xf numFmtId="0" fontId="6" fillId="0" borderId="0" xfId="2" applyFont="1" applyFill="1"/>
    <xf numFmtId="0" fontId="6" fillId="0" borderId="0" xfId="2" applyFont="1" applyBorder="1"/>
    <xf numFmtId="0" fontId="6" fillId="0" borderId="1" xfId="2" applyFont="1" applyBorder="1"/>
    <xf numFmtId="14" fontId="6" fillId="0" borderId="0" xfId="2" applyNumberFormat="1" applyFont="1" applyFill="1" applyAlignment="1">
      <alignment horizontal="justify"/>
    </xf>
    <xf numFmtId="0" fontId="13" fillId="0" borderId="0" xfId="1" applyAlignment="1" applyProtection="1"/>
    <xf numFmtId="49" fontId="16" fillId="2" borderId="7" xfId="0" applyNumberFormat="1" applyFont="1" applyFill="1" applyBorder="1" applyAlignment="1"/>
    <xf numFmtId="0" fontId="8" fillId="2" borderId="7" xfId="0" applyFont="1" applyFill="1" applyBorder="1"/>
    <xf numFmtId="0" fontId="20" fillId="2" borderId="7" xfId="0" applyFont="1" applyFill="1" applyBorder="1"/>
    <xf numFmtId="0" fontId="13" fillId="2" borderId="0" xfId="1" applyFill="1" applyAlignment="1" applyProtection="1"/>
    <xf numFmtId="0" fontId="54" fillId="3" borderId="0" xfId="4" applyFill="1" applyAlignment="1">
      <alignment vertical="center"/>
    </xf>
    <xf numFmtId="0" fontId="54" fillId="0" borderId="0" xfId="4"/>
    <xf numFmtId="49" fontId="16" fillId="0" borderId="7" xfId="4" applyNumberFormat="1" applyFont="1" applyBorder="1"/>
    <xf numFmtId="49" fontId="16" fillId="0" borderId="0" xfId="4" applyNumberFormat="1" applyFont="1" applyBorder="1"/>
    <xf numFmtId="0" fontId="8" fillId="0" borderId="7" xfId="4" applyFont="1" applyBorder="1"/>
    <xf numFmtId="0" fontId="8" fillId="0" borderId="0" xfId="4" applyFont="1" applyBorder="1"/>
    <xf numFmtId="0" fontId="59" fillId="0" borderId="0" xfId="4" applyFont="1"/>
    <xf numFmtId="0" fontId="2" fillId="0" borderId="8" xfId="4" applyFont="1" applyBorder="1"/>
    <xf numFmtId="0" fontId="2" fillId="0" borderId="0" xfId="4" applyFont="1" applyBorder="1"/>
    <xf numFmtId="49" fontId="16" fillId="0" borderId="7" xfId="4" applyNumberFormat="1" applyFont="1" applyFill="1" applyBorder="1" applyAlignment="1"/>
    <xf numFmtId="49" fontId="16" fillId="0" borderId="0" xfId="4" applyNumberFormat="1" applyFont="1" applyFill="1" applyBorder="1" applyAlignment="1"/>
    <xf numFmtId="0" fontId="8" fillId="0" borderId="7" xfId="4" applyFont="1" applyFill="1" applyBorder="1"/>
    <xf numFmtId="0" fontId="2" fillId="0" borderId="8" xfId="4" applyFont="1" applyFill="1" applyBorder="1"/>
    <xf numFmtId="0" fontId="61" fillId="0" borderId="0" xfId="4" applyFont="1"/>
    <xf numFmtId="0" fontId="62" fillId="0" borderId="0" xfId="4" applyFont="1"/>
    <xf numFmtId="0" fontId="54" fillId="0" borderId="0" xfId="4" applyAlignment="1">
      <alignment wrapText="1"/>
    </xf>
    <xf numFmtId="49" fontId="16" fillId="0" borderId="7" xfId="2" applyNumberFormat="1" applyFont="1" applyFill="1" applyBorder="1" applyAlignment="1"/>
    <xf numFmtId="0" fontId="8" fillId="0" borderId="7" xfId="2" applyFont="1" applyFill="1" applyBorder="1"/>
    <xf numFmtId="0" fontId="2" fillId="0" borderId="8" xfId="2" applyFont="1" applyFill="1" applyBorder="1"/>
    <xf numFmtId="0" fontId="41" fillId="0" borderId="0" xfId="0" applyFont="1" applyAlignment="1">
      <alignment horizontal="center" vertical="center"/>
    </xf>
    <xf numFmtId="49" fontId="55" fillId="0" borderId="15" xfId="3" applyNumberFormat="1" applyFont="1" applyBorder="1" applyAlignment="1">
      <alignment horizontal="left" vertical="top"/>
    </xf>
    <xf numFmtId="49" fontId="55" fillId="0" borderId="19" xfId="3" applyNumberFormat="1" applyFont="1" applyBorder="1" applyAlignment="1">
      <alignment horizontal="left" vertical="top"/>
    </xf>
    <xf numFmtId="49" fontId="55" fillId="0" borderId="21" xfId="3" applyNumberFormat="1" applyFont="1" applyBorder="1" applyAlignment="1">
      <alignment horizontal="left" vertical="top"/>
    </xf>
    <xf numFmtId="49" fontId="36" fillId="0" borderId="0" xfId="3" applyNumberFormat="1" applyFont="1" applyAlignment="1">
      <alignment horizontal="left" vertical="top"/>
    </xf>
    <xf numFmtId="49" fontId="55" fillId="0" borderId="0" xfId="3" applyNumberFormat="1" applyFont="1" applyAlignment="1">
      <alignment horizontal="left" vertical="top"/>
    </xf>
    <xf numFmtId="49" fontId="55" fillId="0" borderId="0" xfId="3" applyNumberFormat="1" applyFont="1" applyAlignment="1">
      <alignment horizontal="right" vertical="top"/>
    </xf>
    <xf numFmtId="49" fontId="36" fillId="0" borderId="19" xfId="3" applyNumberFormat="1" applyFont="1" applyBorder="1" applyAlignment="1">
      <alignment horizontal="left" vertical="top"/>
    </xf>
    <xf numFmtId="49" fontId="36" fillId="0" borderId="21" xfId="3" applyNumberFormat="1" applyFont="1" applyBorder="1" applyAlignment="1">
      <alignment horizontal="right" vertical="top"/>
    </xf>
    <xf numFmtId="49" fontId="55" fillId="0" borderId="21" xfId="3" applyNumberFormat="1" applyFont="1" applyBorder="1" applyAlignment="1">
      <alignment horizontal="right" vertical="top"/>
    </xf>
    <xf numFmtId="49" fontId="65" fillId="0" borderId="15" xfId="3" applyNumberFormat="1" applyFont="1" applyBorder="1" applyAlignment="1">
      <alignment horizontal="center" vertical="center"/>
    </xf>
    <xf numFmtId="49" fontId="65" fillId="0" borderId="0" xfId="3" applyNumberFormat="1" applyFont="1" applyAlignment="1">
      <alignment horizontal="center" vertical="center"/>
    </xf>
    <xf numFmtId="0" fontId="36" fillId="0" borderId="0" xfId="3" applyNumberFormat="1" applyFont="1" applyAlignment="1">
      <alignment horizontal="left" vertical="top"/>
    </xf>
    <xf numFmtId="49" fontId="55" fillId="0" borderId="54" xfId="3" applyNumberFormat="1" applyFont="1" applyBorder="1" applyAlignment="1">
      <alignment horizontal="left" vertical="top"/>
    </xf>
    <xf numFmtId="49" fontId="55" fillId="0" borderId="50" xfId="3" applyNumberFormat="1" applyFont="1" applyBorder="1" applyAlignment="1">
      <alignment horizontal="left" vertical="top"/>
    </xf>
    <xf numFmtId="49" fontId="55" fillId="0" borderId="52" xfId="3" applyNumberFormat="1" applyFont="1" applyBorder="1" applyAlignment="1">
      <alignment horizontal="left" vertical="top"/>
    </xf>
    <xf numFmtId="49" fontId="36" fillId="0" borderId="16" xfId="3" applyNumberFormat="1" applyFont="1" applyBorder="1" applyAlignment="1">
      <alignment horizontal="left" vertical="top"/>
    </xf>
    <xf numFmtId="49" fontId="55" fillId="0" borderId="0" xfId="3" applyNumberFormat="1" applyFont="1" applyBorder="1" applyAlignment="1">
      <alignment horizontal="left" vertical="top"/>
    </xf>
    <xf numFmtId="49" fontId="36" fillId="0" borderId="0" xfId="3" applyNumberFormat="1" applyFont="1" applyBorder="1" applyAlignment="1">
      <alignment horizontal="left" vertical="top"/>
    </xf>
    <xf numFmtId="49" fontId="55" fillId="0" borderId="17" xfId="3" applyNumberFormat="1" applyFont="1" applyBorder="1" applyAlignment="1">
      <alignment horizontal="left" vertical="top"/>
    </xf>
    <xf numFmtId="49" fontId="55" fillId="0" borderId="16" xfId="3" applyNumberFormat="1" applyFont="1" applyBorder="1" applyAlignment="1">
      <alignment horizontal="left" vertical="top"/>
    </xf>
    <xf numFmtId="49" fontId="55" fillId="0" borderId="22" xfId="3" applyNumberFormat="1" applyFont="1" applyBorder="1" applyAlignment="1">
      <alignment horizontal="left" vertical="top"/>
    </xf>
    <xf numFmtId="49" fontId="55" fillId="0" borderId="18" xfId="3" applyNumberFormat="1" applyFont="1" applyBorder="1" applyAlignment="1">
      <alignment horizontal="left" vertical="top"/>
    </xf>
    <xf numFmtId="49" fontId="36" fillId="0" borderId="18" xfId="3" applyNumberFormat="1" applyFont="1" applyBorder="1" applyAlignment="1">
      <alignment horizontal="left" vertical="top"/>
    </xf>
    <xf numFmtId="49" fontId="55" fillId="0" borderId="23" xfId="3" applyNumberFormat="1" applyFont="1" applyBorder="1" applyAlignment="1">
      <alignment horizontal="left" vertical="top"/>
    </xf>
    <xf numFmtId="0" fontId="61" fillId="0" borderId="0" xfId="0" applyFont="1"/>
    <xf numFmtId="0" fontId="36" fillId="0" borderId="54" xfId="3" applyNumberFormat="1" applyFont="1" applyBorder="1" applyAlignment="1">
      <alignment horizontal="center" vertical="center"/>
    </xf>
    <xf numFmtId="0" fontId="66" fillId="0" borderId="50" xfId="3" applyNumberFormat="1" applyFont="1" applyBorder="1" applyAlignment="1">
      <alignment horizontal="center" vertical="center"/>
    </xf>
    <xf numFmtId="180" fontId="36" fillId="0" borderId="50" xfId="3" applyNumberFormat="1" applyFont="1" applyBorder="1" applyAlignment="1">
      <alignment horizontal="center" vertical="center"/>
    </xf>
    <xf numFmtId="0" fontId="66" fillId="0" borderId="50" xfId="3" applyNumberFormat="1" applyFont="1" applyBorder="1" applyAlignment="1">
      <alignment horizontal="center" vertical="center" wrapText="1"/>
    </xf>
    <xf numFmtId="0" fontId="36" fillId="0" borderId="0" xfId="3" applyNumberFormat="1" applyFont="1" applyAlignment="1">
      <alignment horizontal="center" vertical="center"/>
    </xf>
    <xf numFmtId="180" fontId="68" fillId="0" borderId="50" xfId="3" applyNumberFormat="1" applyFont="1" applyBorder="1" applyAlignment="1">
      <alignment horizontal="center" vertical="center"/>
    </xf>
    <xf numFmtId="0" fontId="4" fillId="0" borderId="0" xfId="0" applyFont="1" applyAlignment="1">
      <alignment vertical="center"/>
    </xf>
    <xf numFmtId="0" fontId="0" fillId="5" borderId="10" xfId="0" applyFill="1" applyBorder="1" applyAlignment="1">
      <alignment horizontal="left"/>
    </xf>
    <xf numFmtId="0" fontId="8" fillId="5" borderId="10" xfId="0" applyFont="1" applyFill="1" applyBorder="1" applyAlignment="1">
      <alignment horizontal="left" vertical="center"/>
    </xf>
    <xf numFmtId="0" fontId="8" fillId="5" borderId="10" xfId="0" applyFont="1" applyFill="1" applyBorder="1" applyAlignment="1">
      <alignment horizontal="right" vertical="center"/>
    </xf>
    <xf numFmtId="0" fontId="19" fillId="5" borderId="10" xfId="0" applyFont="1" applyFill="1" applyBorder="1" applyAlignment="1">
      <alignment horizontal="left" vertical="center"/>
    </xf>
    <xf numFmtId="0" fontId="62" fillId="0" borderId="0" xfId="0" applyFont="1"/>
    <xf numFmtId="0" fontId="20" fillId="0" borderId="0" xfId="0" applyFont="1" applyAlignment="1">
      <alignment horizontal="left"/>
    </xf>
    <xf numFmtId="0" fontId="54" fillId="0" borderId="0" xfId="4" quotePrefix="1" applyAlignment="1">
      <alignment horizontal="left"/>
    </xf>
    <xf numFmtId="0" fontId="1" fillId="0" borderId="2" xfId="0" applyFont="1" applyBorder="1" applyAlignment="1">
      <alignment horizontal="left" vertical="center"/>
    </xf>
    <xf numFmtId="0" fontId="1" fillId="0" borderId="13" xfId="0" applyFont="1" applyBorder="1" applyAlignment="1">
      <alignment horizontal="left" vertical="center"/>
    </xf>
    <xf numFmtId="49" fontId="54" fillId="0" borderId="0" xfId="4" applyNumberFormat="1"/>
    <xf numFmtId="0" fontId="9" fillId="0" borderId="15" xfId="0" applyFont="1" applyFill="1" applyBorder="1"/>
    <xf numFmtId="0" fontId="9" fillId="0" borderId="19" xfId="0" applyFont="1" applyFill="1" applyBorder="1"/>
    <xf numFmtId="0" fontId="2" fillId="0" borderId="19" xfId="0" applyFont="1" applyFill="1" applyBorder="1" applyAlignment="1"/>
    <xf numFmtId="0" fontId="0" fillId="0" borderId="23" xfId="0" applyFill="1" applyBorder="1"/>
    <xf numFmtId="0" fontId="1" fillId="0" borderId="20" xfId="0" applyFont="1" applyBorder="1" applyAlignment="1">
      <alignment vertical="center"/>
    </xf>
    <xf numFmtId="0" fontId="1" fillId="0" borderId="2" xfId="0" applyFont="1" applyBorder="1" applyAlignment="1">
      <alignment vertical="center"/>
    </xf>
    <xf numFmtId="0" fontId="1" fillId="0" borderId="13" xfId="0" applyFont="1" applyBorder="1" applyAlignment="1">
      <alignment vertical="center"/>
    </xf>
    <xf numFmtId="0" fontId="34" fillId="0" borderId="10" xfId="0" applyFont="1" applyBorder="1" applyAlignment="1">
      <alignment horizontal="center" vertical="center"/>
    </xf>
    <xf numFmtId="177" fontId="38" fillId="0" borderId="10" xfId="0" applyNumberFormat="1" applyFont="1" applyFill="1" applyBorder="1" applyAlignment="1">
      <alignment horizontal="center" vertical="center"/>
    </xf>
    <xf numFmtId="0" fontId="34" fillId="0" borderId="0" xfId="0" applyFont="1" applyBorder="1" applyAlignment="1">
      <alignment vertical="center"/>
    </xf>
    <xf numFmtId="0" fontId="6" fillId="0" borderId="0" xfId="0" applyFont="1" applyFill="1" applyBorder="1" applyAlignment="1">
      <alignment wrapText="1"/>
    </xf>
    <xf numFmtId="49" fontId="41" fillId="0" borderId="0" xfId="0" applyNumberFormat="1" applyFont="1"/>
    <xf numFmtId="0" fontId="1" fillId="0" borderId="2" xfId="0" applyFont="1" applyBorder="1" applyAlignment="1">
      <alignment horizontal="left" vertical="center"/>
    </xf>
    <xf numFmtId="0" fontId="1" fillId="0" borderId="2" xfId="0" applyFont="1" applyBorder="1" applyAlignment="1">
      <alignment horizontal="left" vertical="center"/>
    </xf>
    <xf numFmtId="0" fontId="54" fillId="0" borderId="0" xfId="3"/>
    <xf numFmtId="181" fontId="54" fillId="0" borderId="0" xfId="3" applyNumberFormat="1"/>
    <xf numFmtId="0" fontId="66" fillId="0" borderId="50" xfId="3" applyNumberFormat="1" applyFont="1" applyBorder="1" applyAlignment="1">
      <alignment horizontal="center" vertical="center" wrapText="1"/>
    </xf>
    <xf numFmtId="0" fontId="41" fillId="0" borderId="0" xfId="0" applyFont="1" applyAlignment="1">
      <alignment horizontal="center" vertical="center"/>
    </xf>
    <xf numFmtId="0" fontId="1" fillId="0" borderId="2" xfId="0" applyFont="1" applyBorder="1" applyAlignment="1">
      <alignment horizontal="left" vertical="center"/>
    </xf>
    <xf numFmtId="0" fontId="19" fillId="0" borderId="20" xfId="0" applyFont="1" applyBorder="1" applyAlignment="1">
      <alignment horizontal="center" vertical="center"/>
    </xf>
    <xf numFmtId="0" fontId="19" fillId="0" borderId="2" xfId="0" applyFont="1" applyBorder="1" applyAlignment="1">
      <alignment horizontal="center" vertical="center"/>
    </xf>
    <xf numFmtId="0" fontId="19" fillId="0" borderId="35" xfId="0" applyFont="1" applyBorder="1" applyAlignment="1">
      <alignment horizontal="center" vertical="center"/>
    </xf>
    <xf numFmtId="0" fontId="43" fillId="0" borderId="0" xfId="0" applyFont="1" applyAlignment="1"/>
    <xf numFmtId="49" fontId="16" fillId="0" borderId="0" xfId="0" applyNumberFormat="1" applyFont="1" applyBorder="1"/>
    <xf numFmtId="0" fontId="35" fillId="0" borderId="0" xfId="0" applyFont="1" applyBorder="1"/>
    <xf numFmtId="0" fontId="8" fillId="0" borderId="8" xfId="0" applyNumberFormat="1" applyFont="1" applyFill="1" applyBorder="1"/>
    <xf numFmtId="0" fontId="41" fillId="0" borderId="0" xfId="0" applyFont="1" applyAlignment="1"/>
    <xf numFmtId="0" fontId="8" fillId="0" borderId="0" xfId="2" applyFont="1"/>
    <xf numFmtId="0" fontId="8" fillId="0" borderId="0" xfId="2" applyFont="1" applyBorder="1"/>
    <xf numFmtId="0" fontId="9" fillId="0" borderId="0" xfId="2" applyFont="1" applyBorder="1"/>
    <xf numFmtId="0" fontId="9" fillId="0" borderId="0" xfId="2" applyFont="1"/>
    <xf numFmtId="0" fontId="9" fillId="0" borderId="0" xfId="2" applyFont="1" applyBorder="1" applyAlignment="1">
      <alignment vertical="center" wrapText="1"/>
    </xf>
    <xf numFmtId="0" fontId="30" fillId="0" borderId="0" xfId="2" applyFont="1" applyAlignment="1">
      <alignment horizontal="left" vertical="center" wrapText="1"/>
    </xf>
    <xf numFmtId="0" fontId="30" fillId="0" borderId="0" xfId="2" applyFont="1" applyAlignment="1">
      <alignment horizontal="left" vertical="center"/>
    </xf>
    <xf numFmtId="49" fontId="8" fillId="0" borderId="0" xfId="2" applyNumberFormat="1" applyFont="1"/>
    <xf numFmtId="14" fontId="9" fillId="0" borderId="1" xfId="2" applyNumberFormat="1" applyFont="1" applyBorder="1"/>
    <xf numFmtId="0" fontId="64" fillId="0" borderId="0" xfId="0" applyFont="1" applyFill="1"/>
    <xf numFmtId="0" fontId="20" fillId="0" borderId="0" xfId="150" applyFont="1"/>
    <xf numFmtId="49" fontId="54" fillId="0" borderId="0" xfId="4" quotePrefix="1" applyNumberFormat="1" applyAlignment="1">
      <alignment horizontal="left"/>
    </xf>
    <xf numFmtId="49" fontId="95" fillId="0" borderId="10" xfId="0" applyNumberFormat="1" applyFont="1" applyFill="1" applyBorder="1" applyAlignment="1">
      <alignment horizontal="left" vertical="center"/>
    </xf>
    <xf numFmtId="49" fontId="95" fillId="2" borderId="10" xfId="0" applyNumberFormat="1" applyFont="1" applyFill="1" applyBorder="1" applyAlignment="1">
      <alignment horizontal="left" vertical="center"/>
    </xf>
    <xf numFmtId="49" fontId="64" fillId="2" borderId="10" xfId="0" applyNumberFormat="1" applyFont="1" applyFill="1" applyBorder="1" applyAlignment="1">
      <alignment horizontal="left" vertical="center"/>
    </xf>
    <xf numFmtId="0" fontId="0" fillId="0" borderId="10" xfId="0" applyFont="1" applyFill="1" applyBorder="1" applyAlignment="1">
      <alignment horizontal="left"/>
    </xf>
    <xf numFmtId="0" fontId="43" fillId="0" borderId="10" xfId="0" applyFont="1" applyFill="1" applyBorder="1" applyAlignment="1">
      <alignment horizontal="left"/>
    </xf>
    <xf numFmtId="0" fontId="43" fillId="0" borderId="10" xfId="0" applyFont="1" applyFill="1" applyBorder="1" applyAlignment="1">
      <alignment horizontal="right"/>
    </xf>
    <xf numFmtId="0" fontId="97" fillId="0" borderId="0" xfId="3" applyFont="1"/>
    <xf numFmtId="0" fontId="98" fillId="0" borderId="0" xfId="3" applyFont="1"/>
    <xf numFmtId="0" fontId="99" fillId="0" borderId="0" xfId="3" applyFont="1" applyAlignment="1">
      <alignment horizontal="right"/>
    </xf>
    <xf numFmtId="0" fontId="101" fillId="0" borderId="0" xfId="3" applyFont="1"/>
    <xf numFmtId="0" fontId="102" fillId="0" borderId="0" xfId="3" applyFont="1"/>
    <xf numFmtId="0" fontId="103" fillId="0" borderId="0" xfId="3" applyFont="1"/>
    <xf numFmtId="0" fontId="104" fillId="0" borderId="0" xfId="3" applyFont="1"/>
    <xf numFmtId="0" fontId="105" fillId="0" borderId="0" xfId="3" applyFont="1"/>
    <xf numFmtId="182" fontId="106" fillId="0" borderId="0" xfId="3" applyNumberFormat="1" applyFont="1"/>
    <xf numFmtId="0" fontId="107" fillId="0" borderId="0" xfId="3" applyFont="1"/>
    <xf numFmtId="0" fontId="54" fillId="0" borderId="1" xfId="3" applyBorder="1"/>
    <xf numFmtId="0" fontId="8" fillId="31" borderId="10" xfId="0" applyFont="1" applyFill="1" applyBorder="1" applyAlignment="1">
      <alignment horizontal="left" vertical="center"/>
    </xf>
    <xf numFmtId="0" fontId="0" fillId="6" borderId="0" xfId="0" applyFill="1" applyAlignment="1">
      <alignment vertical="center"/>
    </xf>
    <xf numFmtId="0" fontId="64" fillId="0" borderId="10" xfId="0" applyFont="1" applyFill="1" applyBorder="1" applyAlignment="1">
      <alignment horizontal="right"/>
    </xf>
    <xf numFmtId="0" fontId="64" fillId="0" borderId="10" xfId="0" applyFont="1" applyFill="1" applyBorder="1" applyAlignment="1">
      <alignment horizontal="left"/>
    </xf>
    <xf numFmtId="0" fontId="0" fillId="0" borderId="0" xfId="0" applyFill="1" applyAlignment="1">
      <alignment vertical="center"/>
    </xf>
    <xf numFmtId="0" fontId="30" fillId="0" borderId="0" xfId="261" applyFont="1" applyAlignment="1">
      <alignment horizontal="left" vertical="center"/>
    </xf>
    <xf numFmtId="0" fontId="30" fillId="0" borderId="0" xfId="261" applyFont="1" applyAlignment="1">
      <alignment horizontal="left" vertical="center" wrapText="1"/>
    </xf>
    <xf numFmtId="0" fontId="9" fillId="0" borderId="0" xfId="261" applyFont="1" applyBorder="1"/>
    <xf numFmtId="0" fontId="9" fillId="0" borderId="0" xfId="261" applyFont="1" applyBorder="1" applyAlignment="1">
      <alignment vertical="center" wrapText="1"/>
    </xf>
    <xf numFmtId="0" fontId="8" fillId="0" borderId="0" xfId="261" applyFont="1" applyBorder="1"/>
    <xf numFmtId="0" fontId="61" fillId="0" borderId="10" xfId="0" applyFont="1" applyBorder="1" applyAlignment="1">
      <alignment horizontal="center"/>
    </xf>
    <xf numFmtId="0" fontId="70" fillId="7" borderId="0" xfId="0" applyFont="1" applyFill="1" applyAlignment="1">
      <alignment vertical="center"/>
    </xf>
    <xf numFmtId="178" fontId="72" fillId="7" borderId="0" xfId="0" applyNumberFormat="1" applyFont="1" applyFill="1" applyAlignment="1">
      <alignment vertical="center"/>
    </xf>
    <xf numFmtId="0" fontId="0" fillId="6" borderId="0" xfId="0" applyNumberFormat="1" applyFill="1" applyAlignment="1">
      <alignment horizontal="left" vertical="center"/>
    </xf>
    <xf numFmtId="180" fontId="70" fillId="7" borderId="0" xfId="0" applyNumberFormat="1" applyFont="1" applyFill="1" applyAlignment="1">
      <alignment horizontal="left" vertical="center"/>
    </xf>
    <xf numFmtId="14" fontId="71" fillId="6" borderId="0" xfId="0" applyNumberFormat="1" applyFont="1" applyFill="1" applyAlignment="1">
      <alignment vertical="center"/>
    </xf>
    <xf numFmtId="14" fontId="71" fillId="6" borderId="0" xfId="0" applyNumberFormat="1" applyFont="1" applyFill="1" applyAlignment="1">
      <alignment horizontal="left" vertical="center"/>
    </xf>
    <xf numFmtId="0" fontId="0" fillId="6" borderId="0" xfId="0" applyFill="1" applyAlignment="1">
      <alignment horizontal="left" vertical="center"/>
    </xf>
    <xf numFmtId="0" fontId="70" fillId="32" borderId="0" xfId="0" applyFont="1" applyFill="1" applyAlignment="1">
      <alignment vertical="center"/>
    </xf>
    <xf numFmtId="0" fontId="70" fillId="7" borderId="0" xfId="0" applyFont="1" applyFill="1" applyAlignment="1">
      <alignment horizontal="left" vertical="center"/>
    </xf>
    <xf numFmtId="181" fontId="0" fillId="0" borderId="0" xfId="0" applyNumberFormat="1"/>
    <xf numFmtId="0" fontId="0" fillId="6" borderId="0" xfId="0" applyFill="1"/>
    <xf numFmtId="0" fontId="0" fillId="4" borderId="0" xfId="0" applyFill="1"/>
    <xf numFmtId="181" fontId="0" fillId="4" borderId="0" xfId="0" applyNumberFormat="1" applyFill="1"/>
    <xf numFmtId="0" fontId="66" fillId="0" borderId="50" xfId="3" applyNumberFormat="1" applyFont="1" applyBorder="1" applyAlignment="1">
      <alignment horizontal="center" vertical="center"/>
    </xf>
    <xf numFmtId="0" fontId="9" fillId="0" borderId="10" xfId="0" applyFont="1" applyFill="1" applyBorder="1" applyAlignment="1">
      <alignment horizontal="center" vertical="center" wrapText="1"/>
    </xf>
    <xf numFmtId="0" fontId="66" fillId="0" borderId="50" xfId="3" applyNumberFormat="1" applyFont="1" applyBorder="1" applyAlignment="1">
      <alignment horizontal="center" vertical="center"/>
    </xf>
    <xf numFmtId="0" fontId="66" fillId="0" borderId="50" xfId="3" applyNumberFormat="1" applyFont="1" applyBorder="1" applyAlignment="1">
      <alignment horizontal="center" vertical="center" wrapText="1"/>
    </xf>
    <xf numFmtId="49" fontId="36" fillId="0" borderId="18" xfId="3" applyNumberFormat="1" applyFont="1" applyBorder="1" applyAlignment="1">
      <alignment horizontal="left" vertical="top"/>
    </xf>
    <xf numFmtId="49" fontId="55" fillId="0" borderId="21" xfId="3" applyNumberFormat="1" applyFont="1" applyBorder="1" applyAlignment="1">
      <alignment horizontal="right" vertical="top"/>
    </xf>
    <xf numFmtId="49" fontId="55" fillId="0" borderId="15" xfId="3" applyNumberFormat="1" applyFont="1" applyBorder="1" applyAlignment="1">
      <alignment horizontal="left" vertical="top"/>
    </xf>
    <xf numFmtId="49" fontId="55" fillId="0" borderId="19" xfId="3" applyNumberFormat="1" applyFont="1" applyBorder="1" applyAlignment="1">
      <alignment horizontal="left" vertical="top"/>
    </xf>
    <xf numFmtId="49" fontId="55" fillId="0" borderId="21" xfId="3" applyNumberFormat="1" applyFont="1" applyBorder="1" applyAlignment="1">
      <alignment horizontal="left" vertical="top"/>
    </xf>
    <xf numFmtId="49" fontId="55" fillId="0" borderId="0" xfId="3" applyNumberFormat="1" applyFont="1" applyBorder="1" applyAlignment="1">
      <alignment horizontal="left" vertical="top"/>
    </xf>
    <xf numFmtId="49" fontId="55" fillId="0" borderId="22" xfId="3" applyNumberFormat="1" applyFont="1" applyBorder="1" applyAlignment="1">
      <alignment horizontal="left" vertical="top"/>
    </xf>
    <xf numFmtId="49" fontId="55" fillId="0" borderId="18" xfId="3" applyNumberFormat="1" applyFont="1" applyBorder="1" applyAlignment="1">
      <alignment horizontal="left" vertical="top"/>
    </xf>
    <xf numFmtId="49" fontId="55" fillId="0" borderId="23" xfId="3" applyNumberFormat="1" applyFont="1" applyBorder="1" applyAlignment="1">
      <alignment horizontal="left" vertical="top"/>
    </xf>
    <xf numFmtId="0" fontId="1" fillId="0" borderId="20" xfId="0" applyFont="1" applyBorder="1" applyAlignment="1">
      <alignment horizontal="left" vertical="center"/>
    </xf>
    <xf numFmtId="0" fontId="39" fillId="0" borderId="10" xfId="0" applyFont="1" applyFill="1" applyBorder="1" applyAlignment="1">
      <alignment horizontal="center" vertical="center"/>
    </xf>
    <xf numFmtId="183" fontId="55" fillId="0" borderId="0" xfId="3" applyNumberFormat="1" applyFont="1" applyAlignment="1">
      <alignment horizontal="left" vertical="top"/>
    </xf>
    <xf numFmtId="183" fontId="55" fillId="0" borderId="50" xfId="3" applyNumberFormat="1" applyFont="1" applyBorder="1" applyAlignment="1">
      <alignment horizontal="left" vertical="top"/>
    </xf>
    <xf numFmtId="183" fontId="55" fillId="0" borderId="19" xfId="3" applyNumberFormat="1" applyFont="1" applyBorder="1" applyAlignment="1">
      <alignment horizontal="left" vertical="top"/>
    </xf>
    <xf numFmtId="183" fontId="55" fillId="0" borderId="0" xfId="3" applyNumberFormat="1" applyFont="1" applyBorder="1" applyAlignment="1">
      <alignment horizontal="left" vertical="top"/>
    </xf>
    <xf numFmtId="183" fontId="55" fillId="0" borderId="18" xfId="3" applyNumberFormat="1" applyFont="1" applyBorder="1" applyAlignment="1">
      <alignment horizontal="left" vertical="top"/>
    </xf>
    <xf numFmtId="183" fontId="36" fillId="0" borderId="0" xfId="3" applyNumberFormat="1" applyFont="1" applyAlignment="1">
      <alignment horizontal="left" vertical="top"/>
    </xf>
    <xf numFmtId="183" fontId="68" fillId="0" borderId="50" xfId="3" applyNumberFormat="1" applyFont="1" applyBorder="1" applyAlignment="1">
      <alignment horizontal="center" vertical="center"/>
    </xf>
    <xf numFmtId="0" fontId="66" fillId="0" borderId="50" xfId="3" applyNumberFormat="1" applyFont="1" applyBorder="1" applyAlignment="1">
      <alignment horizontal="center" vertical="center"/>
    </xf>
    <xf numFmtId="183" fontId="68" fillId="0" borderId="50" xfId="3" applyNumberFormat="1" applyFont="1" applyBorder="1" applyAlignment="1">
      <alignment horizontal="center" vertical="center"/>
    </xf>
    <xf numFmtId="0" fontId="1" fillId="0" borderId="20" xfId="0" applyFont="1" applyBorder="1" applyAlignment="1">
      <alignment horizontal="left" vertical="center"/>
    </xf>
    <xf numFmtId="177" fontId="109" fillId="0" borderId="10" xfId="0" applyNumberFormat="1" applyFont="1" applyFill="1" applyBorder="1" applyAlignment="1">
      <alignment horizontal="center" vertical="center"/>
    </xf>
    <xf numFmtId="177" fontId="110" fillId="0" borderId="10" xfId="0" applyNumberFormat="1" applyFont="1" applyFill="1" applyBorder="1" applyAlignment="1">
      <alignment horizontal="center" vertical="center"/>
    </xf>
    <xf numFmtId="0" fontId="111" fillId="0" borderId="10" xfId="0" applyFont="1" applyFill="1" applyBorder="1" applyAlignment="1">
      <alignment horizontal="center" vertical="center"/>
    </xf>
    <xf numFmtId="0" fontId="39" fillId="0" borderId="13" xfId="0" applyFont="1" applyFill="1" applyBorder="1" applyAlignment="1">
      <alignment horizontal="center" vertical="center"/>
    </xf>
    <xf numFmtId="177" fontId="112" fillId="0" borderId="10" xfId="0" applyNumberFormat="1" applyFont="1" applyFill="1" applyBorder="1" applyAlignment="1">
      <alignment horizontal="center" vertical="center"/>
    </xf>
    <xf numFmtId="0" fontId="8" fillId="0" borderId="0" xfId="2" applyNumberFormat="1" applyFont="1"/>
    <xf numFmtId="183" fontId="9" fillId="0" borderId="0" xfId="2" applyNumberFormat="1" applyFont="1" applyBorder="1"/>
    <xf numFmtId="183" fontId="8" fillId="0" borderId="0" xfId="2" applyNumberFormat="1" applyFont="1"/>
    <xf numFmtId="183" fontId="9" fillId="0" borderId="0" xfId="2" applyNumberFormat="1" applyFont="1"/>
    <xf numFmtId="183" fontId="94" fillId="0" borderId="0" xfId="2" applyNumberFormat="1" applyFont="1" applyBorder="1" applyAlignment="1">
      <alignment horizontal="right"/>
    </xf>
    <xf numFmtId="183" fontId="8" fillId="0" borderId="0" xfId="2" applyNumberFormat="1" applyFont="1" applyBorder="1"/>
    <xf numFmtId="183" fontId="9" fillId="0" borderId="0" xfId="2" applyNumberFormat="1" applyFont="1" applyAlignment="1">
      <alignment horizontal="left" vertical="center" wrapText="1"/>
    </xf>
    <xf numFmtId="183" fontId="93" fillId="0" borderId="0" xfId="2" applyNumberFormat="1" applyFont="1" applyBorder="1" applyAlignment="1">
      <alignment horizontal="right"/>
    </xf>
    <xf numFmtId="183" fontId="9" fillId="0" borderId="0" xfId="2" applyNumberFormat="1" applyFont="1" applyAlignment="1">
      <alignment horizontal="left" vertical="center"/>
    </xf>
    <xf numFmtId="183" fontId="9" fillId="0" borderId="0" xfId="261" applyNumberFormat="1" applyFont="1" applyAlignment="1">
      <alignment horizontal="left"/>
    </xf>
    <xf numFmtId="183" fontId="9" fillId="0" borderId="0" xfId="261" applyNumberFormat="1" applyFont="1" applyAlignment="1">
      <alignment horizontal="left" vertical="center" wrapText="1"/>
    </xf>
    <xf numFmtId="183" fontId="9" fillId="0" borderId="0" xfId="261" applyNumberFormat="1" applyFont="1" applyBorder="1" applyAlignment="1">
      <alignment horizontal="left"/>
    </xf>
    <xf numFmtId="183" fontId="9" fillId="0" borderId="0" xfId="261" applyNumberFormat="1" applyFont="1" applyBorder="1"/>
    <xf numFmtId="183" fontId="9" fillId="0" borderId="0" xfId="261" applyNumberFormat="1" applyFont="1" applyBorder="1" applyAlignment="1">
      <alignment vertical="center" wrapText="1"/>
    </xf>
    <xf numFmtId="183" fontId="8" fillId="0" borderId="0" xfId="261" applyNumberFormat="1" applyFont="1" applyBorder="1"/>
    <xf numFmtId="183" fontId="22" fillId="0" borderId="0" xfId="261" applyNumberFormat="1" applyFont="1" applyBorder="1" applyAlignment="1">
      <alignment horizontal="left"/>
    </xf>
    <xf numFmtId="183" fontId="22" fillId="0" borderId="0" xfId="261" applyNumberFormat="1" applyFont="1" applyBorder="1" applyAlignment="1"/>
    <xf numFmtId="183" fontId="9" fillId="0" borderId="0" xfId="261" applyNumberFormat="1" applyFont="1" applyBorder="1" applyAlignment="1"/>
    <xf numFmtId="0" fontId="0" fillId="4" borderId="0" xfId="0" applyFont="1" applyFill="1"/>
    <xf numFmtId="0" fontId="43" fillId="0" borderId="0" xfId="0" applyFont="1" applyFill="1" applyAlignment="1">
      <alignment vertical="center"/>
    </xf>
    <xf numFmtId="0" fontId="0" fillId="0" borderId="0" xfId="0" applyFill="1" applyAlignment="1">
      <alignment horizontal="right" vertical="center"/>
    </xf>
    <xf numFmtId="49" fontId="0" fillId="0" borderId="0" xfId="0" applyNumberFormat="1" applyFill="1" applyAlignment="1">
      <alignment vertical="center"/>
    </xf>
    <xf numFmtId="0" fontId="70" fillId="0" borderId="0" xfId="0" applyFont="1" applyFill="1" applyAlignment="1">
      <alignment vertical="center"/>
    </xf>
    <xf numFmtId="0" fontId="92" fillId="0" borderId="0" xfId="0" applyFont="1" applyFill="1" applyAlignment="1">
      <alignment vertical="center"/>
    </xf>
    <xf numFmtId="0" fontId="113" fillId="0" borderId="0" xfId="0" applyFont="1" applyFill="1" applyAlignment="1">
      <alignment vertical="center"/>
    </xf>
    <xf numFmtId="0" fontId="1" fillId="0" borderId="20" xfId="0" applyFont="1" applyBorder="1" applyAlignment="1">
      <alignment horizontal="left" vertical="center"/>
    </xf>
    <xf numFmtId="0" fontId="1" fillId="0" borderId="2" xfId="0" applyFont="1" applyBorder="1" applyAlignment="1">
      <alignment horizontal="left" vertical="center"/>
    </xf>
    <xf numFmtId="0" fontId="19" fillId="0" borderId="20" xfId="0" applyFont="1" applyBorder="1" applyAlignment="1">
      <alignment horizontal="center" vertical="center"/>
    </xf>
    <xf numFmtId="0" fontId="19" fillId="0" borderId="2" xfId="0" applyFont="1" applyBorder="1" applyAlignment="1">
      <alignment horizontal="center" vertical="center"/>
    </xf>
    <xf numFmtId="0" fontId="19" fillId="0" borderId="35" xfId="0" applyFont="1" applyBorder="1" applyAlignment="1">
      <alignment horizontal="center" vertical="center"/>
    </xf>
    <xf numFmtId="0" fontId="114" fillId="0" borderId="10" xfId="0" applyFont="1" applyFill="1" applyBorder="1" applyAlignment="1">
      <alignment horizontal="center" vertical="center" wrapText="1"/>
    </xf>
    <xf numFmtId="0" fontId="20" fillId="0" borderId="0" xfId="0" applyFont="1" applyFill="1"/>
    <xf numFmtId="0" fontId="9" fillId="0" borderId="10" xfId="0" applyFont="1" applyFill="1" applyBorder="1" applyAlignment="1">
      <alignment horizontal="center" vertical="center" wrapText="1"/>
    </xf>
    <xf numFmtId="0" fontId="1" fillId="0" borderId="20" xfId="0" applyFont="1" applyBorder="1" applyAlignment="1">
      <alignment horizontal="left" vertical="center"/>
    </xf>
    <xf numFmtId="0" fontId="1" fillId="0" borderId="2" xfId="0" applyFont="1" applyBorder="1" applyAlignment="1">
      <alignment horizontal="left" vertical="center"/>
    </xf>
    <xf numFmtId="0" fontId="19" fillId="0" borderId="20" xfId="0" applyFont="1" applyBorder="1" applyAlignment="1">
      <alignment horizontal="center" vertical="center"/>
    </xf>
    <xf numFmtId="0" fontId="19" fillId="0" borderId="2" xfId="0" applyFont="1" applyBorder="1" applyAlignment="1">
      <alignment horizontal="center" vertical="center"/>
    </xf>
    <xf numFmtId="0" fontId="19" fillId="0" borderId="35" xfId="0" applyFont="1" applyBorder="1" applyAlignment="1">
      <alignment horizontal="center" vertical="center"/>
    </xf>
    <xf numFmtId="0" fontId="20" fillId="0" borderId="0" xfId="262"/>
    <xf numFmtId="0" fontId="42" fillId="0" borderId="0" xfId="262" applyFont="1" applyAlignment="1">
      <alignment vertical="center"/>
    </xf>
    <xf numFmtId="0" fontId="49" fillId="0" borderId="0" xfId="262" applyFont="1" applyAlignment="1">
      <alignment horizontal="left" vertical="center" indent="2"/>
    </xf>
    <xf numFmtId="0" fontId="49" fillId="0" borderId="0" xfId="262" applyFont="1" applyAlignment="1">
      <alignment horizontal="justify" vertical="center"/>
    </xf>
    <xf numFmtId="0" fontId="20" fillId="0" borderId="0" xfId="262" applyFont="1" applyAlignment="1">
      <alignment vertical="center"/>
    </xf>
    <xf numFmtId="0" fontId="52" fillId="0" borderId="51" xfId="262" applyFont="1" applyBorder="1" applyAlignment="1">
      <alignment horizontal="center" vertical="center" wrapText="1"/>
    </xf>
    <xf numFmtId="0" fontId="52" fillId="0" borderId="52" xfId="262" applyFont="1" applyBorder="1" applyAlignment="1">
      <alignment horizontal="center" vertical="center" wrapText="1"/>
    </xf>
    <xf numFmtId="0" fontId="52" fillId="0" borderId="55" xfId="262" applyFont="1" applyBorder="1" applyAlignment="1">
      <alignment horizontal="center" vertical="center" wrapText="1"/>
    </xf>
    <xf numFmtId="0" fontId="53" fillId="0" borderId="23" xfId="262" applyFont="1" applyBorder="1" applyAlignment="1">
      <alignment horizontal="center" vertical="center" wrapText="1"/>
    </xf>
    <xf numFmtId="0" fontId="53" fillId="0" borderId="55" xfId="262" applyFont="1" applyBorder="1" applyAlignment="1">
      <alignment horizontal="center" vertical="center" wrapText="1"/>
    </xf>
    <xf numFmtId="0" fontId="17" fillId="0" borderId="23" xfId="262" applyFont="1" applyBorder="1" applyAlignment="1">
      <alignment horizontal="center" vertical="center" wrapText="1"/>
    </xf>
    <xf numFmtId="0" fontId="52" fillId="0" borderId="23" xfId="262" applyFont="1" applyBorder="1" applyAlignment="1">
      <alignment horizontal="center" vertical="center" wrapText="1"/>
    </xf>
    <xf numFmtId="179" fontId="52" fillId="0" borderId="23" xfId="262" applyNumberFormat="1" applyFont="1" applyBorder="1" applyAlignment="1">
      <alignment horizontal="center" vertical="center" wrapText="1"/>
    </xf>
    <xf numFmtId="0" fontId="53" fillId="0" borderId="17" xfId="262" applyFont="1" applyBorder="1" applyAlignment="1">
      <alignment horizontal="center" vertical="center" wrapText="1"/>
    </xf>
    <xf numFmtId="0" fontId="52" fillId="0" borderId="23" xfId="262" applyNumberFormat="1" applyFont="1" applyBorder="1" applyAlignment="1">
      <alignment horizontal="center" vertical="center" wrapText="1"/>
    </xf>
    <xf numFmtId="0" fontId="52" fillId="0" borderId="17" xfId="262" applyFont="1" applyBorder="1" applyAlignment="1">
      <alignment horizontal="center" vertical="center" wrapText="1"/>
    </xf>
    <xf numFmtId="0" fontId="52" fillId="0" borderId="22" xfId="262" applyFont="1" applyBorder="1" applyAlignment="1">
      <alignment horizontal="center" vertical="center" wrapText="1"/>
    </xf>
    <xf numFmtId="0" fontId="20" fillId="0" borderId="0" xfId="262" applyAlignment="1"/>
    <xf numFmtId="0" fontId="52" fillId="0" borderId="17" xfId="262" applyFont="1" applyBorder="1" applyAlignment="1">
      <alignment horizontal="justify" vertical="center" wrapText="1"/>
    </xf>
    <xf numFmtId="0" fontId="52" fillId="0" borderId="16" xfId="262" applyFont="1" applyBorder="1" applyAlignment="1">
      <alignment horizontal="justify" vertical="center" wrapText="1"/>
    </xf>
    <xf numFmtId="0" fontId="52" fillId="0" borderId="0" xfId="262" applyFont="1" applyAlignment="1">
      <alignment horizontal="justify" vertical="center" wrapText="1"/>
    </xf>
    <xf numFmtId="0" fontId="20" fillId="0" borderId="0" xfId="262" applyFont="1"/>
    <xf numFmtId="0" fontId="49" fillId="0" borderId="0" xfId="262" applyFont="1" applyAlignment="1">
      <alignment horizontal="center" vertical="center"/>
    </xf>
    <xf numFmtId="0" fontId="46" fillId="0" borderId="0" xfId="262" applyFont="1" applyAlignment="1">
      <alignment horizontal="center" vertical="center"/>
    </xf>
    <xf numFmtId="0" fontId="0" fillId="6" borderId="0" xfId="0" applyFill="1" applyAlignment="1">
      <alignment horizontal="right" vertical="center"/>
    </xf>
    <xf numFmtId="14" fontId="70" fillId="7" borderId="0" xfId="0" applyNumberFormat="1" applyFont="1" applyFill="1" applyAlignment="1">
      <alignment vertical="center"/>
    </xf>
    <xf numFmtId="0" fontId="115" fillId="0" borderId="0" xfId="0" applyFont="1" applyAlignment="1">
      <alignment horizontal="left"/>
    </xf>
    <xf numFmtId="0" fontId="20" fillId="0" borderId="0" xfId="262" applyFont="1"/>
    <xf numFmtId="0" fontId="20" fillId="0" borderId="0" xfId="262"/>
    <xf numFmtId="0" fontId="53" fillId="0" borderId="55" xfId="262" applyFont="1" applyBorder="1" applyAlignment="1">
      <alignment horizontal="center" vertical="center" wrapText="1"/>
    </xf>
    <xf numFmtId="0" fontId="52" fillId="0" borderId="16" xfId="262" applyFont="1" applyBorder="1" applyAlignment="1">
      <alignment horizontal="justify" vertical="center" wrapText="1"/>
    </xf>
    <xf numFmtId="0" fontId="52" fillId="0" borderId="17" xfId="262" applyFont="1" applyBorder="1" applyAlignment="1">
      <alignment horizontal="justify" vertical="center" wrapText="1"/>
    </xf>
    <xf numFmtId="0" fontId="52" fillId="0" borderId="0" xfId="262" applyFont="1" applyAlignment="1">
      <alignment horizontal="justify" vertical="center" wrapText="1"/>
    </xf>
    <xf numFmtId="0" fontId="20" fillId="0" borderId="0" xfId="261"/>
    <xf numFmtId="0" fontId="10" fillId="0" borderId="10" xfId="261" applyFont="1" applyBorder="1" applyAlignment="1">
      <alignment wrapText="1"/>
    </xf>
    <xf numFmtId="0" fontId="10" fillId="0" borderId="10" xfId="261" applyFont="1" applyBorder="1" applyAlignment="1">
      <alignment horizontal="left" wrapText="1"/>
    </xf>
    <xf numFmtId="0" fontId="10" fillId="0" borderId="10" xfId="261" applyFont="1" applyBorder="1" applyAlignment="1">
      <alignment vertical="center" wrapText="1"/>
    </xf>
    <xf numFmtId="0" fontId="20" fillId="0" borderId="0" xfId="2"/>
    <xf numFmtId="0" fontId="30" fillId="0" borderId="10" xfId="0" applyFont="1" applyFill="1" applyBorder="1" applyAlignment="1">
      <alignment horizontal="center" vertical="center" wrapText="1"/>
    </xf>
    <xf numFmtId="0" fontId="32" fillId="0" borderId="13" xfId="0" applyFont="1" applyFill="1" applyBorder="1" applyAlignment="1">
      <alignment horizontal="center" vertical="center"/>
    </xf>
    <xf numFmtId="0" fontId="66" fillId="0" borderId="50" xfId="3" applyNumberFormat="1" applyFont="1" applyBorder="1" applyAlignment="1">
      <alignment horizontal="center" vertical="center"/>
    </xf>
    <xf numFmtId="0" fontId="66" fillId="0" borderId="50" xfId="3" applyNumberFormat="1" applyFont="1" applyBorder="1" applyAlignment="1">
      <alignment horizontal="center" vertical="center" wrapText="1"/>
    </xf>
    <xf numFmtId="183" fontId="68" fillId="0" borderId="50" xfId="3" applyNumberFormat="1" applyFont="1" applyBorder="1" applyAlignment="1">
      <alignment horizontal="center" vertical="center"/>
    </xf>
    <xf numFmtId="49" fontId="55" fillId="0" borderId="15" xfId="3" applyNumberFormat="1" applyFont="1" applyBorder="1" applyAlignment="1">
      <alignment horizontal="left" vertical="top"/>
    </xf>
    <xf numFmtId="49" fontId="55" fillId="0" borderId="19" xfId="3" applyNumberFormat="1" applyFont="1" applyBorder="1" applyAlignment="1">
      <alignment horizontal="left" vertical="top"/>
    </xf>
    <xf numFmtId="49" fontId="55" fillId="0" borderId="21" xfId="3" applyNumberFormat="1" applyFont="1" applyBorder="1" applyAlignment="1">
      <alignment horizontal="left" vertical="top"/>
    </xf>
    <xf numFmtId="49" fontId="55" fillId="0" borderId="22" xfId="3" applyNumberFormat="1" applyFont="1" applyBorder="1" applyAlignment="1">
      <alignment horizontal="left" vertical="top"/>
    </xf>
    <xf numFmtId="49" fontId="55" fillId="0" borderId="18" xfId="3" applyNumberFormat="1" applyFont="1" applyBorder="1" applyAlignment="1">
      <alignment horizontal="left" vertical="top"/>
    </xf>
    <xf numFmtId="49" fontId="55" fillId="0" borderId="23" xfId="3" applyNumberFormat="1" applyFont="1" applyBorder="1" applyAlignment="1">
      <alignment horizontal="left" vertical="top"/>
    </xf>
    <xf numFmtId="49" fontId="36" fillId="0" borderId="18" xfId="3" applyNumberFormat="1" applyFont="1" applyBorder="1" applyAlignment="1">
      <alignment horizontal="left" vertical="top"/>
    </xf>
    <xf numFmtId="49" fontId="55" fillId="0" borderId="0" xfId="3" applyNumberFormat="1" applyFont="1" applyBorder="1" applyAlignment="1">
      <alignment horizontal="left" vertical="top"/>
    </xf>
    <xf numFmtId="49" fontId="55" fillId="0" borderId="21" xfId="3" applyNumberFormat="1" applyFont="1" applyBorder="1" applyAlignment="1">
      <alignment horizontal="right" vertical="top"/>
    </xf>
    <xf numFmtId="181" fontId="0" fillId="0" borderId="0" xfId="0" applyNumberFormat="1" applyFont="1"/>
    <xf numFmtId="0" fontId="8" fillId="0" borderId="0" xfId="0" applyNumberFormat="1" applyFont="1" applyAlignment="1">
      <alignment vertical="center" wrapText="1"/>
    </xf>
    <xf numFmtId="0" fontId="8" fillId="0" borderId="0" xfId="0" applyNumberFormat="1" applyFont="1" applyAlignment="1">
      <alignment vertical="center"/>
    </xf>
    <xf numFmtId="0" fontId="8" fillId="0" borderId="5" xfId="0" applyFont="1" applyBorder="1" applyAlignment="1">
      <alignment vertical="center"/>
    </xf>
    <xf numFmtId="0" fontId="96" fillId="30" borderId="5" xfId="0" applyFont="1" applyFill="1" applyBorder="1" applyAlignment="1">
      <alignment horizontal="left" vertical="center"/>
    </xf>
    <xf numFmtId="0" fontId="64" fillId="0" borderId="10" xfId="0" applyFont="1" applyFill="1" applyBorder="1"/>
    <xf numFmtId="0" fontId="0" fillId="0" borderId="10" xfId="0" applyBorder="1"/>
    <xf numFmtId="0" fontId="64" fillId="0" borderId="10" xfId="0" applyFont="1" applyFill="1" applyBorder="1" applyAlignment="1">
      <alignment horizontal="right" vertical="center"/>
    </xf>
    <xf numFmtId="0" fontId="43" fillId="0" borderId="10" xfId="0" applyFont="1" applyFill="1" applyBorder="1" applyAlignment="1">
      <alignment horizontal="right" vertical="center"/>
    </xf>
    <xf numFmtId="0" fontId="0" fillId="0" borderId="10" xfId="0" applyBorder="1" applyAlignment="1">
      <alignment vertical="center"/>
    </xf>
    <xf numFmtId="0" fontId="0" fillId="0" borderId="0" xfId="0" applyNumberFormat="1"/>
    <xf numFmtId="0" fontId="108" fillId="0" borderId="0" xfId="0" applyFont="1" applyAlignment="1">
      <alignment vertical="center"/>
    </xf>
    <xf numFmtId="0" fontId="0" fillId="0" borderId="0" xfId="150" applyFont="1"/>
    <xf numFmtId="0" fontId="8" fillId="0" borderId="0" xfId="0" applyFont="1"/>
    <xf numFmtId="0" fontId="0" fillId="0" borderId="0" xfId="4" applyFont="1"/>
    <xf numFmtId="0" fontId="17" fillId="0" borderId="0" xfId="0" applyFont="1" applyAlignment="1"/>
    <xf numFmtId="177" fontId="17" fillId="0" borderId="0" xfId="0" applyNumberFormat="1" applyFont="1"/>
    <xf numFmtId="0" fontId="54" fillId="33" borderId="0" xfId="4" applyFill="1"/>
    <xf numFmtId="0" fontId="2" fillId="33" borderId="7" xfId="4" applyFont="1" applyFill="1" applyBorder="1"/>
    <xf numFmtId="0" fontId="2" fillId="33" borderId="0" xfId="4" applyFont="1" applyFill="1" applyBorder="1"/>
    <xf numFmtId="0" fontId="43" fillId="33" borderId="0" xfId="4" applyFont="1" applyFill="1" applyAlignment="1">
      <alignment vertical="center"/>
    </xf>
    <xf numFmtId="0" fontId="13" fillId="0" borderId="8" xfId="1" applyFill="1" applyBorder="1" applyAlignment="1" applyProtection="1"/>
    <xf numFmtId="0" fontId="117" fillId="0" borderId="0" xfId="0" applyFont="1"/>
    <xf numFmtId="0" fontId="8" fillId="33" borderId="8" xfId="2" applyFont="1" applyFill="1" applyBorder="1"/>
    <xf numFmtId="0" fontId="8" fillId="0" borderId="0" xfId="150" applyFont="1" applyBorder="1"/>
    <xf numFmtId="0" fontId="60" fillId="33" borderId="0" xfId="4" applyFont="1" applyFill="1"/>
    <xf numFmtId="0" fontId="54" fillId="0" borderId="0" xfId="4" applyAlignment="1">
      <alignment horizontal="left"/>
    </xf>
    <xf numFmtId="0" fontId="62" fillId="0" borderId="0" xfId="0" applyFont="1" applyAlignment="1">
      <alignment vertical="center" wrapText="1"/>
    </xf>
    <xf numFmtId="183" fontId="0" fillId="0" borderId="0" xfId="0" applyNumberFormat="1" applyFill="1"/>
    <xf numFmtId="183" fontId="16" fillId="0" borderId="3" xfId="0" applyNumberFormat="1" applyFont="1" applyFill="1" applyBorder="1"/>
    <xf numFmtId="183" fontId="16" fillId="0" borderId="7" xfId="0" applyNumberFormat="1" applyFont="1" applyFill="1" applyBorder="1" applyAlignment="1"/>
    <xf numFmtId="183" fontId="111" fillId="0" borderId="10" xfId="0" applyNumberFormat="1" applyFont="1" applyFill="1" applyBorder="1" applyAlignment="1">
      <alignment horizontal="center" vertical="center"/>
    </xf>
    <xf numFmtId="183" fontId="8" fillId="0" borderId="10" xfId="0" applyNumberFormat="1" applyFont="1" applyFill="1" applyBorder="1" applyAlignment="1">
      <alignment horizontal="center" vertical="center"/>
    </xf>
    <xf numFmtId="183" fontId="0" fillId="0" borderId="0" xfId="0" applyNumberFormat="1" applyFill="1" applyBorder="1"/>
    <xf numFmtId="183" fontId="0" fillId="0" borderId="18" xfId="0" applyNumberFormat="1" applyFill="1" applyBorder="1"/>
    <xf numFmtId="183" fontId="8" fillId="0" borderId="7" xfId="0" applyNumberFormat="1" applyFont="1" applyFill="1" applyBorder="1"/>
    <xf numFmtId="183" fontId="8" fillId="0" borderId="8" xfId="0" applyNumberFormat="1" applyFont="1" applyFill="1" applyBorder="1"/>
    <xf numFmtId="183" fontId="0" fillId="0" borderId="0" xfId="0" applyNumberFormat="1"/>
    <xf numFmtId="0" fontId="41" fillId="0" borderId="0" xfId="0" applyFont="1" applyAlignment="1">
      <alignment shrinkToFit="1"/>
    </xf>
    <xf numFmtId="14" fontId="41" fillId="0" borderId="0" xfId="0" applyNumberFormat="1" applyFont="1" applyAlignment="1">
      <alignment horizontal="center" shrinkToFit="1"/>
    </xf>
    <xf numFmtId="0" fontId="41" fillId="0" borderId="0" xfId="0" applyFont="1" applyAlignment="1">
      <alignment horizontal="center" shrinkToFit="1"/>
    </xf>
    <xf numFmtId="0" fontId="10" fillId="0" borderId="0" xfId="0" applyFont="1" applyAlignment="1">
      <alignment shrinkToFit="1"/>
    </xf>
    <xf numFmtId="14" fontId="41" fillId="0" borderId="0" xfId="0" applyNumberFormat="1" applyFont="1" applyAlignment="1">
      <alignment horizontal="center" vertical="center" shrinkToFit="1"/>
    </xf>
    <xf numFmtId="0" fontId="41" fillId="0" borderId="0" xfId="0" applyFont="1" applyAlignment="1">
      <alignment horizontal="center" vertical="center" shrinkToFit="1"/>
    </xf>
    <xf numFmtId="0" fontId="42" fillId="0" borderId="0" xfId="0" applyFont="1" applyAlignment="1">
      <alignment shrinkToFit="1"/>
    </xf>
    <xf numFmtId="0" fontId="0" fillId="0" borderId="0" xfId="0" applyAlignment="1">
      <alignment shrinkToFit="1"/>
    </xf>
    <xf numFmtId="0" fontId="43" fillId="3" borderId="0" xfId="4" applyFont="1" applyFill="1" applyAlignment="1">
      <alignment vertical="center"/>
    </xf>
    <xf numFmtId="0" fontId="64" fillId="33" borderId="0" xfId="4" applyFont="1" applyFill="1" applyAlignment="1">
      <alignment vertical="center"/>
    </xf>
    <xf numFmtId="0" fontId="64" fillId="0" borderId="0" xfId="4" applyFont="1"/>
    <xf numFmtId="0" fontId="64" fillId="33" borderId="0" xfId="4" applyFont="1" applyFill="1"/>
    <xf numFmtId="0" fontId="64" fillId="0" borderId="0" xfId="4" applyFont="1" applyFill="1" applyBorder="1"/>
    <xf numFmtId="0" fontId="66" fillId="0" borderId="0" xfId="4" applyFont="1" applyAlignment="1">
      <alignment horizontal="right"/>
    </xf>
    <xf numFmtId="0" fontId="0" fillId="0" borderId="0" xfId="0" applyAlignment="1">
      <alignment horizontal="right"/>
    </xf>
    <xf numFmtId="49" fontId="16" fillId="0" borderId="0" xfId="0" applyNumberFormat="1" applyFont="1" applyBorder="1" applyAlignment="1">
      <alignment shrinkToFit="1"/>
    </xf>
    <xf numFmtId="49" fontId="16" fillId="0" borderId="0" xfId="0" applyNumberFormat="1" applyFont="1" applyFill="1" applyBorder="1" applyAlignment="1">
      <alignment shrinkToFit="1"/>
    </xf>
    <xf numFmtId="0" fontId="0" fillId="0" borderId="6" xfId="0" applyFill="1" applyBorder="1" applyAlignment="1">
      <alignment shrinkToFit="1"/>
    </xf>
    <xf numFmtId="0" fontId="8" fillId="0" borderId="0" xfId="0" applyFont="1" applyBorder="1" applyAlignment="1">
      <alignment shrinkToFit="1"/>
    </xf>
    <xf numFmtId="0" fontId="0" fillId="0" borderId="0" xfId="0" applyFill="1" applyBorder="1" applyAlignment="1">
      <alignment shrinkToFit="1"/>
    </xf>
    <xf numFmtId="0" fontId="35" fillId="0" borderId="0" xfId="0" applyFont="1" applyBorder="1" applyAlignment="1">
      <alignment shrinkToFit="1"/>
    </xf>
    <xf numFmtId="0" fontId="8" fillId="0" borderId="1" xfId="0" applyFont="1" applyBorder="1" applyAlignment="1">
      <alignment shrinkToFit="1"/>
    </xf>
    <xf numFmtId="0" fontId="0" fillId="0" borderId="1" xfId="0" applyFill="1" applyBorder="1" applyAlignment="1">
      <alignment shrinkToFit="1"/>
    </xf>
    <xf numFmtId="0" fontId="0" fillId="0" borderId="9" xfId="0" applyFill="1" applyBorder="1" applyAlignment="1">
      <alignment shrinkToFit="1"/>
    </xf>
    <xf numFmtId="183" fontId="2" fillId="0" borderId="7" xfId="0" applyNumberFormat="1" applyFont="1" applyFill="1" applyBorder="1" applyAlignment="1"/>
    <xf numFmtId="183" fontId="118" fillId="0" borderId="7" xfId="0" applyNumberFormat="1" applyFont="1" applyFill="1" applyBorder="1" applyAlignment="1"/>
    <xf numFmtId="0" fontId="8" fillId="0" borderId="7" xfId="0" applyFont="1" applyFill="1" applyBorder="1"/>
    <xf numFmtId="0" fontId="2" fillId="0" borderId="8" xfId="0" applyFont="1" applyFill="1" applyBorder="1"/>
    <xf numFmtId="0" fontId="0" fillId="4" borderId="0" xfId="0" applyFill="1" applyAlignment="1">
      <alignment horizontal="right" vertical="center"/>
    </xf>
    <xf numFmtId="0" fontId="0" fillId="4" borderId="0" xfId="0" applyNumberFormat="1" applyFill="1" applyAlignment="1">
      <alignment horizontal="left" vertical="center"/>
    </xf>
    <xf numFmtId="0" fontId="20" fillId="0" borderId="0" xfId="262" applyFont="1"/>
    <xf numFmtId="0" fontId="20" fillId="0" borderId="0" xfId="262"/>
    <xf numFmtId="0" fontId="53" fillId="0" borderId="55" xfId="262" applyFont="1" applyBorder="1" applyAlignment="1">
      <alignment horizontal="center" vertical="center" wrapText="1"/>
    </xf>
    <xf numFmtId="0" fontId="52" fillId="0" borderId="16" xfId="262" applyFont="1" applyBorder="1" applyAlignment="1">
      <alignment horizontal="justify" vertical="center" wrapText="1"/>
    </xf>
    <xf numFmtId="0" fontId="52" fillId="0" borderId="17" xfId="262" applyFont="1" applyBorder="1" applyAlignment="1">
      <alignment horizontal="justify" vertical="center" wrapText="1"/>
    </xf>
    <xf numFmtId="0" fontId="52" fillId="0" borderId="0" xfId="262" applyFont="1" applyAlignment="1">
      <alignment horizontal="justify" vertical="center" wrapText="1"/>
    </xf>
    <xf numFmtId="0" fontId="30" fillId="0" borderId="10" xfId="0" applyFont="1" applyFill="1" applyBorder="1" applyAlignment="1">
      <alignment horizontal="center" vertical="center" wrapText="1"/>
    </xf>
    <xf numFmtId="0" fontId="9" fillId="0" borderId="10" xfId="0" applyFont="1" applyFill="1" applyBorder="1" applyAlignment="1">
      <alignment horizontal="center" vertical="center" wrapText="1"/>
    </xf>
    <xf numFmtId="0" fontId="32" fillId="0" borderId="13" xfId="0" applyFont="1" applyFill="1" applyBorder="1" applyAlignment="1">
      <alignment horizontal="center" vertical="center"/>
    </xf>
    <xf numFmtId="0" fontId="1" fillId="0" borderId="20" xfId="0" applyFont="1" applyBorder="1" applyAlignment="1">
      <alignment horizontal="left" vertical="center"/>
    </xf>
    <xf numFmtId="0" fontId="1" fillId="0" borderId="2" xfId="0" applyFont="1" applyBorder="1" applyAlignment="1">
      <alignment horizontal="left" vertical="center"/>
    </xf>
    <xf numFmtId="0" fontId="19" fillId="0" borderId="20" xfId="0" applyFont="1" applyBorder="1" applyAlignment="1">
      <alignment horizontal="center" vertical="center"/>
    </xf>
    <xf numFmtId="0" fontId="19" fillId="0" borderId="2" xfId="0" applyFont="1" applyBorder="1" applyAlignment="1">
      <alignment horizontal="center" vertical="center"/>
    </xf>
    <xf numFmtId="0" fontId="19" fillId="0" borderId="35" xfId="0" applyFont="1" applyBorder="1" applyAlignment="1">
      <alignment horizontal="center" vertical="center"/>
    </xf>
    <xf numFmtId="0" fontId="0" fillId="0" borderId="0" xfId="0" applyFill="1" applyAlignment="1">
      <alignment horizontal="left" vertical="center"/>
    </xf>
    <xf numFmtId="0" fontId="60" fillId="0" borderId="0" xfId="0" applyNumberFormat="1" applyFont="1" applyFill="1" applyAlignment="1">
      <alignment horizontal="left" vertical="center"/>
    </xf>
    <xf numFmtId="0" fontId="32" fillId="0" borderId="13" xfId="0" applyFont="1" applyFill="1" applyBorder="1" applyAlignment="1">
      <alignment horizontal="center" vertical="center"/>
    </xf>
    <xf numFmtId="0" fontId="30" fillId="0" borderId="10" xfId="0" applyFont="1" applyFill="1" applyBorder="1" applyAlignment="1">
      <alignment horizontal="center" vertical="center" wrapText="1"/>
    </xf>
    <xf numFmtId="0" fontId="9" fillId="0" borderId="10" xfId="0" applyFont="1" applyFill="1" applyBorder="1" applyAlignment="1">
      <alignment horizontal="center" vertical="center" wrapText="1"/>
    </xf>
    <xf numFmtId="180" fontId="17" fillId="0" borderId="0" xfId="0" applyNumberFormat="1" applyFont="1"/>
    <xf numFmtId="0" fontId="64" fillId="0" borderId="10" xfId="0" applyFont="1" applyFill="1" applyBorder="1" applyAlignment="1">
      <alignment horizontal="left" vertical="center"/>
    </xf>
    <xf numFmtId="0" fontId="64" fillId="34" borderId="10" xfId="0" applyFont="1" applyFill="1" applyBorder="1" applyAlignment="1">
      <alignment horizontal="left" vertical="center"/>
    </xf>
    <xf numFmtId="0" fontId="43" fillId="0" borderId="10" xfId="0" applyFont="1" applyFill="1" applyBorder="1" applyAlignment="1">
      <alignment horizontal="left" vertical="center"/>
    </xf>
    <xf numFmtId="0" fontId="43" fillId="0" borderId="10" xfId="0" applyNumberFormat="1" applyFont="1" applyFill="1" applyBorder="1" applyAlignment="1">
      <alignment horizontal="left"/>
    </xf>
    <xf numFmtId="49" fontId="43" fillId="0" borderId="10" xfId="0" applyNumberFormat="1" applyFont="1" applyFill="1" applyBorder="1" applyAlignment="1">
      <alignment horizontal="left"/>
    </xf>
    <xf numFmtId="14" fontId="43" fillId="0" borderId="10" xfId="0" applyNumberFormat="1" applyFont="1" applyFill="1" applyBorder="1" applyAlignment="1">
      <alignment horizontal="left"/>
    </xf>
    <xf numFmtId="0" fontId="43" fillId="0" borderId="10" xfId="0" applyFont="1" applyFill="1" applyBorder="1" applyAlignment="1">
      <alignment horizontal="left" wrapText="1"/>
    </xf>
    <xf numFmtId="0" fontId="60" fillId="0" borderId="0" xfId="0" applyFont="1"/>
    <xf numFmtId="0" fontId="119" fillId="35" borderId="0" xfId="263" applyAlignment="1"/>
    <xf numFmtId="0" fontId="0" fillId="0" borderId="0" xfId="0" applyNumberFormat="1" applyAlignment="1">
      <alignment vertical="center"/>
    </xf>
    <xf numFmtId="0" fontId="0" fillId="36" borderId="0" xfId="0" applyFill="1" applyAlignment="1">
      <alignment vertical="center"/>
    </xf>
    <xf numFmtId="49" fontId="120" fillId="0" borderId="0" xfId="0" applyNumberFormat="1" applyFont="1"/>
    <xf numFmtId="0" fontId="60" fillId="0" borderId="0" xfId="0" applyFont="1" applyAlignment="1">
      <alignment vertical="center"/>
    </xf>
    <xf numFmtId="0" fontId="14" fillId="0" borderId="0" xfId="0" applyFont="1" applyFill="1" applyAlignment="1">
      <alignment horizontal="center"/>
    </xf>
    <xf numFmtId="0" fontId="32" fillId="0" borderId="20" xfId="0" applyFont="1" applyFill="1" applyBorder="1" applyAlignment="1">
      <alignment horizontal="center" vertical="center"/>
    </xf>
    <xf numFmtId="0" fontId="32" fillId="0" borderId="13" xfId="0" applyFont="1" applyFill="1" applyBorder="1" applyAlignment="1">
      <alignment horizontal="center" vertical="center"/>
    </xf>
    <xf numFmtId="0" fontId="32" fillId="0" borderId="2" xfId="0" applyFont="1" applyFill="1" applyBorder="1" applyAlignment="1">
      <alignment horizontal="center" vertical="center"/>
    </xf>
    <xf numFmtId="0" fontId="30" fillId="0" borderId="10" xfId="0" applyFont="1" applyFill="1" applyBorder="1" applyAlignment="1">
      <alignment horizontal="center" vertical="center" wrapText="1"/>
    </xf>
    <xf numFmtId="0" fontId="9" fillId="0" borderId="10" xfId="0" applyFont="1" applyFill="1" applyBorder="1" applyAlignment="1">
      <alignment horizontal="center" vertical="center" wrapText="1"/>
    </xf>
    <xf numFmtId="0" fontId="2" fillId="0" borderId="20"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3" xfId="0" applyFont="1" applyFill="1" applyBorder="1" applyAlignment="1">
      <alignment horizontal="center" vertical="center"/>
    </xf>
    <xf numFmtId="0" fontId="32" fillId="0" borderId="20" xfId="0" applyNumberFormat="1" applyFont="1" applyFill="1" applyBorder="1" applyAlignment="1">
      <alignment horizontal="center" vertical="center"/>
    </xf>
    <xf numFmtId="0" fontId="32" fillId="0" borderId="13" xfId="0" applyNumberFormat="1" applyFont="1" applyFill="1" applyBorder="1" applyAlignment="1">
      <alignment horizontal="center" vertical="center"/>
    </xf>
    <xf numFmtId="0" fontId="9" fillId="0" borderId="20" xfId="0" applyFont="1" applyFill="1" applyBorder="1" applyAlignment="1">
      <alignment horizontal="center" vertical="center" wrapText="1"/>
    </xf>
    <xf numFmtId="0" fontId="9" fillId="0" borderId="2" xfId="0" applyFont="1" applyFill="1" applyBorder="1" applyAlignment="1">
      <alignment horizontal="center" vertical="center" wrapText="1"/>
    </xf>
    <xf numFmtId="0" fontId="9" fillId="0" borderId="13" xfId="0" applyFont="1" applyFill="1" applyBorder="1" applyAlignment="1">
      <alignment horizontal="center" vertical="center" wrapText="1"/>
    </xf>
    <xf numFmtId="0" fontId="24" fillId="0" borderId="19" xfId="0" applyFont="1" applyFill="1" applyBorder="1" applyAlignment="1">
      <alignment horizontal="center"/>
    </xf>
    <xf numFmtId="0" fontId="24" fillId="0" borderId="21" xfId="0" applyFont="1" applyFill="1" applyBorder="1" applyAlignment="1">
      <alignment horizontal="center"/>
    </xf>
    <xf numFmtId="0" fontId="9" fillId="0" borderId="47" xfId="0" applyFont="1" applyFill="1" applyBorder="1" applyAlignment="1">
      <alignment horizontal="center" vertical="top" wrapText="1"/>
    </xf>
    <xf numFmtId="0" fontId="9" fillId="0" borderId="4" xfId="0" applyFont="1" applyFill="1" applyBorder="1" applyAlignment="1">
      <alignment horizontal="center" vertical="top" wrapText="1"/>
    </xf>
    <xf numFmtId="0" fontId="9" fillId="0" borderId="5" xfId="0" applyFont="1" applyFill="1" applyBorder="1" applyAlignment="1">
      <alignment horizontal="center" vertical="top" wrapText="1"/>
    </xf>
    <xf numFmtId="0" fontId="9" fillId="0" borderId="48" xfId="0" applyFont="1" applyFill="1" applyBorder="1" applyAlignment="1">
      <alignment horizontal="center" vertical="top" wrapText="1"/>
    </xf>
    <xf numFmtId="0" fontId="9" fillId="0" borderId="1" xfId="0" applyFont="1" applyFill="1" applyBorder="1" applyAlignment="1">
      <alignment horizontal="center" vertical="top" wrapText="1"/>
    </xf>
    <xf numFmtId="0" fontId="9" fillId="0" borderId="9" xfId="0" applyFont="1" applyFill="1" applyBorder="1" applyAlignment="1">
      <alignment horizontal="center" vertical="top" wrapText="1"/>
    </xf>
    <xf numFmtId="0" fontId="24" fillId="0" borderId="16" xfId="0" applyFont="1" applyFill="1" applyBorder="1" applyAlignment="1">
      <alignment horizontal="center"/>
    </xf>
    <xf numFmtId="0" fontId="24" fillId="0" borderId="0" xfId="0" applyFont="1" applyFill="1" applyBorder="1" applyAlignment="1">
      <alignment horizontal="center"/>
    </xf>
    <xf numFmtId="0" fontId="24" fillId="0" borderId="17" xfId="0" applyFont="1" applyFill="1" applyBorder="1" applyAlignment="1">
      <alignment horizontal="center"/>
    </xf>
    <xf numFmtId="0" fontId="24" fillId="0" borderId="22" xfId="0" applyFont="1" applyFill="1" applyBorder="1" applyAlignment="1">
      <alignment horizontal="center"/>
    </xf>
    <xf numFmtId="0" fontId="24" fillId="0" borderId="18" xfId="0" applyFont="1" applyFill="1" applyBorder="1" applyAlignment="1">
      <alignment horizontal="center"/>
    </xf>
    <xf numFmtId="0" fontId="24" fillId="0" borderId="23" xfId="0" applyFont="1" applyFill="1" applyBorder="1" applyAlignment="1">
      <alignment horizontal="center"/>
    </xf>
    <xf numFmtId="0" fontId="8" fillId="0" borderId="47" xfId="0" applyFont="1" applyFill="1" applyBorder="1" applyAlignment="1">
      <alignment horizontal="left" vertical="top" wrapText="1"/>
    </xf>
    <xf numFmtId="0" fontId="8" fillId="0" borderId="4" xfId="0" applyFont="1" applyFill="1" applyBorder="1" applyAlignment="1">
      <alignment horizontal="left" vertical="top" wrapText="1"/>
    </xf>
    <xf numFmtId="0" fontId="8" fillId="0" borderId="5" xfId="0" applyFont="1" applyFill="1" applyBorder="1" applyAlignment="1">
      <alignment horizontal="left" vertical="top" wrapText="1"/>
    </xf>
    <xf numFmtId="0" fontId="8" fillId="0" borderId="16"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6" xfId="0" applyFont="1" applyFill="1" applyBorder="1" applyAlignment="1">
      <alignment horizontal="left" vertical="top" wrapText="1"/>
    </xf>
    <xf numFmtId="0" fontId="8" fillId="0" borderId="22" xfId="0" applyFont="1" applyFill="1" applyBorder="1" applyAlignment="1">
      <alignment horizontal="left" vertical="top" wrapText="1"/>
    </xf>
    <xf numFmtId="0" fontId="8" fillId="0" borderId="18" xfId="0" applyFont="1" applyFill="1" applyBorder="1" applyAlignment="1">
      <alignment horizontal="left" vertical="top" wrapText="1"/>
    </xf>
    <xf numFmtId="0" fontId="8" fillId="0" borderId="57" xfId="0" applyFont="1" applyFill="1" applyBorder="1" applyAlignment="1">
      <alignment horizontal="left" vertical="top" wrapText="1"/>
    </xf>
    <xf numFmtId="0" fontId="17" fillId="0" borderId="18" xfId="0" applyNumberFormat="1" applyFont="1" applyFill="1" applyBorder="1" applyAlignment="1">
      <alignment horizontal="center"/>
    </xf>
    <xf numFmtId="0" fontId="25" fillId="0" borderId="18" xfId="0" applyNumberFormat="1" applyFont="1" applyFill="1" applyBorder="1" applyAlignment="1">
      <alignment horizontal="center"/>
    </xf>
    <xf numFmtId="0" fontId="25" fillId="0" borderId="23" xfId="0" applyNumberFormat="1" applyFont="1" applyFill="1" applyBorder="1" applyAlignment="1">
      <alignment horizontal="center"/>
    </xf>
    <xf numFmtId="0" fontId="30" fillId="0" borderId="20" xfId="0" applyFont="1" applyFill="1" applyBorder="1" applyAlignment="1">
      <alignment horizontal="center" vertical="center" wrapText="1"/>
    </xf>
    <xf numFmtId="0" fontId="30" fillId="0" borderId="2" xfId="0" applyFont="1" applyFill="1" applyBorder="1" applyAlignment="1">
      <alignment horizontal="center" vertical="center" wrapText="1"/>
    </xf>
    <xf numFmtId="0" fontId="30" fillId="0" borderId="13" xfId="0" applyFont="1" applyFill="1" applyBorder="1" applyAlignment="1">
      <alignment horizontal="center" vertical="center" wrapText="1"/>
    </xf>
    <xf numFmtId="14" fontId="2" fillId="0" borderId="20" xfId="0" applyNumberFormat="1" applyFont="1" applyFill="1" applyBorder="1" applyAlignment="1">
      <alignment horizontal="center" vertical="center"/>
    </xf>
    <xf numFmtId="0" fontId="9" fillId="0" borderId="10" xfId="260" applyFont="1" applyFill="1" applyBorder="1" applyAlignment="1">
      <alignment horizontal="center" vertical="center" wrapText="1"/>
    </xf>
    <xf numFmtId="0" fontId="33" fillId="0" borderId="4" xfId="0" applyFont="1" applyFill="1" applyBorder="1" applyAlignment="1">
      <alignment horizontal="center" vertical="center" wrapText="1"/>
    </xf>
    <xf numFmtId="0" fontId="9" fillId="0" borderId="0" xfId="0" applyFont="1" applyFill="1" applyBorder="1" applyAlignment="1">
      <alignment horizontal="center" vertical="center"/>
    </xf>
    <xf numFmtId="0" fontId="33" fillId="0" borderId="18" xfId="0" applyFont="1" applyFill="1" applyBorder="1" applyAlignment="1">
      <alignment horizontal="center" vertical="center"/>
    </xf>
    <xf numFmtId="0" fontId="6" fillId="0" borderId="0" xfId="0" applyFont="1" applyFill="1" applyBorder="1" applyAlignment="1">
      <alignment horizontal="center" wrapText="1"/>
    </xf>
    <xf numFmtId="0" fontId="61" fillId="0" borderId="7" xfId="0" applyFont="1" applyBorder="1" applyAlignment="1">
      <alignment horizontal="left"/>
    </xf>
    <xf numFmtId="0" fontId="61" fillId="0" borderId="0" xfId="0" applyFont="1" applyBorder="1" applyAlignment="1">
      <alignment horizontal="left"/>
    </xf>
    <xf numFmtId="43" fontId="61" fillId="0" borderId="7" xfId="5" applyFont="1" applyBorder="1" applyAlignment="1">
      <alignment horizontal="left"/>
    </xf>
    <xf numFmtId="43" fontId="61" fillId="0" borderId="0" xfId="5" applyFont="1" applyBorder="1" applyAlignment="1">
      <alignment horizontal="left"/>
    </xf>
    <xf numFmtId="0" fontId="20" fillId="0" borderId="3" xfId="261" applyFont="1" applyBorder="1" applyAlignment="1">
      <alignment horizontal="center" vertical="top" wrapText="1"/>
    </xf>
    <xf numFmtId="0" fontId="20" fillId="0" borderId="5" xfId="261" applyFont="1" applyBorder="1" applyAlignment="1">
      <alignment horizontal="center" vertical="top"/>
    </xf>
    <xf numFmtId="0" fontId="20" fillId="0" borderId="7" xfId="261" applyFont="1" applyBorder="1" applyAlignment="1">
      <alignment horizontal="center" vertical="top"/>
    </xf>
    <xf numFmtId="0" fontId="20" fillId="0" borderId="6" xfId="261" applyFont="1" applyBorder="1" applyAlignment="1">
      <alignment horizontal="center" vertical="top"/>
    </xf>
    <xf numFmtId="0" fontId="20" fillId="0" borderId="8" xfId="261" applyFont="1" applyBorder="1" applyAlignment="1">
      <alignment horizontal="center" vertical="top"/>
    </xf>
    <xf numFmtId="0" fontId="20" fillId="0" borderId="9" xfId="261" applyFont="1" applyBorder="1" applyAlignment="1">
      <alignment horizontal="center" vertical="top"/>
    </xf>
    <xf numFmtId="0" fontId="20" fillId="0" borderId="4" xfId="261" applyFont="1" applyBorder="1" applyAlignment="1">
      <alignment horizontal="center" vertical="top"/>
    </xf>
    <xf numFmtId="0" fontId="20" fillId="0" borderId="0" xfId="261" applyFont="1" applyBorder="1" applyAlignment="1">
      <alignment horizontal="center" vertical="top"/>
    </xf>
    <xf numFmtId="0" fontId="20" fillId="0" borderId="1" xfId="261" applyFont="1" applyBorder="1" applyAlignment="1">
      <alignment horizontal="center" vertical="top"/>
    </xf>
    <xf numFmtId="0" fontId="10" fillId="0" borderId="20" xfId="261" applyFont="1" applyBorder="1" applyAlignment="1">
      <alignment horizontal="left" vertical="center" wrapText="1"/>
    </xf>
    <xf numFmtId="0" fontId="10" fillId="0" borderId="2" xfId="261" applyFont="1" applyBorder="1" applyAlignment="1">
      <alignment horizontal="left" vertical="center" wrapText="1"/>
    </xf>
    <xf numFmtId="0" fontId="10" fillId="0" borderId="13" xfId="261" applyFont="1" applyBorder="1" applyAlignment="1">
      <alignment horizontal="left" vertical="center" wrapText="1"/>
    </xf>
    <xf numFmtId="0" fontId="10" fillId="0" borderId="20" xfId="261" applyFont="1" applyBorder="1" applyAlignment="1">
      <alignment horizontal="left" wrapText="1"/>
    </xf>
    <xf numFmtId="0" fontId="10" fillId="0" borderId="2" xfId="261" applyFont="1" applyBorder="1" applyAlignment="1">
      <alignment horizontal="left"/>
    </xf>
    <xf numFmtId="0" fontId="10" fillId="0" borderId="13" xfId="261" applyFont="1" applyBorder="1" applyAlignment="1">
      <alignment horizontal="left"/>
    </xf>
    <xf numFmtId="0" fontId="3" fillId="0" borderId="20" xfId="261" applyFont="1" applyBorder="1" applyAlignment="1">
      <alignment horizontal="left" wrapText="1"/>
    </xf>
    <xf numFmtId="0" fontId="3" fillId="0" borderId="2" xfId="261" applyFont="1" applyBorder="1" applyAlignment="1">
      <alignment horizontal="left"/>
    </xf>
    <xf numFmtId="0" fontId="3" fillId="0" borderId="13" xfId="261" applyFont="1" applyBorder="1" applyAlignment="1">
      <alignment horizontal="left"/>
    </xf>
    <xf numFmtId="0" fontId="20" fillId="0" borderId="20" xfId="261" applyBorder="1" applyAlignment="1">
      <alignment horizontal="left" vertical="center"/>
    </xf>
    <xf numFmtId="0" fontId="20" fillId="0" borderId="2" xfId="261" applyBorder="1" applyAlignment="1">
      <alignment horizontal="left" vertical="center"/>
    </xf>
    <xf numFmtId="0" fontId="20" fillId="0" borderId="13" xfId="261" applyBorder="1" applyAlignment="1">
      <alignment horizontal="left" vertical="center"/>
    </xf>
    <xf numFmtId="0" fontId="10" fillId="0" borderId="20" xfId="261" applyFont="1" applyBorder="1" applyAlignment="1">
      <alignment horizontal="left" vertical="top" wrapText="1"/>
    </xf>
    <xf numFmtId="0" fontId="10" fillId="0" borderId="2" xfId="261" applyFont="1" applyBorder="1" applyAlignment="1">
      <alignment horizontal="left" vertical="top" wrapText="1"/>
    </xf>
    <xf numFmtId="0" fontId="10" fillId="0" borderId="13" xfId="261" applyFont="1" applyBorder="1" applyAlignment="1">
      <alignment horizontal="left" vertical="top" wrapText="1"/>
    </xf>
    <xf numFmtId="0" fontId="10" fillId="0" borderId="14" xfId="261" applyFont="1" applyBorder="1" applyAlignment="1">
      <alignment horizontal="center" vertical="top" wrapText="1"/>
    </xf>
    <xf numFmtId="0" fontId="10" fillId="0" borderId="11" xfId="261" applyFont="1" applyBorder="1" applyAlignment="1">
      <alignment horizontal="center" vertical="top" wrapText="1"/>
    </xf>
    <xf numFmtId="0" fontId="10" fillId="0" borderId="12" xfId="261" applyFont="1" applyBorder="1" applyAlignment="1">
      <alignment horizontal="center" vertical="top" wrapText="1"/>
    </xf>
    <xf numFmtId="0" fontId="1" fillId="0" borderId="3" xfId="261" applyFont="1" applyBorder="1" applyAlignment="1">
      <alignment horizontal="left" vertical="center"/>
    </xf>
    <xf numFmtId="0" fontId="1" fillId="0" borderId="4" xfId="261" applyFont="1" applyBorder="1" applyAlignment="1">
      <alignment horizontal="left" vertical="center"/>
    </xf>
    <xf numFmtId="0" fontId="1" fillId="0" borderId="5" xfId="261" applyFont="1" applyBorder="1" applyAlignment="1">
      <alignment horizontal="left" vertical="center"/>
    </xf>
    <xf numFmtId="0" fontId="1" fillId="0" borderId="7" xfId="261" applyFont="1" applyBorder="1" applyAlignment="1">
      <alignment horizontal="left" vertical="center"/>
    </xf>
    <xf numFmtId="0" fontId="1" fillId="0" borderId="0" xfId="261" applyFont="1" applyBorder="1" applyAlignment="1">
      <alignment horizontal="left" vertical="center"/>
    </xf>
    <xf numFmtId="0" fontId="1" fillId="0" borderId="6" xfId="261" applyFont="1" applyBorder="1" applyAlignment="1">
      <alignment horizontal="left" vertical="center"/>
    </xf>
    <xf numFmtId="0" fontId="1" fillId="0" borderId="8" xfId="261" applyFont="1" applyBorder="1" applyAlignment="1">
      <alignment horizontal="left" vertical="center"/>
    </xf>
    <xf numFmtId="0" fontId="1" fillId="0" borderId="1" xfId="261" applyFont="1" applyBorder="1" applyAlignment="1">
      <alignment horizontal="left" vertical="center"/>
    </xf>
    <xf numFmtId="0" fontId="1" fillId="0" borderId="9" xfId="261" applyFont="1" applyBorder="1" applyAlignment="1">
      <alignment horizontal="left" vertical="center"/>
    </xf>
    <xf numFmtId="0" fontId="19" fillId="0" borderId="14" xfId="261" applyFont="1" applyBorder="1" applyAlignment="1">
      <alignment horizontal="center" vertical="top" wrapText="1"/>
    </xf>
    <xf numFmtId="0" fontId="19" fillId="0" borderId="11" xfId="261" applyFont="1" applyBorder="1" applyAlignment="1">
      <alignment horizontal="center" vertical="top" wrapText="1"/>
    </xf>
    <xf numFmtId="0" fontId="19" fillId="0" borderId="12" xfId="261" applyFont="1" applyBorder="1" applyAlignment="1">
      <alignment horizontal="center" vertical="top" wrapText="1"/>
    </xf>
    <xf numFmtId="0" fontId="1" fillId="0" borderId="3" xfId="261" applyFont="1" applyBorder="1" applyAlignment="1">
      <alignment horizontal="center" vertical="center"/>
    </xf>
    <xf numFmtId="0" fontId="1" fillId="0" borderId="5" xfId="261" applyFont="1" applyBorder="1" applyAlignment="1">
      <alignment horizontal="center" vertical="center"/>
    </xf>
    <xf numFmtId="0" fontId="1" fillId="0" borderId="7" xfId="261" applyFont="1" applyBorder="1" applyAlignment="1">
      <alignment horizontal="center" vertical="center"/>
    </xf>
    <xf numFmtId="0" fontId="1" fillId="0" borderId="6" xfId="261" applyFont="1" applyBorder="1" applyAlignment="1">
      <alignment horizontal="center" vertical="center"/>
    </xf>
    <xf numFmtId="0" fontId="1" fillId="0" borderId="8" xfId="261" applyFont="1" applyBorder="1" applyAlignment="1">
      <alignment horizontal="center" vertical="center"/>
    </xf>
    <xf numFmtId="0" fontId="1" fillId="0" borderId="9" xfId="261" applyFont="1" applyBorder="1" applyAlignment="1">
      <alignment horizontal="center" vertical="center"/>
    </xf>
    <xf numFmtId="0" fontId="1" fillId="0" borderId="14" xfId="261" applyFont="1" applyBorder="1" applyAlignment="1">
      <alignment horizontal="center" vertical="center"/>
    </xf>
    <xf numFmtId="0" fontId="1" fillId="0" borderId="11" xfId="261" applyFont="1" applyBorder="1" applyAlignment="1">
      <alignment horizontal="center" vertical="center"/>
    </xf>
    <xf numFmtId="0" fontId="1" fillId="0" borderId="12" xfId="261" applyFont="1" applyBorder="1" applyAlignment="1">
      <alignment horizontal="center" vertical="center"/>
    </xf>
    <xf numFmtId="14" fontId="1" fillId="0" borderId="14" xfId="261" applyNumberFormat="1" applyFont="1" applyBorder="1" applyAlignment="1">
      <alignment horizontal="center" vertical="center"/>
    </xf>
    <xf numFmtId="0" fontId="1" fillId="0" borderId="3" xfId="261" applyFont="1" applyBorder="1" applyAlignment="1">
      <alignment horizontal="left" vertical="center" wrapText="1"/>
    </xf>
    <xf numFmtId="0" fontId="1" fillId="0" borderId="4" xfId="261" applyFont="1" applyBorder="1" applyAlignment="1">
      <alignment horizontal="left" vertical="center" wrapText="1"/>
    </xf>
    <xf numFmtId="0" fontId="1" fillId="0" borderId="5" xfId="261" applyFont="1" applyBorder="1" applyAlignment="1">
      <alignment horizontal="left" vertical="center" wrapText="1"/>
    </xf>
    <xf numFmtId="0" fontId="1" fillId="0" borderId="7" xfId="261" applyFont="1" applyBorder="1" applyAlignment="1">
      <alignment horizontal="left" vertical="center" wrapText="1"/>
    </xf>
    <xf numFmtId="0" fontId="1" fillId="0" borderId="0" xfId="261" applyFont="1" applyBorder="1" applyAlignment="1">
      <alignment horizontal="left" vertical="center" wrapText="1"/>
    </xf>
    <xf numFmtId="0" fontId="1" fillId="0" borderId="6" xfId="261" applyFont="1" applyBorder="1" applyAlignment="1">
      <alignment horizontal="left" vertical="center" wrapText="1"/>
    </xf>
    <xf numFmtId="0" fontId="1" fillId="0" borderId="8" xfId="261" applyFont="1" applyBorder="1" applyAlignment="1">
      <alignment horizontal="left" vertical="center" wrapText="1"/>
    </xf>
    <xf numFmtId="0" fontId="1" fillId="0" borderId="1" xfId="261" applyFont="1" applyBorder="1" applyAlignment="1">
      <alignment horizontal="left" vertical="center" wrapText="1"/>
    </xf>
    <xf numFmtId="0" fontId="1" fillId="0" borderId="9" xfId="261" applyFont="1" applyBorder="1" applyAlignment="1">
      <alignment horizontal="left" vertical="center" wrapText="1"/>
    </xf>
    <xf numFmtId="0" fontId="27" fillId="0" borderId="1" xfId="261" applyFont="1" applyBorder="1" applyAlignment="1">
      <alignment horizontal="center" vertical="top" wrapText="1"/>
    </xf>
    <xf numFmtId="0" fontId="27" fillId="0" borderId="1" xfId="261" applyFont="1" applyBorder="1" applyAlignment="1">
      <alignment horizontal="center" vertical="top"/>
    </xf>
    <xf numFmtId="0" fontId="20" fillId="0" borderId="20" xfId="261" applyFont="1" applyBorder="1" applyAlignment="1">
      <alignment horizontal="left" vertical="center"/>
    </xf>
    <xf numFmtId="0" fontId="20" fillId="0" borderId="2" xfId="261" applyFont="1" applyBorder="1" applyAlignment="1">
      <alignment horizontal="left" vertical="center"/>
    </xf>
    <xf numFmtId="0" fontId="20" fillId="0" borderId="13" xfId="261" applyFont="1" applyBorder="1" applyAlignment="1">
      <alignment horizontal="left" vertical="center"/>
    </xf>
    <xf numFmtId="0" fontId="2" fillId="0" borderId="20" xfId="261" applyFont="1" applyBorder="1" applyAlignment="1">
      <alignment horizontal="left" vertical="center"/>
    </xf>
    <xf numFmtId="0" fontId="2" fillId="0" borderId="2" xfId="261" applyFont="1" applyBorder="1" applyAlignment="1">
      <alignment horizontal="left" vertical="center"/>
    </xf>
    <xf numFmtId="0" fontId="2" fillId="0" borderId="13" xfId="261" applyFont="1" applyBorder="1" applyAlignment="1">
      <alignment horizontal="left" vertical="center"/>
    </xf>
    <xf numFmtId="0" fontId="27" fillId="0" borderId="0" xfId="0" applyFont="1" applyAlignment="1">
      <alignment horizontal="center" vertical="center"/>
    </xf>
    <xf numFmtId="0" fontId="53" fillId="0" borderId="16" xfId="262" applyFont="1" applyBorder="1" applyAlignment="1">
      <alignment horizontal="justify" vertical="center" wrapText="1"/>
    </xf>
    <xf numFmtId="0" fontId="53" fillId="0" borderId="17" xfId="262" applyFont="1" applyBorder="1" applyAlignment="1">
      <alignment horizontal="justify" vertical="center" wrapText="1"/>
    </xf>
    <xf numFmtId="0" fontId="53" fillId="0" borderId="0" xfId="262" applyFont="1" applyAlignment="1">
      <alignment horizontal="justify" vertical="center" wrapText="1"/>
    </xf>
    <xf numFmtId="179" fontId="52" fillId="0" borderId="22" xfId="262" applyNumberFormat="1" applyFont="1" applyBorder="1" applyAlignment="1">
      <alignment horizontal="right" vertical="center" wrapText="1"/>
    </xf>
    <xf numFmtId="179" fontId="52" fillId="0" borderId="23" xfId="262" applyNumberFormat="1" applyFont="1" applyBorder="1" applyAlignment="1">
      <alignment horizontal="right" vertical="center" wrapText="1"/>
    </xf>
    <xf numFmtId="0" fontId="52" fillId="0" borderId="22" xfId="262" applyFont="1" applyBorder="1" applyAlignment="1">
      <alignment horizontal="justify" vertical="center" wrapText="1"/>
    </xf>
    <xf numFmtId="0" fontId="52" fillId="0" borderId="18" xfId="262" applyFont="1" applyBorder="1" applyAlignment="1">
      <alignment horizontal="justify" vertical="center" wrapText="1"/>
    </xf>
    <xf numFmtId="0" fontId="52" fillId="0" borderId="23" xfId="262" applyFont="1" applyBorder="1" applyAlignment="1">
      <alignment horizontal="justify" vertical="center" wrapText="1"/>
    </xf>
    <xf numFmtId="0" fontId="52" fillId="0" borderId="16" xfId="262" applyFont="1" applyBorder="1" applyAlignment="1">
      <alignment horizontal="justify" vertical="center" wrapText="1"/>
    </xf>
    <xf numFmtId="0" fontId="52" fillId="0" borderId="17" xfId="262" applyFont="1" applyBorder="1" applyAlignment="1">
      <alignment horizontal="justify" vertical="center" wrapText="1"/>
    </xf>
    <xf numFmtId="0" fontId="52" fillId="0" borderId="0" xfId="262" applyFont="1" applyAlignment="1">
      <alignment horizontal="justify" vertical="center" wrapText="1"/>
    </xf>
    <xf numFmtId="14" fontId="20" fillId="0" borderId="0" xfId="262" applyNumberFormat="1" applyFont="1" applyAlignment="1">
      <alignment horizontal="right"/>
    </xf>
    <xf numFmtId="0" fontId="20" fillId="0" borderId="0" xfId="262" applyNumberFormat="1" applyAlignment="1">
      <alignment horizontal="right"/>
    </xf>
    <xf numFmtId="0" fontId="50" fillId="0" borderId="0" xfId="262" applyFont="1" applyAlignment="1">
      <alignment horizontal="center" vertical="center"/>
    </xf>
    <xf numFmtId="0" fontId="45" fillId="0" borderId="0" xfId="262" applyFont="1" applyAlignment="1">
      <alignment horizontal="center" vertical="center"/>
    </xf>
    <xf numFmtId="0" fontId="53" fillId="0" borderId="53" xfId="262" applyFont="1" applyBorder="1" applyAlignment="1">
      <alignment horizontal="center" vertical="center" wrapText="1"/>
    </xf>
    <xf numFmtId="0" fontId="53" fillId="0" borderId="56" xfId="262" applyFont="1" applyBorder="1" applyAlignment="1">
      <alignment horizontal="center" vertical="center" wrapText="1"/>
    </xf>
    <xf numFmtId="0" fontId="53" fillId="0" borderId="55" xfId="262" applyFont="1" applyBorder="1" applyAlignment="1">
      <alignment horizontal="center" vertical="center" wrapText="1"/>
    </xf>
    <xf numFmtId="0" fontId="16" fillId="0" borderId="54" xfId="262" applyFont="1" applyBorder="1" applyAlignment="1">
      <alignment horizontal="justify" vertical="center" wrapText="1"/>
    </xf>
    <xf numFmtId="0" fontId="16" fillId="0" borderId="52" xfId="262" applyFont="1" applyBorder="1" applyAlignment="1">
      <alignment horizontal="justify" vertical="center" wrapText="1"/>
    </xf>
    <xf numFmtId="0" fontId="53" fillId="0" borderId="54" xfId="262" applyFont="1" applyBorder="1" applyAlignment="1">
      <alignment horizontal="justify" vertical="center" wrapText="1"/>
    </xf>
    <xf numFmtId="0" fontId="53" fillId="0" borderId="52" xfId="262" applyFont="1" applyBorder="1" applyAlignment="1">
      <alignment horizontal="justify" vertical="center" wrapText="1"/>
    </xf>
    <xf numFmtId="0" fontId="20" fillId="0" borderId="56" xfId="262" applyBorder="1" applyAlignment="1">
      <alignment horizontal="center" vertical="top" wrapText="1"/>
    </xf>
    <xf numFmtId="0" fontId="20" fillId="0" borderId="55" xfId="262" applyBorder="1" applyAlignment="1">
      <alignment horizontal="center" vertical="top" wrapText="1"/>
    </xf>
    <xf numFmtId="0" fontId="52" fillId="0" borderId="15" xfId="262" applyFont="1" applyBorder="1" applyAlignment="1">
      <alignment horizontal="left" vertical="top" wrapText="1"/>
    </xf>
    <xf numFmtId="0" fontId="52" fillId="0" borderId="21" xfId="262" applyFont="1" applyBorder="1" applyAlignment="1">
      <alignment horizontal="left" vertical="top" wrapText="1"/>
    </xf>
    <xf numFmtId="0" fontId="52" fillId="0" borderId="16" xfId="262" applyFont="1" applyBorder="1" applyAlignment="1">
      <alignment horizontal="left" vertical="top" wrapText="1"/>
    </xf>
    <xf numFmtId="0" fontId="52" fillId="0" borderId="17" xfId="262" applyFont="1" applyBorder="1" applyAlignment="1">
      <alignment horizontal="left" vertical="top" wrapText="1"/>
    </xf>
    <xf numFmtId="0" fontId="52" fillId="0" borderId="22" xfId="262" applyFont="1" applyBorder="1" applyAlignment="1">
      <alignment horizontal="left" vertical="top" wrapText="1"/>
    </xf>
    <xf numFmtId="0" fontId="52" fillId="0" borderId="23" xfId="262" applyFont="1" applyBorder="1" applyAlignment="1">
      <alignment horizontal="left" vertical="top" wrapText="1"/>
    </xf>
    <xf numFmtId="0" fontId="52" fillId="0" borderId="54" xfId="262" applyFont="1" applyBorder="1" applyAlignment="1">
      <alignment horizontal="justify" vertical="center" wrapText="1"/>
    </xf>
    <xf numFmtId="0" fontId="52" fillId="0" borderId="52" xfId="262" applyFont="1" applyBorder="1" applyAlignment="1">
      <alignment horizontal="justify" vertical="center" wrapText="1"/>
    </xf>
    <xf numFmtId="0" fontId="52" fillId="0" borderId="54" xfId="262" applyFont="1" applyBorder="1" applyAlignment="1">
      <alignment horizontal="justify" vertical="top" wrapText="1"/>
    </xf>
    <xf numFmtId="0" fontId="52" fillId="0" borderId="52" xfId="262" applyFont="1" applyBorder="1" applyAlignment="1">
      <alignment horizontal="justify" vertical="top" wrapText="1"/>
    </xf>
    <xf numFmtId="0" fontId="52" fillId="0" borderId="50" xfId="262" applyFont="1" applyBorder="1" applyAlignment="1">
      <alignment horizontal="justify" vertical="top" wrapText="1"/>
    </xf>
    <xf numFmtId="0" fontId="52" fillId="0" borderId="15" xfId="262" applyFont="1" applyBorder="1" applyAlignment="1">
      <alignment horizontal="justify" vertical="center" wrapText="1"/>
    </xf>
    <xf numFmtId="0" fontId="52" fillId="0" borderId="21" xfId="262" applyFont="1" applyBorder="1" applyAlignment="1">
      <alignment horizontal="justify" vertical="center" wrapText="1"/>
    </xf>
    <xf numFmtId="0" fontId="52" fillId="0" borderId="19" xfId="262" applyFont="1" applyBorder="1" applyAlignment="1">
      <alignment horizontal="justify" vertical="center" wrapText="1"/>
    </xf>
    <xf numFmtId="0" fontId="20" fillId="0" borderId="0" xfId="262" applyFont="1"/>
    <xf numFmtId="0" fontId="20" fillId="0" borderId="0" xfId="262"/>
    <xf numFmtId="0" fontId="46" fillId="0" borderId="0" xfId="262" applyFont="1" applyAlignment="1">
      <alignment horizontal="right" vertical="center"/>
    </xf>
    <xf numFmtId="0" fontId="26" fillId="0" borderId="0" xfId="262" applyFont="1" applyAlignment="1">
      <alignment vertical="center" wrapText="1"/>
    </xf>
    <xf numFmtId="0" fontId="20" fillId="0" borderId="0" xfId="262" applyFont="1" applyAlignment="1">
      <alignment horizontal="left" vertical="center"/>
    </xf>
    <xf numFmtId="0" fontId="20" fillId="0" borderId="0" xfId="262" applyAlignment="1">
      <alignment horizontal="left" vertical="center"/>
    </xf>
    <xf numFmtId="0" fontId="66" fillId="0" borderId="50" xfId="3" applyNumberFormat="1" applyFont="1" applyBorder="1" applyAlignment="1">
      <alignment horizontal="center" vertical="center"/>
    </xf>
    <xf numFmtId="0" fontId="67" fillId="0" borderId="50" xfId="3" applyNumberFormat="1" applyFont="1" applyBorder="1" applyAlignment="1">
      <alignment horizontal="center" vertical="center" wrapText="1"/>
    </xf>
    <xf numFmtId="183" fontId="68" fillId="0" borderId="50" xfId="3" applyNumberFormat="1" applyFont="1" applyBorder="1" applyAlignment="1">
      <alignment horizontal="center" vertical="center"/>
    </xf>
    <xf numFmtId="0" fontId="66" fillId="0" borderId="50" xfId="3" applyNumberFormat="1" applyFont="1" applyBorder="1" applyAlignment="1">
      <alignment horizontal="center" vertical="center" wrapText="1"/>
    </xf>
    <xf numFmtId="0" fontId="66" fillId="0" borderId="52" xfId="3" applyNumberFormat="1" applyFont="1" applyBorder="1" applyAlignment="1">
      <alignment horizontal="center" vertical="center"/>
    </xf>
    <xf numFmtId="49" fontId="55" fillId="0" borderId="15" xfId="3" applyNumberFormat="1" applyFont="1" applyBorder="1" applyAlignment="1">
      <alignment horizontal="left" vertical="top"/>
    </xf>
    <xf numFmtId="49" fontId="55" fillId="0" borderId="19" xfId="3" applyNumberFormat="1" applyFont="1" applyBorder="1" applyAlignment="1">
      <alignment horizontal="left" vertical="top"/>
    </xf>
    <xf numFmtId="49" fontId="55" fillId="0" borderId="21" xfId="3" applyNumberFormat="1" applyFont="1" applyBorder="1" applyAlignment="1">
      <alignment horizontal="left" vertical="top"/>
    </xf>
    <xf numFmtId="49" fontId="55" fillId="0" borderId="22" xfId="3" applyNumberFormat="1" applyFont="1" applyBorder="1" applyAlignment="1">
      <alignment horizontal="left" vertical="top"/>
    </xf>
    <xf numFmtId="49" fontId="55" fillId="0" borderId="18" xfId="3" applyNumberFormat="1" applyFont="1" applyBorder="1" applyAlignment="1">
      <alignment horizontal="left" vertical="top"/>
    </xf>
    <xf numFmtId="49" fontId="55" fillId="0" borderId="23" xfId="3" applyNumberFormat="1" applyFont="1" applyBorder="1" applyAlignment="1">
      <alignment horizontal="left" vertical="top"/>
    </xf>
    <xf numFmtId="0" fontId="55" fillId="0" borderId="16" xfId="3" applyNumberFormat="1" applyFont="1" applyBorder="1" applyAlignment="1">
      <alignment horizontal="left" vertical="top"/>
    </xf>
    <xf numFmtId="0" fontId="36" fillId="0" borderId="0" xfId="3" applyNumberFormat="1" applyFont="1" applyBorder="1" applyAlignment="1">
      <alignment horizontal="left" vertical="top"/>
    </xf>
    <xf numFmtId="0" fontId="36" fillId="0" borderId="17" xfId="3" applyNumberFormat="1" applyFont="1" applyBorder="1" applyAlignment="1">
      <alignment horizontal="left" vertical="top"/>
    </xf>
    <xf numFmtId="0" fontId="36" fillId="0" borderId="22" xfId="3" applyNumberFormat="1" applyFont="1" applyBorder="1" applyAlignment="1">
      <alignment horizontal="left" vertical="top"/>
    </xf>
    <xf numFmtId="0" fontId="36" fillId="0" borderId="18" xfId="3" applyNumberFormat="1" applyFont="1" applyBorder="1" applyAlignment="1">
      <alignment horizontal="left" vertical="top"/>
    </xf>
    <xf numFmtId="0" fontId="36" fillId="0" borderId="23" xfId="3" applyNumberFormat="1" applyFont="1" applyBorder="1" applyAlignment="1">
      <alignment horizontal="left" vertical="top"/>
    </xf>
    <xf numFmtId="49" fontId="65" fillId="0" borderId="19" xfId="3" applyNumberFormat="1" applyFont="1" applyBorder="1" applyAlignment="1">
      <alignment horizontal="center" vertical="center"/>
    </xf>
    <xf numFmtId="49" fontId="65" fillId="0" borderId="50" xfId="3" applyNumberFormat="1" applyFont="1" applyBorder="1" applyAlignment="1">
      <alignment horizontal="center" vertical="center"/>
    </xf>
    <xf numFmtId="49" fontId="65" fillId="0" borderId="21" xfId="3" applyNumberFormat="1" applyFont="1" applyBorder="1" applyAlignment="1">
      <alignment horizontal="center" vertical="center"/>
    </xf>
    <xf numFmtId="49" fontId="55" fillId="0" borderId="0" xfId="3" applyNumberFormat="1" applyFont="1" applyAlignment="1">
      <alignment horizontal="center" vertical="center"/>
    </xf>
    <xf numFmtId="49" fontId="36" fillId="0" borderId="22" xfId="3" applyNumberFormat="1" applyFont="1" applyBorder="1" applyAlignment="1">
      <alignment horizontal="left" vertical="top"/>
    </xf>
    <xf numFmtId="49" fontId="36" fillId="0" borderId="18" xfId="3" applyNumberFormat="1" applyFont="1" applyBorder="1" applyAlignment="1">
      <alignment horizontal="left" vertical="top"/>
    </xf>
    <xf numFmtId="49" fontId="36" fillId="0" borderId="23" xfId="3" applyNumberFormat="1" applyFont="1" applyBorder="1" applyAlignment="1">
      <alignment horizontal="left" vertical="top"/>
    </xf>
    <xf numFmtId="0" fontId="64" fillId="0" borderId="18" xfId="3" applyFont="1" applyBorder="1"/>
    <xf numFmtId="0" fontId="64" fillId="0" borderId="23" xfId="3" applyFont="1" applyBorder="1"/>
    <xf numFmtId="49" fontId="36" fillId="0" borderId="0" xfId="3" applyNumberFormat="1" applyFont="1" applyAlignment="1">
      <alignment horizontal="center" vertical="center"/>
    </xf>
    <xf numFmtId="49" fontId="55" fillId="0" borderId="0" xfId="3" applyNumberFormat="1" applyFont="1" applyBorder="1" applyAlignment="1">
      <alignment horizontal="left" vertical="top"/>
    </xf>
    <xf numFmtId="0" fontId="36" fillId="0" borderId="22" xfId="3" applyNumberFormat="1" applyFont="1" applyBorder="1" applyAlignment="1">
      <alignment horizontal="center" vertical="top"/>
    </xf>
    <xf numFmtId="0" fontId="36" fillId="0" borderId="18" xfId="3" applyNumberFormat="1" applyFont="1" applyBorder="1" applyAlignment="1">
      <alignment horizontal="center" vertical="top"/>
    </xf>
    <xf numFmtId="49" fontId="55" fillId="0" borderId="19" xfId="3" applyNumberFormat="1" applyFont="1" applyBorder="1" applyAlignment="1">
      <alignment horizontal="right" vertical="top"/>
    </xf>
    <xf numFmtId="49" fontId="55" fillId="0" borderId="21" xfId="3" applyNumberFormat="1" applyFont="1" applyBorder="1" applyAlignment="1">
      <alignment horizontal="right" vertical="top"/>
    </xf>
    <xf numFmtId="49" fontId="63" fillId="0" borderId="0" xfId="3" applyNumberFormat="1" applyFont="1" applyAlignment="1">
      <alignment horizontal="center" vertical="center"/>
    </xf>
    <xf numFmtId="14" fontId="36" fillId="0" borderId="22" xfId="3" applyNumberFormat="1" applyFont="1" applyBorder="1" applyAlignment="1">
      <alignment horizontal="left" vertical="top"/>
    </xf>
    <xf numFmtId="49" fontId="66" fillId="0" borderId="50" xfId="3" applyNumberFormat="1" applyFont="1" applyBorder="1" applyAlignment="1">
      <alignment horizontal="center" vertical="center"/>
    </xf>
    <xf numFmtId="0" fontId="20" fillId="0" borderId="3" xfId="0" applyFont="1" applyBorder="1" applyAlignment="1">
      <alignment horizontal="center" vertical="top" wrapText="1"/>
    </xf>
    <xf numFmtId="0" fontId="20" fillId="0" borderId="5" xfId="0" applyFont="1" applyBorder="1" applyAlignment="1">
      <alignment horizontal="center" vertical="top"/>
    </xf>
    <xf numFmtId="0" fontId="20" fillId="0" borderId="7" xfId="0" applyFont="1" applyBorder="1" applyAlignment="1">
      <alignment horizontal="center" vertical="top"/>
    </xf>
    <xf numFmtId="0" fontId="20" fillId="0" borderId="6" xfId="0" applyFont="1" applyBorder="1" applyAlignment="1">
      <alignment horizontal="center" vertical="top"/>
    </xf>
    <xf numFmtId="0" fontId="20" fillId="0" borderId="8" xfId="0" applyFont="1" applyBorder="1" applyAlignment="1">
      <alignment horizontal="center" vertical="top"/>
    </xf>
    <xf numFmtId="0" fontId="20" fillId="0" borderId="9" xfId="0" applyFont="1" applyBorder="1" applyAlignment="1">
      <alignment horizontal="center" vertical="top"/>
    </xf>
    <xf numFmtId="0" fontId="20" fillId="0" borderId="4" xfId="0" applyFont="1" applyBorder="1" applyAlignment="1">
      <alignment horizontal="center" vertical="top"/>
    </xf>
    <xf numFmtId="0" fontId="20" fillId="0" borderId="0" xfId="0" applyFont="1" applyBorder="1" applyAlignment="1">
      <alignment horizontal="center" vertical="top"/>
    </xf>
    <xf numFmtId="0" fontId="20" fillId="0" borderId="1" xfId="0" applyFont="1" applyBorder="1" applyAlignment="1">
      <alignment horizontal="center" vertical="top"/>
    </xf>
    <xf numFmtId="0" fontId="19" fillId="0" borderId="20" xfId="0" applyFont="1" applyBorder="1" applyAlignment="1">
      <alignment horizontal="left" vertical="center" wrapText="1"/>
    </xf>
    <xf numFmtId="0" fontId="19" fillId="0" borderId="2" xfId="0" applyFont="1" applyBorder="1" applyAlignment="1">
      <alignment horizontal="left" vertical="center" wrapText="1"/>
    </xf>
    <xf numFmtId="0" fontId="19" fillId="0" borderId="13" xfId="0" applyFont="1" applyBorder="1" applyAlignment="1">
      <alignment horizontal="left" vertical="center" wrapText="1"/>
    </xf>
    <xf numFmtId="0" fontId="19" fillId="0" borderId="20" xfId="0" applyFont="1" applyBorder="1" applyAlignment="1">
      <alignment horizontal="left" wrapText="1"/>
    </xf>
    <xf numFmtId="0" fontId="19" fillId="0" borderId="2" xfId="0" applyFont="1" applyBorder="1" applyAlignment="1">
      <alignment horizontal="left"/>
    </xf>
    <xf numFmtId="0" fontId="19" fillId="0" borderId="13" xfId="0" applyFont="1" applyBorder="1" applyAlignment="1">
      <alignment horizontal="left"/>
    </xf>
    <xf numFmtId="0" fontId="32" fillId="0" borderId="20" xfId="0" applyFont="1" applyBorder="1" applyAlignment="1">
      <alignment horizontal="left" wrapText="1"/>
    </xf>
    <xf numFmtId="0" fontId="32" fillId="0" borderId="2" xfId="0" applyFont="1" applyBorder="1" applyAlignment="1">
      <alignment horizontal="left"/>
    </xf>
    <xf numFmtId="0" fontId="32" fillId="0" borderId="13" xfId="0" applyFont="1" applyBorder="1" applyAlignment="1">
      <alignment horizontal="left"/>
    </xf>
    <xf numFmtId="0" fontId="19" fillId="0" borderId="20" xfId="0" applyFont="1" applyBorder="1" applyAlignment="1">
      <alignment horizontal="left" vertical="center"/>
    </xf>
    <xf numFmtId="0" fontId="19" fillId="0" borderId="2" xfId="0" applyFont="1" applyBorder="1" applyAlignment="1">
      <alignment horizontal="left" vertical="center"/>
    </xf>
    <xf numFmtId="0" fontId="19" fillId="0" borderId="13" xfId="0" applyFont="1" applyBorder="1" applyAlignment="1">
      <alignment horizontal="left" vertical="center"/>
    </xf>
    <xf numFmtId="0" fontId="1" fillId="0" borderId="20" xfId="0" applyFont="1" applyBorder="1" applyAlignment="1">
      <alignment horizontal="left" vertical="top" wrapText="1"/>
    </xf>
    <xf numFmtId="0" fontId="1" fillId="0" borderId="2" xfId="0" applyFont="1" applyBorder="1" applyAlignment="1">
      <alignment horizontal="left" vertical="top" wrapText="1"/>
    </xf>
    <xf numFmtId="0" fontId="1" fillId="0" borderId="13" xfId="0" applyFont="1" applyBorder="1" applyAlignment="1">
      <alignment horizontal="left" vertical="top" wrapText="1"/>
    </xf>
    <xf numFmtId="0" fontId="19" fillId="0" borderId="14" xfId="0" applyFont="1" applyBorder="1" applyAlignment="1">
      <alignment horizontal="center" vertical="center" wrapText="1"/>
    </xf>
    <xf numFmtId="0" fontId="19" fillId="0" borderId="11" xfId="0" applyFont="1" applyBorder="1" applyAlignment="1">
      <alignment horizontal="center" vertical="center" wrapText="1"/>
    </xf>
    <xf numFmtId="0" fontId="1" fillId="0" borderId="20" xfId="0" applyFont="1" applyBorder="1" applyAlignment="1">
      <alignment horizontal="left" vertical="center"/>
    </xf>
    <xf numFmtId="0" fontId="1" fillId="0" borderId="2" xfId="0" applyFont="1" applyBorder="1" applyAlignment="1">
      <alignment horizontal="left" vertical="center"/>
    </xf>
    <xf numFmtId="0" fontId="10" fillId="0" borderId="14" xfId="0" applyFont="1" applyBorder="1" applyAlignment="1">
      <alignment horizontal="center" vertical="center" wrapText="1"/>
    </xf>
    <xf numFmtId="0" fontId="10" fillId="0" borderId="11" xfId="0" applyFont="1" applyBorder="1" applyAlignment="1">
      <alignment horizontal="center" vertical="center" wrapText="1"/>
    </xf>
    <xf numFmtId="0" fontId="27" fillId="0" borderId="1" xfId="0" applyFont="1" applyBorder="1" applyAlignment="1">
      <alignment horizontal="center" vertical="top" wrapText="1"/>
    </xf>
    <xf numFmtId="0" fontId="27" fillId="0" borderId="1" xfId="0" applyFont="1" applyBorder="1" applyAlignment="1">
      <alignment horizontal="center" vertical="top"/>
    </xf>
    <xf numFmtId="0" fontId="32" fillId="0" borderId="20" xfId="0" applyFont="1" applyBorder="1" applyAlignment="1">
      <alignment horizontal="left" vertical="center"/>
    </xf>
    <xf numFmtId="0" fontId="32" fillId="0" borderId="2" xfId="0" applyFont="1" applyBorder="1" applyAlignment="1">
      <alignment horizontal="left" vertical="center"/>
    </xf>
    <xf numFmtId="0" fontId="32" fillId="0" borderId="13" xfId="0" applyFont="1" applyBorder="1" applyAlignment="1">
      <alignment horizontal="left" vertical="center"/>
    </xf>
    <xf numFmtId="0" fontId="19" fillId="0" borderId="20" xfId="0" applyNumberFormat="1" applyFont="1" applyBorder="1" applyAlignment="1">
      <alignment horizontal="left" vertical="center"/>
    </xf>
    <xf numFmtId="0" fontId="19" fillId="0" borderId="2" xfId="0" applyNumberFormat="1" applyFont="1" applyBorder="1" applyAlignment="1">
      <alignment horizontal="left" vertical="center"/>
    </xf>
    <xf numFmtId="0" fontId="19" fillId="0" borderId="13" xfId="0" applyNumberFormat="1" applyFont="1" applyBorder="1" applyAlignment="1">
      <alignment horizontal="left" vertical="center"/>
    </xf>
    <xf numFmtId="0" fontId="19" fillId="0" borderId="16" xfId="0" applyFont="1" applyBorder="1" applyAlignment="1">
      <alignment horizontal="center" vertical="center"/>
    </xf>
    <xf numFmtId="0" fontId="19" fillId="0" borderId="0" xfId="0" applyFont="1" applyBorder="1" applyAlignment="1">
      <alignment horizontal="center" vertical="center"/>
    </xf>
    <xf numFmtId="0" fontId="19" fillId="0" borderId="17" xfId="0" applyFont="1" applyBorder="1" applyAlignment="1">
      <alignment horizontal="center" vertical="center"/>
    </xf>
    <xf numFmtId="0" fontId="19" fillId="0" borderId="41" xfId="0" applyFont="1" applyBorder="1" applyAlignment="1">
      <alignment horizontal="center" vertical="center"/>
    </xf>
    <xf numFmtId="0" fontId="19" fillId="0" borderId="42" xfId="0" applyFont="1" applyBorder="1" applyAlignment="1">
      <alignment horizontal="center" vertical="center"/>
    </xf>
    <xf numFmtId="0" fontId="19" fillId="0" borderId="43" xfId="0" applyFont="1" applyBorder="1" applyAlignment="1">
      <alignment horizontal="center" vertical="center"/>
    </xf>
    <xf numFmtId="0" fontId="19" fillId="0" borderId="16" xfId="0" applyFont="1" applyBorder="1" applyAlignment="1">
      <alignment horizontal="left" vertical="center"/>
    </xf>
    <xf numFmtId="0" fontId="19" fillId="0" borderId="0" xfId="0" applyFont="1" applyBorder="1" applyAlignment="1">
      <alignment horizontal="left" vertical="center"/>
    </xf>
    <xf numFmtId="0" fontId="19" fillId="0" borderId="17" xfId="0" applyFont="1" applyBorder="1" applyAlignment="1">
      <alignment horizontal="left" vertical="center"/>
    </xf>
    <xf numFmtId="0" fontId="19" fillId="0" borderId="22" xfId="0" applyFont="1" applyBorder="1" applyAlignment="1">
      <alignment horizontal="center" vertical="center"/>
    </xf>
    <xf numFmtId="0" fontId="19" fillId="0" borderId="18" xfId="0" applyFont="1" applyBorder="1" applyAlignment="1">
      <alignment horizontal="center" vertical="center"/>
    </xf>
    <xf numFmtId="0" fontId="19" fillId="0" borderId="23" xfId="0" applyFont="1" applyBorder="1" applyAlignment="1">
      <alignment horizontal="center" vertical="center"/>
    </xf>
    <xf numFmtId="0" fontId="19" fillId="0" borderId="44" xfId="0" applyFont="1" applyBorder="1" applyAlignment="1">
      <alignment horizontal="left" vertical="center"/>
    </xf>
    <xf numFmtId="0" fontId="19" fillId="0" borderId="45" xfId="0" applyFont="1" applyBorder="1" applyAlignment="1">
      <alignment horizontal="left" vertical="center"/>
    </xf>
    <xf numFmtId="0" fontId="19" fillId="0" borderId="46" xfId="0" applyFont="1" applyBorder="1" applyAlignment="1">
      <alignment horizontal="left" vertical="center"/>
    </xf>
    <xf numFmtId="31" fontId="19" fillId="0" borderId="22" xfId="0" applyNumberFormat="1" applyFont="1" applyBorder="1" applyAlignment="1">
      <alignment horizontal="center" vertical="center"/>
    </xf>
    <xf numFmtId="0" fontId="19" fillId="0" borderId="27" xfId="0" applyFont="1" applyBorder="1" applyAlignment="1">
      <alignment horizontal="center" vertical="center"/>
    </xf>
    <xf numFmtId="0" fontId="19" fillId="0" borderId="10" xfId="0" applyFont="1" applyBorder="1" applyAlignment="1">
      <alignment horizontal="center" vertical="center"/>
    </xf>
    <xf numFmtId="0" fontId="19" fillId="0" borderId="29" xfId="0" applyFont="1" applyBorder="1" applyAlignment="1">
      <alignment horizontal="center" vertical="center"/>
    </xf>
    <xf numFmtId="0" fontId="19" fillId="0" borderId="30" xfId="0" applyFont="1" applyBorder="1" applyAlignment="1">
      <alignment horizontal="center" vertical="center"/>
    </xf>
    <xf numFmtId="0" fontId="19" fillId="0" borderId="38" xfId="0" applyFont="1" applyBorder="1" applyAlignment="1">
      <alignment horizontal="left" vertical="center"/>
    </xf>
    <xf numFmtId="0" fontId="19" fillId="0" borderId="39" xfId="0" applyFont="1" applyBorder="1" applyAlignment="1">
      <alignment horizontal="left" vertical="center"/>
    </xf>
    <xf numFmtId="0" fontId="19" fillId="0" borderId="40" xfId="0" applyFont="1" applyBorder="1" applyAlignment="1">
      <alignment horizontal="left" vertical="center"/>
    </xf>
    <xf numFmtId="0" fontId="19" fillId="0" borderId="31" xfId="0" applyFont="1" applyBorder="1" applyAlignment="1">
      <alignment horizontal="center" vertical="center"/>
    </xf>
    <xf numFmtId="0" fontId="19" fillId="0" borderId="32" xfId="0" applyFont="1" applyBorder="1" applyAlignment="1">
      <alignment horizontal="left" vertical="center"/>
    </xf>
    <xf numFmtId="0" fontId="19" fillId="0" borderId="33" xfId="0" applyFont="1" applyBorder="1" applyAlignment="1">
      <alignment horizontal="left" vertical="center"/>
    </xf>
    <xf numFmtId="0" fontId="19" fillId="0" borderId="34" xfId="0" applyFont="1" applyBorder="1" applyAlignment="1">
      <alignment horizontal="left" vertical="center"/>
    </xf>
    <xf numFmtId="0" fontId="19" fillId="0" borderId="20" xfId="0" applyFont="1" applyBorder="1" applyAlignment="1">
      <alignment horizontal="center" vertical="center"/>
    </xf>
    <xf numFmtId="0" fontId="19" fillId="0" borderId="2" xfId="0" applyFont="1" applyBorder="1" applyAlignment="1">
      <alignment horizontal="center" vertical="center"/>
    </xf>
    <xf numFmtId="0" fontId="19" fillId="0" borderId="35" xfId="0" applyFont="1" applyBorder="1" applyAlignment="1">
      <alignment horizontal="center" vertical="center"/>
    </xf>
    <xf numFmtId="9" fontId="19" fillId="0" borderId="10" xfId="0" applyNumberFormat="1" applyFont="1" applyBorder="1" applyAlignment="1">
      <alignment horizontal="center" vertical="center"/>
    </xf>
    <xf numFmtId="0" fontId="19" fillId="0" borderId="28" xfId="0" applyFont="1" applyBorder="1" applyAlignment="1">
      <alignment horizontal="center" vertical="center"/>
    </xf>
    <xf numFmtId="0" fontId="19" fillId="0" borderId="4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3" xfId="0" applyFont="1" applyBorder="1" applyAlignment="1">
      <alignment horizontal="center" vertical="center"/>
    </xf>
    <xf numFmtId="0" fontId="19" fillId="0" borderId="4" xfId="0" applyFont="1" applyBorder="1" applyAlignment="1">
      <alignment horizontal="center" vertical="center"/>
    </xf>
    <xf numFmtId="0" fontId="19" fillId="0" borderId="24"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28" fillId="0" borderId="0" xfId="0" applyFont="1" applyAlignment="1">
      <alignment horizontal="center" vertical="center"/>
    </xf>
    <xf numFmtId="0" fontId="19" fillId="0" borderId="12" xfId="0" applyFont="1" applyBorder="1" applyAlignment="1">
      <alignment horizontal="center" vertical="center"/>
    </xf>
    <xf numFmtId="0" fontId="19" fillId="0" borderId="49" xfId="0" applyFont="1" applyBorder="1" applyAlignment="1">
      <alignment horizontal="center" vertical="center"/>
    </xf>
    <xf numFmtId="0" fontId="9" fillId="0" borderId="0" xfId="2" applyFont="1" applyBorder="1" applyAlignment="1">
      <alignment horizontal="left"/>
    </xf>
    <xf numFmtId="0" fontId="9" fillId="0" borderId="0" xfId="2" applyFont="1" applyBorder="1" applyAlignment="1">
      <alignment horizontal="center"/>
    </xf>
    <xf numFmtId="183" fontId="8" fillId="0" borderId="10" xfId="2" applyNumberFormat="1" applyFont="1" applyBorder="1" applyAlignment="1">
      <alignment horizontal="center"/>
    </xf>
    <xf numFmtId="0" fontId="30" fillId="0" borderId="20" xfId="2" applyFont="1" applyBorder="1" applyAlignment="1">
      <alignment horizontal="center" vertical="center" wrapText="1"/>
    </xf>
    <xf numFmtId="0" fontId="30" fillId="0" borderId="2" xfId="2" applyFont="1" applyBorder="1" applyAlignment="1">
      <alignment horizontal="center" vertical="center" wrapText="1"/>
    </xf>
    <xf numFmtId="0" fontId="30" fillId="0" borderId="13" xfId="2" applyFont="1" applyBorder="1" applyAlignment="1">
      <alignment horizontal="center" vertical="center" wrapText="1"/>
    </xf>
    <xf numFmtId="0" fontId="6" fillId="0" borderId="0" xfId="2" applyFont="1" applyAlignment="1">
      <alignment horizontal="center"/>
    </xf>
    <xf numFmtId="0" fontId="8" fillId="0" borderId="0" xfId="2" applyFont="1" applyAlignment="1">
      <alignment horizontal="right"/>
    </xf>
    <xf numFmtId="0" fontId="9" fillId="0" borderId="0" xfId="2" applyFont="1" applyAlignment="1">
      <alignment horizontal="left" vertical="center" wrapText="1"/>
    </xf>
    <xf numFmtId="183" fontId="11" fillId="0" borderId="10" xfId="2" applyNumberFormat="1" applyFont="1" applyBorder="1" applyAlignment="1">
      <alignment horizontal="center" vertical="center"/>
    </xf>
    <xf numFmtId="0" fontId="11" fillId="0" borderId="20" xfId="2" applyFont="1" applyBorder="1" applyAlignment="1">
      <alignment horizontal="center" vertical="center"/>
    </xf>
    <xf numFmtId="0" fontId="11" fillId="0" borderId="2" xfId="2" applyFont="1" applyBorder="1" applyAlignment="1">
      <alignment horizontal="center" vertical="center"/>
    </xf>
    <xf numFmtId="0" fontId="11" fillId="0" borderId="13" xfId="2" applyFont="1" applyBorder="1" applyAlignment="1">
      <alignment horizontal="center" vertical="center"/>
    </xf>
    <xf numFmtId="0" fontId="11" fillId="0" borderId="20" xfId="2" applyFont="1" applyBorder="1" applyAlignment="1">
      <alignment horizontal="center" vertical="center" wrapText="1"/>
    </xf>
    <xf numFmtId="0" fontId="11" fillId="0" borderId="13" xfId="2" applyFont="1" applyBorder="1" applyAlignment="1">
      <alignment horizontal="center" vertical="center" wrapText="1"/>
    </xf>
    <xf numFmtId="0" fontId="9" fillId="0" borderId="0" xfId="2" applyNumberFormat="1" applyFont="1" applyBorder="1" applyAlignment="1">
      <alignment horizontal="center"/>
    </xf>
    <xf numFmtId="0" fontId="7" fillId="0" borderId="0" xfId="0" applyFont="1" applyAlignment="1">
      <alignment horizontal="left" vertical="center" wrapText="1"/>
    </xf>
    <xf numFmtId="0" fontId="4" fillId="0" borderId="0" xfId="0" applyFont="1" applyAlignment="1">
      <alignment horizontal="center"/>
    </xf>
    <xf numFmtId="0" fontId="7" fillId="0" borderId="0" xfId="0" applyFont="1" applyAlignment="1">
      <alignment vertical="center" wrapText="1"/>
    </xf>
    <xf numFmtId="0" fontId="9" fillId="0" borderId="0" xfId="0" applyFont="1" applyBorder="1" applyAlignment="1">
      <alignment horizontal="left" wrapText="1"/>
    </xf>
    <xf numFmtId="176" fontId="4" fillId="0" borderId="18" xfId="0" applyNumberFormat="1" applyFont="1" applyBorder="1" applyAlignment="1">
      <alignment horizontal="center"/>
    </xf>
    <xf numFmtId="0" fontId="58" fillId="0" borderId="0" xfId="2" applyFont="1" applyAlignment="1">
      <alignment horizontal="center"/>
    </xf>
    <xf numFmtId="0" fontId="9" fillId="0" borderId="0" xfId="2" applyFont="1" applyFill="1" applyAlignment="1">
      <alignment vertical="center" wrapText="1"/>
    </xf>
    <xf numFmtId="0" fontId="6" fillId="0" borderId="0" xfId="2" applyFont="1" applyAlignment="1">
      <alignment horizontal="left" vertical="center" wrapText="1"/>
    </xf>
    <xf numFmtId="0" fontId="8" fillId="0" borderId="7" xfId="0" applyFont="1" applyBorder="1" applyAlignment="1">
      <alignment horizontal="left" vertical="center"/>
    </xf>
    <xf numFmtId="0" fontId="8" fillId="0" borderId="0" xfId="0" applyFont="1" applyBorder="1" applyAlignment="1">
      <alignment horizontal="left" vertical="center"/>
    </xf>
    <xf numFmtId="0" fontId="100" fillId="0" borderId="0" xfId="3" applyFont="1" applyAlignment="1">
      <alignment horizontal="left" vertical="center" wrapText="1"/>
    </xf>
    <xf numFmtId="0" fontId="23" fillId="0" borderId="7" xfId="0" applyFont="1" applyBorder="1" applyAlignment="1">
      <alignment horizontal="left" vertical="center"/>
    </xf>
    <xf numFmtId="0" fontId="23" fillId="0" borderId="0" xfId="0" applyFont="1" applyBorder="1" applyAlignment="1">
      <alignment horizontal="left" vertical="center"/>
    </xf>
  </cellXfs>
  <cellStyles count="264">
    <cellStyle name="20% - 强调文字颜色 1 2" xfId="6"/>
    <cellStyle name="20% - 强调文字颜色 1 3" xfId="7"/>
    <cellStyle name="20% - 强调文字颜色 1 4" xfId="8"/>
    <cellStyle name="20% - 强调文字颜色 1 5" xfId="9"/>
    <cellStyle name="20% - 强调文字颜色 1 6" xfId="10"/>
    <cellStyle name="20% - 强调文字颜色 1 7" xfId="11"/>
    <cellStyle name="20% - 强调文字颜色 2 2" xfId="12"/>
    <cellStyle name="20% - 强调文字颜色 2 3" xfId="13"/>
    <cellStyle name="20% - 强调文字颜色 2 4" xfId="14"/>
    <cellStyle name="20% - 强调文字颜色 2 5" xfId="15"/>
    <cellStyle name="20% - 强调文字颜色 2 6" xfId="16"/>
    <cellStyle name="20% - 强调文字颜色 2 7" xfId="17"/>
    <cellStyle name="20% - 强调文字颜色 3 2" xfId="18"/>
    <cellStyle name="20% - 强调文字颜色 3 3" xfId="19"/>
    <cellStyle name="20% - 强调文字颜色 3 4" xfId="20"/>
    <cellStyle name="20% - 强调文字颜色 3 5" xfId="21"/>
    <cellStyle name="20% - 强调文字颜色 3 6" xfId="22"/>
    <cellStyle name="20% - 强调文字颜色 3 7" xfId="23"/>
    <cellStyle name="20% - 强调文字颜色 4 2" xfId="24"/>
    <cellStyle name="20% - 强调文字颜色 4 3" xfId="25"/>
    <cellStyle name="20% - 强调文字颜色 4 4" xfId="26"/>
    <cellStyle name="20% - 强调文字颜色 4 5" xfId="27"/>
    <cellStyle name="20% - 强调文字颜色 4 6" xfId="28"/>
    <cellStyle name="20% - 强调文字颜色 4 7" xfId="29"/>
    <cellStyle name="20% - 强调文字颜色 5 2" xfId="30"/>
    <cellStyle name="20% - 强调文字颜色 5 3" xfId="31"/>
    <cellStyle name="20% - 强调文字颜色 5 4" xfId="32"/>
    <cellStyle name="20% - 强调文字颜色 5 5" xfId="33"/>
    <cellStyle name="20% - 强调文字颜色 5 6" xfId="34"/>
    <cellStyle name="20% - 强调文字颜色 5 7" xfId="35"/>
    <cellStyle name="20% - 强调文字颜色 6 2" xfId="36"/>
    <cellStyle name="20% - 强调文字颜色 6 3" xfId="37"/>
    <cellStyle name="20% - 强调文字颜色 6 4" xfId="38"/>
    <cellStyle name="20% - 强调文字颜色 6 5" xfId="39"/>
    <cellStyle name="20% - 强调文字颜色 6 6" xfId="40"/>
    <cellStyle name="20% - 强调文字颜色 6 7" xfId="41"/>
    <cellStyle name="40% - 强调文字颜色 1 2" xfId="42"/>
    <cellStyle name="40% - 强调文字颜色 1 3" xfId="43"/>
    <cellStyle name="40% - 强调文字颜色 1 4" xfId="44"/>
    <cellStyle name="40% - 强调文字颜色 1 5" xfId="45"/>
    <cellStyle name="40% - 强调文字颜色 1 6" xfId="46"/>
    <cellStyle name="40% - 强调文字颜色 1 7" xfId="47"/>
    <cellStyle name="40% - 强调文字颜色 2 2" xfId="48"/>
    <cellStyle name="40% - 强调文字颜色 2 3" xfId="49"/>
    <cellStyle name="40% - 强调文字颜色 2 4" xfId="50"/>
    <cellStyle name="40% - 强调文字颜色 2 5" xfId="51"/>
    <cellStyle name="40% - 强调文字颜色 2 6" xfId="52"/>
    <cellStyle name="40% - 强调文字颜色 2 7" xfId="53"/>
    <cellStyle name="40% - 强调文字颜色 3 2" xfId="54"/>
    <cellStyle name="40% - 强调文字颜色 3 3" xfId="55"/>
    <cellStyle name="40% - 强调文字颜色 3 4" xfId="56"/>
    <cellStyle name="40% - 强调文字颜色 3 5" xfId="57"/>
    <cellStyle name="40% - 强调文字颜色 3 6" xfId="58"/>
    <cellStyle name="40% - 强调文字颜色 3 7" xfId="59"/>
    <cellStyle name="40% - 强调文字颜色 4 2" xfId="60"/>
    <cellStyle name="40% - 强调文字颜色 4 3" xfId="61"/>
    <cellStyle name="40% - 强调文字颜色 4 4" xfId="62"/>
    <cellStyle name="40% - 强调文字颜色 4 5" xfId="63"/>
    <cellStyle name="40% - 强调文字颜色 4 6" xfId="64"/>
    <cellStyle name="40% - 强调文字颜色 4 7" xfId="65"/>
    <cellStyle name="40% - 强调文字颜色 5 2" xfId="66"/>
    <cellStyle name="40% - 强调文字颜色 5 3" xfId="67"/>
    <cellStyle name="40% - 强调文字颜色 5 4" xfId="68"/>
    <cellStyle name="40% - 强调文字颜色 5 5" xfId="69"/>
    <cellStyle name="40% - 强调文字颜色 5 6" xfId="70"/>
    <cellStyle name="40% - 强调文字颜色 5 7" xfId="71"/>
    <cellStyle name="40% - 强调文字颜色 6 2" xfId="72"/>
    <cellStyle name="40% - 强调文字颜色 6 3" xfId="73"/>
    <cellStyle name="40% - 强调文字颜色 6 4" xfId="74"/>
    <cellStyle name="40% - 强调文字颜色 6 5" xfId="75"/>
    <cellStyle name="40% - 强调文字颜色 6 6" xfId="76"/>
    <cellStyle name="40% - 强调文字颜色 6 7" xfId="77"/>
    <cellStyle name="60% - 强调文字颜色 1 2" xfId="78"/>
    <cellStyle name="60% - 强调文字颜色 1 3" xfId="79"/>
    <cellStyle name="60% - 强调文字颜色 1 4" xfId="80"/>
    <cellStyle name="60% - 强调文字颜色 1 5" xfId="81"/>
    <cellStyle name="60% - 强调文字颜色 1 6" xfId="82"/>
    <cellStyle name="60% - 强调文字颜色 1 7" xfId="83"/>
    <cellStyle name="60% - 强调文字颜色 2 2" xfId="84"/>
    <cellStyle name="60% - 强调文字颜色 2 3" xfId="85"/>
    <cellStyle name="60% - 强调文字颜色 2 4" xfId="86"/>
    <cellStyle name="60% - 强调文字颜色 2 5" xfId="87"/>
    <cellStyle name="60% - 强调文字颜色 2 6" xfId="88"/>
    <cellStyle name="60% - 强调文字颜色 2 7" xfId="89"/>
    <cellStyle name="60% - 强调文字颜色 3 2" xfId="90"/>
    <cellStyle name="60% - 强调文字颜色 3 3" xfId="91"/>
    <cellStyle name="60% - 强调文字颜色 3 4" xfId="92"/>
    <cellStyle name="60% - 强调文字颜色 3 5" xfId="93"/>
    <cellStyle name="60% - 强调文字颜色 3 6" xfId="94"/>
    <cellStyle name="60% - 强调文字颜色 3 7" xfId="95"/>
    <cellStyle name="60% - 强调文字颜色 4 2" xfId="96"/>
    <cellStyle name="60% - 强调文字颜色 4 3" xfId="97"/>
    <cellStyle name="60% - 强调文字颜色 4 4" xfId="98"/>
    <cellStyle name="60% - 强调文字颜色 4 5" xfId="99"/>
    <cellStyle name="60% - 强调文字颜色 4 6" xfId="100"/>
    <cellStyle name="60% - 强调文字颜色 4 7" xfId="101"/>
    <cellStyle name="60% - 强调文字颜色 5 2" xfId="102"/>
    <cellStyle name="60% - 强调文字颜色 5 3" xfId="103"/>
    <cellStyle name="60% - 强调文字颜色 5 4" xfId="104"/>
    <cellStyle name="60% - 强调文字颜色 5 5" xfId="105"/>
    <cellStyle name="60% - 强调文字颜色 5 6" xfId="106"/>
    <cellStyle name="60% - 强调文字颜色 5 7" xfId="107"/>
    <cellStyle name="60% - 强调文字颜色 6 2" xfId="108"/>
    <cellStyle name="60% - 强调文字颜色 6 3" xfId="109"/>
    <cellStyle name="60% - 强调文字颜色 6 4" xfId="110"/>
    <cellStyle name="60% - 强调文字颜色 6 5" xfId="111"/>
    <cellStyle name="60% - 强调文字颜色 6 6" xfId="112"/>
    <cellStyle name="60% - 强调文字颜色 6 7" xfId="113"/>
    <cellStyle name="标题 1 2" xfId="114"/>
    <cellStyle name="标题 1 3" xfId="115"/>
    <cellStyle name="标题 1 4" xfId="116"/>
    <cellStyle name="标题 1 5" xfId="117"/>
    <cellStyle name="标题 1 6" xfId="118"/>
    <cellStyle name="标题 1 7" xfId="119"/>
    <cellStyle name="标题 10" xfId="120"/>
    <cellStyle name="标题 2 2" xfId="121"/>
    <cellStyle name="标题 2 3" xfId="122"/>
    <cellStyle name="标题 2 4" xfId="123"/>
    <cellStyle name="标题 2 5" xfId="124"/>
    <cellStyle name="标题 2 6" xfId="125"/>
    <cellStyle name="标题 2 7" xfId="126"/>
    <cellStyle name="标题 3 2" xfId="127"/>
    <cellStyle name="标题 3 3" xfId="128"/>
    <cellStyle name="标题 3 4" xfId="129"/>
    <cellStyle name="标题 3 5" xfId="130"/>
    <cellStyle name="标题 3 6" xfId="131"/>
    <cellStyle name="标题 3 7" xfId="132"/>
    <cellStyle name="标题 4 2" xfId="133"/>
    <cellStyle name="标题 4 3" xfId="134"/>
    <cellStyle name="标题 4 4" xfId="135"/>
    <cellStyle name="标题 4 5" xfId="136"/>
    <cellStyle name="标题 4 6" xfId="137"/>
    <cellStyle name="标题 4 7" xfId="138"/>
    <cellStyle name="标题 5" xfId="139"/>
    <cellStyle name="标题 6" xfId="140"/>
    <cellStyle name="标题 7" xfId="141"/>
    <cellStyle name="标题 8" xfId="142"/>
    <cellStyle name="标题 9" xfId="143"/>
    <cellStyle name="差 2" xfId="144"/>
    <cellStyle name="差 3" xfId="145"/>
    <cellStyle name="差 4" xfId="146"/>
    <cellStyle name="差 5" xfId="147"/>
    <cellStyle name="差 6" xfId="148"/>
    <cellStyle name="差 7" xfId="149"/>
    <cellStyle name="常规" xfId="0" builtinId="0"/>
    <cellStyle name="常规 11" xfId="261"/>
    <cellStyle name="常规 2" xfId="2"/>
    <cellStyle name="常规 2 2" xfId="3"/>
    <cellStyle name="常规 2 2 2" xfId="260"/>
    <cellStyle name="常规 2 3" xfId="150"/>
    <cellStyle name="常规 2 4" xfId="262"/>
    <cellStyle name="常规 3" xfId="4"/>
    <cellStyle name="常规 4" xfId="151"/>
    <cellStyle name="常规 5" xfId="152"/>
    <cellStyle name="常规 6" xfId="153"/>
    <cellStyle name="常规 7" xfId="154"/>
    <cellStyle name="常规 8" xfId="155"/>
    <cellStyle name="常规 9" xfId="156"/>
    <cellStyle name="超链接" xfId="1" builtinId="8"/>
    <cellStyle name="超链接 2" xfId="157"/>
    <cellStyle name="好" xfId="263" builtinId="26"/>
    <cellStyle name="好 2" xfId="158"/>
    <cellStyle name="好 3" xfId="159"/>
    <cellStyle name="好 4" xfId="160"/>
    <cellStyle name="好 5" xfId="161"/>
    <cellStyle name="好 6" xfId="162"/>
    <cellStyle name="好 7" xfId="163"/>
    <cellStyle name="汇总 2" xfId="164"/>
    <cellStyle name="汇总 3" xfId="165"/>
    <cellStyle name="汇总 4" xfId="166"/>
    <cellStyle name="汇总 5" xfId="167"/>
    <cellStyle name="汇总 6" xfId="168"/>
    <cellStyle name="汇总 7" xfId="169"/>
    <cellStyle name="计算 2" xfId="170"/>
    <cellStyle name="计算 3" xfId="171"/>
    <cellStyle name="计算 4" xfId="172"/>
    <cellStyle name="计算 5" xfId="173"/>
    <cellStyle name="计算 6" xfId="174"/>
    <cellStyle name="计算 7" xfId="175"/>
    <cellStyle name="检查单元格 2" xfId="176"/>
    <cellStyle name="检查单元格 3" xfId="177"/>
    <cellStyle name="检查单元格 4" xfId="178"/>
    <cellStyle name="检查单元格 5" xfId="179"/>
    <cellStyle name="检查单元格 6" xfId="180"/>
    <cellStyle name="检查单元格 7" xfId="181"/>
    <cellStyle name="解释性文本 2" xfId="182"/>
    <cellStyle name="解释性文本 3" xfId="183"/>
    <cellStyle name="解释性文本 4" xfId="184"/>
    <cellStyle name="解释性文本 5" xfId="185"/>
    <cellStyle name="解释性文本 6" xfId="186"/>
    <cellStyle name="解释性文本 7" xfId="187"/>
    <cellStyle name="警告文本 2" xfId="188"/>
    <cellStyle name="警告文本 3" xfId="189"/>
    <cellStyle name="警告文本 4" xfId="190"/>
    <cellStyle name="警告文本 5" xfId="191"/>
    <cellStyle name="警告文本 6" xfId="192"/>
    <cellStyle name="警告文本 7" xfId="193"/>
    <cellStyle name="链接单元格 2" xfId="194"/>
    <cellStyle name="链接单元格 3" xfId="195"/>
    <cellStyle name="链接单元格 4" xfId="196"/>
    <cellStyle name="链接单元格 5" xfId="197"/>
    <cellStyle name="链接单元格 6" xfId="198"/>
    <cellStyle name="链接单元格 7" xfId="199"/>
    <cellStyle name="千位分隔" xfId="5" builtinId="3"/>
    <cellStyle name="强调文字颜色 1 2" xfId="200"/>
    <cellStyle name="强调文字颜色 1 3" xfId="201"/>
    <cellStyle name="强调文字颜色 1 4" xfId="202"/>
    <cellStyle name="强调文字颜色 1 5" xfId="203"/>
    <cellStyle name="强调文字颜色 1 6" xfId="204"/>
    <cellStyle name="强调文字颜色 1 7" xfId="205"/>
    <cellStyle name="强调文字颜色 2 2" xfId="206"/>
    <cellStyle name="强调文字颜色 2 3" xfId="207"/>
    <cellStyle name="强调文字颜色 2 4" xfId="208"/>
    <cellStyle name="强调文字颜色 2 5" xfId="209"/>
    <cellStyle name="强调文字颜色 2 6" xfId="210"/>
    <cellStyle name="强调文字颜色 2 7" xfId="211"/>
    <cellStyle name="强调文字颜色 3 2" xfId="212"/>
    <cellStyle name="强调文字颜色 3 3" xfId="213"/>
    <cellStyle name="强调文字颜色 3 4" xfId="214"/>
    <cellStyle name="强调文字颜色 3 5" xfId="215"/>
    <cellStyle name="强调文字颜色 3 6" xfId="216"/>
    <cellStyle name="强调文字颜色 3 7" xfId="217"/>
    <cellStyle name="强调文字颜色 4 2" xfId="218"/>
    <cellStyle name="强调文字颜色 4 3" xfId="219"/>
    <cellStyle name="强调文字颜色 4 4" xfId="220"/>
    <cellStyle name="强调文字颜色 4 5" xfId="221"/>
    <cellStyle name="强调文字颜色 4 6" xfId="222"/>
    <cellStyle name="强调文字颜色 4 7" xfId="223"/>
    <cellStyle name="强调文字颜色 5 2" xfId="224"/>
    <cellStyle name="强调文字颜色 5 3" xfId="225"/>
    <cellStyle name="强调文字颜色 5 4" xfId="226"/>
    <cellStyle name="强调文字颜色 5 5" xfId="227"/>
    <cellStyle name="强调文字颜色 5 6" xfId="228"/>
    <cellStyle name="强调文字颜色 5 7" xfId="229"/>
    <cellStyle name="强调文字颜色 6 2" xfId="230"/>
    <cellStyle name="强调文字颜色 6 3" xfId="231"/>
    <cellStyle name="强调文字颜色 6 4" xfId="232"/>
    <cellStyle name="强调文字颜色 6 5" xfId="233"/>
    <cellStyle name="强调文字颜色 6 6" xfId="234"/>
    <cellStyle name="强调文字颜色 6 7" xfId="235"/>
    <cellStyle name="适中 2" xfId="236"/>
    <cellStyle name="适中 3" xfId="237"/>
    <cellStyle name="适中 4" xfId="238"/>
    <cellStyle name="适中 5" xfId="239"/>
    <cellStyle name="适中 6" xfId="240"/>
    <cellStyle name="适中 7" xfId="241"/>
    <cellStyle name="输出 2" xfId="242"/>
    <cellStyle name="输出 3" xfId="243"/>
    <cellStyle name="输出 4" xfId="244"/>
    <cellStyle name="输出 5" xfId="245"/>
    <cellStyle name="输出 6" xfId="246"/>
    <cellStyle name="输出 7" xfId="247"/>
    <cellStyle name="输入 2" xfId="248"/>
    <cellStyle name="输入 3" xfId="249"/>
    <cellStyle name="输入 4" xfId="250"/>
    <cellStyle name="输入 5" xfId="251"/>
    <cellStyle name="输入 6" xfId="252"/>
    <cellStyle name="输入 7" xfId="253"/>
    <cellStyle name="注释 2" xfId="254"/>
    <cellStyle name="注释 3" xfId="255"/>
    <cellStyle name="注释 4" xfId="256"/>
    <cellStyle name="注释 5" xfId="257"/>
    <cellStyle name="注释 6" xfId="258"/>
    <cellStyle name="注释 7" xfId="259"/>
  </cellStyles>
  <dxfs count="390">
    <dxf>
      <font>
        <color theme="0"/>
      </font>
      <border>
        <left/>
        <right/>
        <top/>
        <bottom/>
        <vertical/>
        <horizontal/>
      </border>
    </dxf>
    <dxf>
      <font>
        <color theme="0"/>
      </font>
      <border>
        <left/>
        <right/>
        <top/>
        <bottom/>
        <vertical/>
        <horizontal/>
      </border>
    </dxf>
    <dxf>
      <font>
        <color theme="0"/>
      </font>
      <border>
        <left/>
        <right/>
        <top/>
        <bottom/>
      </border>
    </dxf>
    <dxf>
      <font>
        <color theme="0"/>
      </font>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border>
        <left/>
        <right/>
        <top/>
        <bottom/>
        <vertical/>
        <horizontal/>
      </border>
    </dxf>
    <dxf>
      <font>
        <color theme="0"/>
      </font>
      <border>
        <left/>
        <right/>
        <top/>
        <bottom/>
      </border>
    </dxf>
    <dxf>
      <font>
        <color theme="0"/>
      </font>
    </dxf>
    <dxf>
      <font>
        <color theme="0"/>
      </font>
    </dxf>
    <dxf>
      <font>
        <color theme="0"/>
      </font>
    </dxf>
    <dxf>
      <font>
        <color theme="0"/>
      </font>
      <border>
        <left/>
        <right/>
        <top/>
        <bottom/>
        <vertical/>
        <horizontal/>
      </border>
    </dxf>
    <dxf>
      <font>
        <color theme="0"/>
      </font>
      <border>
        <left/>
        <right/>
        <top/>
        <bottom/>
      </border>
    </dxf>
    <dxf>
      <font>
        <color theme="0"/>
      </font>
    </dxf>
    <dxf>
      <font>
        <color theme="0"/>
      </font>
    </dxf>
    <dxf>
      <font>
        <color theme="0"/>
      </font>
    </dxf>
    <dxf>
      <font>
        <color theme="0"/>
      </font>
      <border>
        <left/>
        <right/>
        <top/>
        <bottom/>
        <vertical/>
        <horizontal/>
      </border>
    </dxf>
    <dxf>
      <font>
        <color theme="0"/>
      </font>
      <border>
        <left/>
        <right/>
        <top/>
        <bottom/>
        <vertical/>
        <horizontal/>
      </border>
    </dxf>
    <dxf>
      <font>
        <color theme="0"/>
      </font>
    </dxf>
    <dxf>
      <font>
        <color theme="0"/>
      </font>
    </dxf>
    <dxf>
      <font>
        <color theme="0"/>
      </font>
      <border>
        <left/>
        <right/>
        <top/>
        <bottom/>
        <vertical/>
        <horizontal/>
      </border>
    </dxf>
    <dxf>
      <font>
        <color theme="0"/>
      </font>
    </dxf>
    <dxf>
      <font>
        <color theme="0"/>
      </font>
      <border>
        <left/>
        <right/>
        <top/>
        <bottom/>
        <vertical/>
        <horizontal/>
      </border>
    </dxf>
    <dxf>
      <font>
        <color theme="0"/>
      </font>
    </dxf>
    <dxf>
      <font>
        <color theme="0"/>
      </font>
    </dxf>
    <dxf>
      <font>
        <color theme="0"/>
      </font>
      <border>
        <left/>
        <right/>
        <top/>
        <bottom/>
        <vertical/>
        <horizontal/>
      </border>
    </dxf>
    <dxf>
      <font>
        <color theme="0"/>
      </font>
      <border>
        <left/>
        <right/>
        <top/>
        <bottom/>
        <vertical/>
        <horizontal/>
      </border>
    </dxf>
    <dxf>
      <font>
        <color theme="0"/>
      </font>
    </dxf>
    <dxf>
      <font>
        <color theme="0"/>
      </font>
    </dxf>
    <dxf>
      <font>
        <color theme="0"/>
      </font>
      <border>
        <left/>
        <right/>
        <top/>
        <bottom/>
        <vertical/>
        <horizontal/>
      </border>
    </dxf>
    <dxf>
      <font>
        <color theme="0"/>
      </font>
    </dxf>
    <dxf>
      <font>
        <color theme="0"/>
      </font>
      <border>
        <left/>
        <right/>
        <top/>
        <bottom/>
        <vertical/>
        <horizontal/>
      </border>
    </dxf>
    <dxf>
      <font>
        <color theme="0"/>
      </font>
    </dxf>
    <dxf>
      <font>
        <color theme="0"/>
      </font>
    </dxf>
    <dxf>
      <font>
        <color theme="0"/>
      </font>
      <border>
        <left/>
        <right/>
        <top/>
        <bottom/>
        <vertical/>
        <horizontal/>
      </border>
    </dxf>
    <dxf>
      <font>
        <color theme="0"/>
      </font>
      <border>
        <left/>
        <right/>
        <top/>
        <bottom/>
      </border>
    </dxf>
    <dxf>
      <font>
        <color theme="0"/>
      </font>
    </dxf>
    <dxf>
      <font>
        <color theme="0"/>
      </font>
    </dxf>
    <dxf>
      <font>
        <color theme="0"/>
      </font>
    </dxf>
    <dxf>
      <font>
        <color theme="0"/>
      </font>
      <border>
        <left/>
        <right/>
        <top/>
        <bottom/>
        <vertical/>
        <horizontal/>
      </border>
    </dxf>
    <dxf>
      <font>
        <color theme="0"/>
      </font>
      <border>
        <left/>
        <right/>
        <top/>
        <bottom/>
      </border>
    </dxf>
    <dxf>
      <font>
        <color theme="0"/>
      </font>
    </dxf>
    <dxf>
      <font>
        <color theme="0"/>
      </font>
    </dxf>
    <dxf>
      <font>
        <color theme="0"/>
      </font>
    </dxf>
    <dxf>
      <font>
        <color theme="0"/>
      </font>
      <border>
        <left/>
        <right/>
        <top/>
        <bottom/>
        <vertical/>
        <horizontal/>
      </border>
    </dxf>
    <dxf>
      <font>
        <color theme="0"/>
      </font>
      <border>
        <left/>
        <right/>
        <top/>
        <bottom/>
      </border>
    </dxf>
    <dxf>
      <font>
        <color theme="0"/>
      </font>
    </dxf>
    <dxf>
      <font>
        <color theme="0"/>
      </font>
    </dxf>
    <dxf>
      <font>
        <color theme="0"/>
      </font>
    </dxf>
    <dxf>
      <font>
        <color theme="0"/>
      </font>
    </dxf>
    <dxf>
      <font>
        <color theme="0"/>
      </font>
      <border>
        <left/>
        <right/>
        <top/>
        <bottom/>
        <vertical/>
        <horizontal/>
      </border>
    </dxf>
    <dxf>
      <font>
        <color theme="0"/>
      </font>
      <border>
        <left/>
        <right/>
        <top/>
        <bottom/>
        <vertical/>
        <horizontal/>
      </border>
    </dxf>
    <dxf>
      <font>
        <color theme="0"/>
      </font>
    </dxf>
    <dxf>
      <font>
        <color theme="0"/>
      </font>
    </dxf>
    <dxf>
      <font>
        <color theme="0"/>
      </font>
      <border>
        <left/>
        <right/>
        <top/>
        <bottom/>
        <vertical/>
        <horizontal/>
      </border>
    </dxf>
    <dxf>
      <font>
        <color theme="0"/>
      </font>
    </dxf>
    <dxf>
      <font>
        <color theme="0"/>
      </font>
    </dxf>
    <dxf>
      <font>
        <color theme="0"/>
      </font>
    </dxf>
    <dxf>
      <font>
        <color theme="0"/>
      </font>
    </dxf>
    <dxf>
      <font>
        <color theme="0"/>
      </font>
      <border>
        <left/>
        <right/>
        <top/>
        <bottom/>
        <vertical/>
        <horizontal/>
      </border>
    </dxf>
    <dxf>
      <font>
        <color theme="0"/>
      </font>
      <border>
        <left/>
        <right/>
        <top/>
        <bottom/>
        <vertical/>
        <horizontal/>
      </border>
    </dxf>
    <dxf>
      <font>
        <color theme="0"/>
      </font>
    </dxf>
    <dxf>
      <font>
        <color theme="0"/>
      </font>
    </dxf>
    <dxf>
      <font>
        <color theme="0"/>
      </font>
      <border>
        <left/>
        <right/>
        <top/>
        <bottom/>
        <vertical/>
        <horizontal/>
      </border>
    </dxf>
    <dxf>
      <font>
        <color theme="0"/>
      </font>
    </dxf>
    <dxf>
      <font>
        <color theme="0"/>
      </font>
    </dxf>
    <dxf>
      <font>
        <color theme="0"/>
      </font>
    </dxf>
    <dxf>
      <font>
        <color theme="0"/>
      </font>
    </dxf>
    <dxf>
      <font>
        <color theme="0"/>
      </font>
      <border>
        <left/>
        <right/>
        <top/>
        <bottom/>
        <vertical/>
        <horizontal/>
      </border>
    </dxf>
    <dxf>
      <font>
        <color theme="0"/>
      </font>
      <border>
        <left/>
        <right/>
        <top/>
        <bottom/>
        <vertical/>
        <horizontal/>
      </border>
    </dxf>
    <dxf>
      <font>
        <color theme="0"/>
      </font>
    </dxf>
    <dxf>
      <font>
        <color theme="0"/>
      </font>
    </dxf>
    <dxf>
      <font>
        <color theme="0"/>
      </font>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ont>
        <color theme="0"/>
      </font>
    </dxf>
    <dxf>
      <font>
        <color theme="0"/>
      </font>
    </dxf>
    <dxf>
      <font>
        <color theme="0"/>
      </font>
    </dxf>
    <dxf>
      <font>
        <b/>
        <i val="0"/>
        <color rgb="FFFF0000"/>
      </font>
      <fill>
        <patternFill patternType="none">
          <bgColor auto="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B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theme="1"/>
        </patternFill>
      </fill>
    </dxf>
    <dxf>
      <fill>
        <patternFill>
          <bgColor theme="1"/>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rgb="FF00B050"/>
        </patternFill>
      </fill>
    </dxf>
    <dxf>
      <fill>
        <patternFill>
          <bgColor rgb="FF00B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tint="-0.24994659260841701"/>
        </patternFill>
      </fill>
    </dxf>
    <dxf>
      <fill>
        <patternFill>
          <bgColor rgb="FF00B050"/>
        </patternFill>
      </fill>
    </dxf>
    <dxf>
      <fill>
        <patternFill>
          <bgColor rgb="FFFFFF0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theme="9" tint="-0.24994659260841701"/>
        </patternFill>
      </fill>
    </dxf>
    <dxf>
      <fill>
        <patternFill>
          <bgColor rgb="FF00B050"/>
        </patternFill>
      </fill>
    </dxf>
    <dxf>
      <fill>
        <patternFill>
          <bgColor rgb="FFFFFF00"/>
        </patternFill>
      </fill>
    </dxf>
    <dxf>
      <fill>
        <patternFill>
          <bgColor rgb="FF00B05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92D050"/>
        </patternFill>
      </fill>
    </dxf>
    <dxf>
      <fill>
        <patternFill>
          <bgColor rgb="FFFFFF00"/>
        </patternFill>
      </fill>
    </dxf>
    <dxf>
      <fill>
        <patternFill>
          <bgColor rgb="FFFF0000"/>
        </patternFill>
      </fill>
    </dxf>
    <dxf>
      <font>
        <color theme="0"/>
      </font>
      <border>
        <left/>
        <right/>
        <top/>
        <bottom/>
        <vertical/>
        <horizontal/>
      </border>
    </dxf>
    <dxf>
      <font>
        <color theme="0"/>
      </font>
      <border>
        <left/>
        <right/>
        <top/>
        <bottom/>
      </border>
    </dxf>
    <dxf>
      <font>
        <color theme="0"/>
      </font>
    </dxf>
    <dxf>
      <font>
        <color theme="0"/>
      </font>
    </dxf>
    <dxf>
      <font>
        <color theme="0"/>
      </font>
    </dxf>
    <dxf>
      <font>
        <color theme="0"/>
      </font>
    </dxf>
    <dxf>
      <font>
        <color theme="0"/>
      </font>
      <border>
        <left/>
        <right/>
        <top/>
        <bottom/>
        <vertical/>
        <horizontal/>
      </border>
    </dxf>
    <dxf>
      <font>
        <color theme="0"/>
      </font>
      <border>
        <left/>
        <right/>
        <top/>
        <bottom/>
        <vertical/>
        <horizontal/>
      </border>
    </dxf>
    <dxf>
      <font>
        <color theme="0"/>
      </font>
    </dxf>
    <dxf>
      <font>
        <color theme="0"/>
      </font>
    </dxf>
    <dxf>
      <font>
        <color theme="0"/>
      </font>
      <border>
        <left/>
        <right/>
        <top/>
        <bottom/>
        <vertical/>
        <horizontal/>
      </border>
    </dxf>
    <dxf>
      <font>
        <color theme="0"/>
      </font>
    </dxf>
    <dxf>
      <font>
        <color theme="0"/>
      </font>
    </dxf>
    <dxf>
      <font>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emf"/></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182</xdr:row>
      <xdr:rowOff>0</xdr:rowOff>
    </xdr:from>
    <xdr:to>
      <xdr:col>1</xdr:col>
      <xdr:colOff>19050</xdr:colOff>
      <xdr:row>182</xdr:row>
      <xdr:rowOff>9525</xdr:rowOff>
    </xdr:to>
    <xdr:pic>
      <xdr:nvPicPr>
        <xdr:cNvPr id="2" name="图片 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 name="图片 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 name="图片 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 name="图片 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 name="图片 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 name="图片 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 name="图片 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 name="图片 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 name="图片 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 name="图片 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 name="图片 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 name="图片 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 name="图片 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 name="图片 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270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6" name="图片 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 name="图片 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 name="图片 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 name="图片 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 name="图片 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 name="图片 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 name="图片 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 name="图片 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 name="图片 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5" name="图片 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6" name="图片 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 name="图片 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8" name="图片 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9" name="图片 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31442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30" name="图片 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 name="图片 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2" name="图片 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3" name="图片 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 name="图片 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5" name="图片 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6" name="图片 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 name="图片 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8" name="图片 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9" name="图片 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 name="图片 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1" name="图片 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2" name="图片 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3" name="图片 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44" name="图片 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5" name="图片 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6" name="图片 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 name="图片 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8" name="图片 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9" name="图片 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0" name="图片 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1" name="图片 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2" name="图片 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3" name="图片 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4" name="图片 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 name="图片 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6" name="图片 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7" name="图片 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58" name="图片 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 name="图片 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0" name="图片 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1" name="图片 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 name="图片 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3" name="图片 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4" name="图片 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 name="图片 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6" name="图片 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7" name="图片 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 name="图片 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9" name="图片 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0" name="图片 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1" name="图片 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72" name="图片 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3" name="图片 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4" name="图片 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 name="图片 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6" name="图片 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7" name="图片 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8" name="图片 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9" name="图片 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 name="图片 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1" name="图片 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2" name="图片 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 name="图片 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4" name="图片 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5" name="图片 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86" name="图片 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87" name="图片 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88" name="图片 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89" name="图片 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0" name="图片 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1" name="图片 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2" name="图片 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 name="图片 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4" name="图片 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5" name="图片 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6" name="图片 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7" name="图片 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8" name="图片 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9" name="图片 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100" name="图片 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1" name="图片 1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2" name="图片 1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3" name="图片 1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4" name="图片 1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5" name="图片 1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6" name="图片 1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7" name="图片 1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8" name="图片 1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09" name="图片 1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0" name="图片 1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1" name="图片 1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2" name="图片 1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3" name="图片 1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585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14" name="图片 1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5" name="图片 1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6" name="图片 1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7" name="图片 1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 name="图片 1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9" name="图片 1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0" name="图片 1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 name="图片 1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2" name="图片 1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3" name="图片 1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 name="图片 1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5" name="图片 1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6" name="图片 1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7" name="图片 1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28" name="图片 1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9" name="图片 1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0" name="图片 1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 name="图片 1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2" name="图片 1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3" name="图片 1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4" name="图片 1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5" name="图片 1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6" name="图片 1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7" name="图片 1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8" name="图片 1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 name="图片 1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0" name="图片 1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1" name="图片 1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42" name="图片 1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 name="图片 1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4" name="图片 1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5" name="图片 1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 name="图片 1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7" name="图片 1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8" name="图片 1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 name="图片 1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0" name="图片 1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1" name="图片 1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 name="图片 1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3" name="图片 1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4" name="图片 1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5" name="图片 1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56" name="图片 1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7" name="图片 1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8" name="图片 1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9" name="图片 1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0" name="图片 1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1" name="图片 1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2" name="图片 1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3" name="图片 1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 name="图片 1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5" name="图片 1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6" name="图片 1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 name="图片 1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8" name="图片 1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9" name="图片 1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70" name="图片 1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 name="图片 1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2" name="图片 1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3" name="图片 1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 name="图片 1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5" name="图片 1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6" name="图片 1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 name="图片 1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8" name="图片 1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9" name="图片 1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0" name="图片 1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1" name="图片 1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2" name="图片 1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3" name="图片 1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84" name="图片 1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5" name="图片 1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6" name="图片 1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 name="图片 1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8" name="图片 1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9" name="图片 1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0" name="图片 1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1" name="图片 1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 name="图片 1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3" name="图片 1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4" name="图片 1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 name="图片 1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6" name="图片 1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7" name="图片 1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98" name="图片 1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9" name="图片 1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0" name="图片 1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1" name="图片 2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 name="图片 2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3" name="图片 2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4" name="图片 2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 name="图片 2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6" name="图片 2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7" name="图片 2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 name="图片 2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9" name="图片 2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0" name="图片 2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1" name="图片 2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12" name="图片 2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3" name="图片 2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4" name="图片 2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 name="图片 2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6" name="图片 2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7" name="图片 2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8" name="图片 2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9" name="图片 2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 name="图片 2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1" name="图片 2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2" name="图片 2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3" name="图片 2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4" name="图片 2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5" name="图片 2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26" name="图片 2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 name="图片 2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8" name="图片 2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9" name="图片 2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 name="图片 2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1" name="图片 2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2" name="图片 2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 name="图片 2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4" name="图片 2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5" name="图片 2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6" name="图片 2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7" name="图片 2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8" name="图片 2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9" name="图片 2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40" name="图片 2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1" name="图片 2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2" name="图片 2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3" name="图片 2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4" name="图片 2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5" name="图片 2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6" name="图片 2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7" name="图片 2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8" name="图片 2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49" name="图片 2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50" name="图片 2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51" name="图片 2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52" name="图片 2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53" name="图片 2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54" name="图片 2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55" name="图片 2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56" name="图片 2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57" name="图片 2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58" name="图片 2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59" name="图片 2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60" name="图片 2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61" name="图片 2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62" name="图片 2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63" name="图片 2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64" name="图片 2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65" name="图片 2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66" name="图片 2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67" name="图片 2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68" name="图片 2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69" name="图片 2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0" name="图片 2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1" name="图片 2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2" name="图片 2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3" name="图片 2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4" name="图片 2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5" name="图片 2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6" name="图片 2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7" name="图片 2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8" name="图片 2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79" name="图片 2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80" name="图片 2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81" name="图片 2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282" name="图片 2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83" name="图片 2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84" name="图片 2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85" name="图片 2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86" name="图片 2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87" name="图片 2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88" name="图片 2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89" name="图片 2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90" name="图片 2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91" name="图片 2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92" name="图片 2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93" name="图片 2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94" name="图片 2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95" name="图片 2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296" name="图片 2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97" name="图片 2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98" name="图片 2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99" name="图片 2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0" name="图片 2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1" name="图片 3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2" name="图片 3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3" name="图片 3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4" name="图片 3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5" name="图片 3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6" name="图片 3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7" name="图片 3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8" name="图片 3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309" name="图片 3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310" name="图片 3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1" name="图片 3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2" name="图片 3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3" name="图片 3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4" name="图片 3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5" name="图片 3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6" name="图片 3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7" name="图片 3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8" name="图片 3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19" name="图片 3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20" name="图片 3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21" name="图片 3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22" name="图片 3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23" name="图片 3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324" name="图片 3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25" name="图片 3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26" name="图片 3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27" name="图片 3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28" name="图片 3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29" name="图片 3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30" name="图片 3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31" name="图片 3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32" name="图片 3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33" name="图片 3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34" name="图片 3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35" name="图片 3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36" name="图片 3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37" name="图片 3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338" name="图片 3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39" name="图片 3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0" name="图片 3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1" name="图片 3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2" name="图片 3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3" name="图片 3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4" name="图片 3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5" name="图片 3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6" name="图片 3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7" name="图片 3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8" name="图片 3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49" name="图片 3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50" name="图片 3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51" name="图片 3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352" name="图片 3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53" name="图片 3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54" name="图片 3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55" name="图片 3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56" name="图片 3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57" name="图片 3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58" name="图片 3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59" name="图片 3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60" name="图片 3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61" name="图片 3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62" name="图片 3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63" name="图片 3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64" name="图片 3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65" name="图片 3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366" name="图片 3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67" name="图片 3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68" name="图片 3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69" name="图片 3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0" name="图片 3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1" name="图片 3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2" name="图片 3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3" name="图片 3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4" name="图片 3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5" name="图片 3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6" name="图片 3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7" name="图片 3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8" name="图片 3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79" name="图片 3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380" name="图片 3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1" name="图片 3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2" name="图片 3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3" name="图片 3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4" name="图片 3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5" name="图片 3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6" name="图片 3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7" name="图片 3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8" name="图片 3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89" name="图片 3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90" name="图片 3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91" name="图片 3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92" name="图片 3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393" name="图片 3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394" name="图片 3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95" name="图片 3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96" name="图片 3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97" name="图片 3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98" name="图片 3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399" name="图片 3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0" name="图片 3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1" name="图片 4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2" name="图片 4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3" name="图片 4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4" name="图片 4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5" name="图片 4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6" name="图片 4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07" name="图片 4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408" name="图片 4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09" name="图片 4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0" name="图片 4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1" name="图片 4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2" name="图片 4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3" name="图片 4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4" name="图片 4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5" name="图片 4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6" name="图片 4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7" name="图片 4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8" name="图片 4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19" name="图片 4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20" name="图片 4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21" name="图片 4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422" name="图片 4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23" name="图片 4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24" name="图片 4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25" name="图片 4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26" name="图片 4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27" name="图片 4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28" name="图片 4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29" name="图片 4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30" name="图片 4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31" name="图片 4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32" name="图片 4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33" name="图片 4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34" name="图片 4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35" name="图片 4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436" name="图片 4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37" name="图片 4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38" name="图片 4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39" name="图片 4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0" name="图片 4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1" name="图片 4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2" name="图片 4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3" name="图片 4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4" name="图片 4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5" name="图片 4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6" name="图片 4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7" name="图片 4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8" name="图片 4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49" name="图片 4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450" name="图片 4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1" name="图片 4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2" name="图片 4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3" name="图片 4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4" name="图片 4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5" name="图片 4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6" name="图片 4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7" name="图片 4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8" name="图片 4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59" name="图片 4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60" name="图片 4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61" name="图片 4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62" name="图片 4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63" name="图片 4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464" name="图片 4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65" name="图片 4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66" name="图片 4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67" name="图片 4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68" name="图片 4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69" name="图片 4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0" name="图片 4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1" name="图片 4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2" name="图片 4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3" name="图片 4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4" name="图片 4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5" name="图片 4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6" name="图片 4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77" name="图片 4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478" name="图片 4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79" name="图片 4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0" name="图片 4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1" name="图片 4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2" name="图片 4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3" name="图片 4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4" name="图片 4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5" name="图片 4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6" name="图片 4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7" name="图片 4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8" name="图片 4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89" name="图片 4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90" name="图片 4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491" name="图片 4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492" name="图片 4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93" name="图片 4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94" name="图片 4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95" name="图片 4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96" name="图片 4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97" name="图片 4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98" name="图片 4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499" name="图片 4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00" name="图片 4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01" name="图片 5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02" name="图片 5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03" name="图片 5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04" name="图片 5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05" name="图片 5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506" name="图片 5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07" name="图片 5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08" name="图片 5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09" name="图片 5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0" name="图片 5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1" name="图片 5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2" name="图片 5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3" name="图片 5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4" name="图片 5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5" name="图片 5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6" name="图片 5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7" name="图片 5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8" name="图片 5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519" name="图片 5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520" name="图片 5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1" name="图片 5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2" name="图片 5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3" name="图片 5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4" name="图片 5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5" name="图片 5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6" name="图片 5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7" name="图片 5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8" name="图片 5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29" name="图片 5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30" name="图片 5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31" name="图片 5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32" name="图片 5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533" name="图片 5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534" name="图片 5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35" name="图片 5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36" name="图片 5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37" name="图片 5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38" name="图片 5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39" name="图片 5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40" name="图片 5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41" name="图片 5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42" name="图片 5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43" name="图片 5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44" name="图片 5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45" name="图片 5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46" name="图片 5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47" name="图片 5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548" name="图片 5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49" name="图片 5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0" name="图片 5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1" name="图片 5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2" name="图片 5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3" name="图片 5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4" name="图片 5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5" name="图片 5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6" name="图片 5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7" name="图片 5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8" name="图片 5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59" name="图片 5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60" name="图片 5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61" name="图片 5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562" name="图片 5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63" name="图片 5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64" name="图片 5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65" name="图片 5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66" name="图片 5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67" name="图片 5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68" name="图片 5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69" name="图片 5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70" name="图片 5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71" name="图片 5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72" name="图片 5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73" name="图片 5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74" name="图片 5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75" name="图片 5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576" name="图片 5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77" name="图片 5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78" name="图片 5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79" name="图片 5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0" name="图片 5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1" name="图片 5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2" name="图片 5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3" name="图片 5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4" name="图片 5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5" name="图片 5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6" name="图片 5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7" name="图片 5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8" name="图片 5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589" name="图片 5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590" name="图片 5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1" name="图片 5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2" name="图片 5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3" name="图片 5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4" name="图片 5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5" name="图片 5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6" name="图片 5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7" name="图片 5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8" name="图片 5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599" name="图片 5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00" name="图片 5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01" name="图片 6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02" name="图片 6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03" name="图片 6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604" name="图片 6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05" name="图片 6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06" name="图片 6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07" name="图片 6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08" name="图片 6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09" name="图片 6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10" name="图片 6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11" name="图片 6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12" name="图片 6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13" name="图片 6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14" name="图片 6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15" name="图片 6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16" name="图片 6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17" name="图片 6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618" name="图片 6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19" name="图片 6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0" name="图片 6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1" name="图片 6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2" name="图片 6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3" name="图片 6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4" name="图片 6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5" name="图片 6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6" name="图片 6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7" name="图片 6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8" name="图片 6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29" name="图片 6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30" name="图片 6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31" name="图片 6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632" name="图片 6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33" name="图片 6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34" name="图片 6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35" name="图片 6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36" name="图片 6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37" name="图片 6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38" name="图片 6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39" name="图片 6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40" name="图片 6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41" name="图片 6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42" name="图片 6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43" name="图片 6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44" name="图片 6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45" name="图片 6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646" name="图片 6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47" name="图片 6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48" name="图片 6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49" name="图片 6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0" name="图片 6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1" name="图片 6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2" name="图片 6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3" name="图片 6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4" name="图片 6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5" name="图片 6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6" name="图片 6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7" name="图片 6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8" name="图片 6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59" name="图片 6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660" name="图片 6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1" name="图片 6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2" name="图片 6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3" name="图片 6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4" name="图片 6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5" name="图片 6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6" name="图片 6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7" name="图片 6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8" name="图片 6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69" name="图片 6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70" name="图片 6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71" name="图片 6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72" name="图片 6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73" name="图片 6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674" name="图片 6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75" name="图片 6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76" name="图片 6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77" name="图片 6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78" name="图片 6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79" name="图片 6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0" name="图片 6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1" name="图片 6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2" name="图片 6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3" name="图片 6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4" name="图片 6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5" name="图片 6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6" name="图片 6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687" name="图片 6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688" name="图片 6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89" name="图片 6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0" name="图片 6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1" name="图片 6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2" name="图片 6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3" name="图片 6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4" name="图片 6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5" name="图片 6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6" name="图片 6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7" name="图片 6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8" name="图片 6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699" name="图片 6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00" name="图片 6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01" name="图片 7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702" name="图片 7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03" name="图片 7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04" name="图片 7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05" name="图片 7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06" name="图片 7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07" name="图片 7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08" name="图片 7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09" name="图片 7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10" name="图片 7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11" name="图片 7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12" name="图片 7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13" name="图片 7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14" name="图片 7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715" name="图片 7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716" name="图片 7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17" name="图片 7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18" name="图片 7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19" name="图片 7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0" name="图片 7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1" name="图片 7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2" name="图片 7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3" name="图片 7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4" name="图片 7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5" name="图片 7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6" name="图片 7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7" name="图片 7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8" name="图片 7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729" name="图片 7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730" name="图片 7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1" name="图片 7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2" name="图片 7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3" name="图片 7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4" name="图片 7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5" name="图片 7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6" name="图片 7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7" name="图片 7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8" name="图片 7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39" name="图片 7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40" name="图片 7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41" name="图片 7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42" name="图片 7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43" name="图片 7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744" name="图片 7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45" name="图片 7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46" name="图片 7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47" name="图片 7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48" name="图片 7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49" name="图片 7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0" name="图片 7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1" name="图片 7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2" name="图片 7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3" name="图片 7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4" name="图片 7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5" name="图片 7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6" name="图片 7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57" name="图片 7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758" name="图片 7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59" name="图片 7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0" name="图片 7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1" name="图片 7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2" name="图片 7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3" name="图片 7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4" name="图片 7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5" name="图片 7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6" name="图片 7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7" name="图片 7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8" name="图片 7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69" name="图片 7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70" name="图片 7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71" name="图片 7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772" name="图片 7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73" name="图片 7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74" name="图片 7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75" name="图片 7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76" name="图片 7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77" name="图片 7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78" name="图片 7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79" name="图片 7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80" name="图片 7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81" name="图片 7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82" name="图片 7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83" name="图片 7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84" name="图片 7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785" name="图片 7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786" name="图片 7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87" name="图片 7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88" name="图片 7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89" name="图片 7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0" name="图片 7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1" name="图片 7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2" name="图片 7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3" name="图片 7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4" name="图片 7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5" name="图片 7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6" name="图片 7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7" name="图片 7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8" name="图片 7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799" name="图片 7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800" name="图片 7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1" name="图片 8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2" name="图片 8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3" name="图片 8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4" name="图片 8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5" name="图片 8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6" name="图片 8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7" name="图片 8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8" name="图片 8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09" name="图片 8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10" name="图片 8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11" name="图片 8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12" name="图片 8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13" name="图片 8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814" name="图片 8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15" name="图片 8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16" name="图片 8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17" name="图片 8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18" name="图片 8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19" name="图片 8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20" name="图片 8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21" name="图片 8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22" name="图片 8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23" name="图片 8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24" name="图片 8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25" name="图片 8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26" name="图片 8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27" name="图片 8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828" name="图片 8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29" name="图片 8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0" name="图片 8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1" name="图片 8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2" name="图片 8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3" name="图片 8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4" name="图片 8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5" name="图片 8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6" name="图片 8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7" name="图片 8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8" name="图片 8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39" name="图片 8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40" name="图片 8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41" name="图片 8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842" name="图片 8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43" name="图片 8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44" name="图片 8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45" name="图片 8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46" name="图片 8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47" name="图片 8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48" name="图片 8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49" name="图片 8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50" name="图片 8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51" name="图片 8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52" name="图片 8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53" name="图片 8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54" name="图片 8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55" name="图片 8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856" name="图片 8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57" name="图片 8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58" name="图片 8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59" name="图片 8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0" name="图片 8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1" name="图片 8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2" name="图片 8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3" name="图片 8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4" name="图片 8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5" name="图片 8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6" name="图片 8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7" name="图片 8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8" name="图片 8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69" name="图片 8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870" name="图片 8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1" name="图片 8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2" name="图片 8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3" name="图片 8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4" name="图片 8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5" name="图片 8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6" name="图片 8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7" name="图片 8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8" name="图片 8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79" name="图片 8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80" name="图片 8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81" name="图片 8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82" name="图片 8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83" name="图片 8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884" name="图片 8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85" name="图片 8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86" name="图片 8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87" name="图片 8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88" name="图片 8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89" name="图片 8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90" name="图片 8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91" name="图片 8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92" name="图片 8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93" name="图片 8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94" name="图片 8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95" name="图片 8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96" name="图片 8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897" name="图片 8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898" name="图片 8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899" name="图片 8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0" name="图片 8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1" name="图片 9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2" name="图片 9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3" name="图片 9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4" name="图片 9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5" name="图片 9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6" name="图片 9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7" name="图片 9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8" name="图片 9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09" name="图片 9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10" name="图片 9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11" name="图片 9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912" name="图片 9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13" name="图片 9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14" name="图片 9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15" name="图片 9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16" name="图片 9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17" name="图片 9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18" name="图片 9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19" name="图片 9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20" name="图片 9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21" name="图片 9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22" name="图片 9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23" name="图片 9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24" name="图片 9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25" name="图片 9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926" name="图片 9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27" name="图片 9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28" name="图片 9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29" name="图片 9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0" name="图片 9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1" name="图片 9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2" name="图片 9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3" name="图片 9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4" name="图片 9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5" name="图片 9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6" name="图片 9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7" name="图片 9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8" name="图片 9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939" name="图片 9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940" name="图片 9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1" name="图片 9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2" name="图片 9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3" name="图片 9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4" name="图片 9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5" name="图片 9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6" name="图片 9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7" name="图片 9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8" name="图片 9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49" name="图片 9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50" name="图片 9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51" name="图片 9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52" name="图片 9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953" name="图片 9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954" name="图片 9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55" name="图片 9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56" name="图片 9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57" name="图片 9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58" name="图片 9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59" name="图片 9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60" name="图片 9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61" name="图片 9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62" name="图片 9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63" name="图片 9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64" name="图片 9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65" name="图片 9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66" name="图片 9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67" name="图片 9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968" name="图片 9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69" name="图片 9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0" name="图片 9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1" name="图片 9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2" name="图片 9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3" name="图片 9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4" name="图片 9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5" name="图片 9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6" name="图片 9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7" name="图片 9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8" name="图片 9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79" name="图片 9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80" name="图片 9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81" name="图片 9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982" name="图片 9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83" name="图片 9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84" name="图片 9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85" name="图片 9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86" name="图片 9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87" name="图片 9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88" name="图片 9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89" name="图片 9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90" name="图片 9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91" name="图片 9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92" name="图片 9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93" name="图片 9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94" name="图片 9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995" name="图片 9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996" name="图片 9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97" name="图片 9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98" name="图片 9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999" name="图片 9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0" name="图片 9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1" name="图片 10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2" name="图片 10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3" name="图片 10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4" name="图片 10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5" name="图片 10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6" name="图片 10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7" name="图片 10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8" name="图片 10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09" name="图片 10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010" name="图片 10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1" name="图片 10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2" name="图片 10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3" name="图片 10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4" name="图片 10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5" name="图片 10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6" name="图片 10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7" name="图片 10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8" name="图片 10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19" name="图片 10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20" name="图片 10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21" name="图片 10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22" name="图片 10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23" name="图片 10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024" name="图片 10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25" name="图片 10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26" name="图片 10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27" name="图片 10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28" name="图片 10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29" name="图片 10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30" name="图片 10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31" name="图片 10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32" name="图片 10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33" name="图片 10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34" name="图片 10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35" name="图片 10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36" name="图片 10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37" name="图片 10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038" name="图片 10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39" name="图片 10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0" name="图片 10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1" name="图片 10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2" name="图片 10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3" name="图片 10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4" name="图片 10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5" name="图片 10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6" name="图片 10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7" name="图片 10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8" name="图片 10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49" name="图片 10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50" name="图片 10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51" name="图片 10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052" name="图片 10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53" name="图片 10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54" name="图片 10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55" name="图片 10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56" name="图片 10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57" name="图片 10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58" name="图片 10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59" name="图片 10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60" name="图片 10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61" name="图片 10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62" name="图片 10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63" name="图片 10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64" name="图片 10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65" name="图片 10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066" name="图片 10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67" name="图片 10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68" name="图片 10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69" name="图片 10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0" name="图片 10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1" name="图片 10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2" name="图片 10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3" name="图片 10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4" name="图片 10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5" name="图片 10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6" name="图片 10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7" name="图片 10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8" name="图片 10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79" name="图片 10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080" name="图片 10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1" name="图片 10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2" name="图片 10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3" name="图片 10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4" name="图片 10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5" name="图片 10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6" name="图片 10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7" name="图片 10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8" name="图片 10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89" name="图片 10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90" name="图片 10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91" name="图片 10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92" name="图片 10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093" name="图片 10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094" name="图片 10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95" name="图片 10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96" name="图片 10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97" name="图片 10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98" name="图片 10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099" name="图片 10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00" name="图片 10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01" name="图片 11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02" name="图片 11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03" name="图片 11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04" name="图片 11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05" name="图片 11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06" name="图片 11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07" name="图片 11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108" name="图片 11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09" name="图片 11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0" name="图片 11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1" name="图片 11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2" name="图片 11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3" name="图片 11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4" name="图片 11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5" name="图片 11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6" name="图片 11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7" name="图片 11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8" name="图片 11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19" name="图片 11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20" name="图片 11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21" name="图片 11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122" name="图片 11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23" name="图片 11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24" name="图片 11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25" name="图片 11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26" name="图片 11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27" name="图片 11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28" name="图片 11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29" name="图片 11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30" name="图片 11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31" name="图片 11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32" name="图片 11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33" name="图片 11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34" name="图片 11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35" name="图片 11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136" name="图片 11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37" name="图片 11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38" name="图片 11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39" name="图片 11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0" name="图片 11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1" name="图片 11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2" name="图片 11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3" name="图片 11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4" name="图片 11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5" name="图片 11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6" name="图片 11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7" name="图片 11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8" name="图片 11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49" name="图片 11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1150" name="图片 11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1" name="图片 11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2" name="图片 11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3" name="图片 11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4" name="图片 11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5" name="图片 11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6" name="图片 11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7" name="图片 11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8" name="图片 11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59" name="图片 11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60" name="图片 11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61" name="图片 11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62" name="图片 11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163" name="图片 11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1164" name="图片 11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65" name="图片 11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66" name="图片 11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67" name="图片 11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68" name="图片 11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69" name="图片 11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70" name="图片 11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71" name="图片 11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72" name="图片 11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73" name="图片 11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74" name="图片 11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75" name="图片 11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76" name="图片 11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177" name="图片 11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178" name="图片 11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79" name="图片 11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0" name="图片 11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1" name="图片 11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2" name="图片 11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3" name="图片 11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4" name="图片 11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5" name="图片 11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6" name="图片 11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7" name="图片 11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8" name="图片 11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89" name="图片 11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90" name="图片 11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191" name="图片 11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192" name="图片 11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93" name="图片 11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94" name="图片 11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95" name="图片 11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96" name="图片 11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97" name="图片 11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98" name="图片 11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199" name="图片 11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00" name="图片 11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01" name="图片 12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02" name="图片 12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03" name="图片 12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04" name="图片 12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05" name="图片 12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206" name="图片 12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07" name="图片 12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08" name="图片 12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09" name="图片 12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0" name="图片 12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1" name="图片 12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2" name="图片 12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3" name="图片 12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4" name="图片 12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5" name="图片 12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6" name="图片 12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7" name="图片 12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8" name="图片 12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19" name="图片 12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220" name="图片 12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1" name="图片 12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2" name="图片 12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3" name="图片 12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4" name="图片 12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5" name="图片 12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6" name="图片 12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7" name="图片 12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8" name="图片 12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29" name="图片 12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30" name="图片 12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31" name="图片 12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32" name="图片 12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33" name="图片 12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234" name="图片 12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35" name="图片 12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36" name="图片 12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37" name="图片 12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38" name="图片 12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39" name="图片 12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0" name="图片 12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1" name="图片 12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2" name="图片 12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3" name="图片 12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4" name="图片 12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5" name="图片 12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6" name="图片 12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47" name="图片 12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248" name="图片 12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49" name="图片 12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0" name="图片 12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1" name="图片 12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2" name="图片 12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3" name="图片 12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4" name="图片 12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5" name="图片 12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6" name="图片 12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7" name="图片 12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8" name="图片 12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59" name="图片 12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60" name="图片 12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61" name="图片 12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262" name="图片 12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63" name="图片 12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64" name="图片 12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65" name="图片 12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66" name="图片 12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67" name="图片 12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68" name="图片 12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69" name="图片 12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70" name="图片 12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71" name="图片 12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72" name="图片 12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73" name="图片 12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74" name="图片 12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75" name="图片 12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276" name="图片 12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77" name="图片 12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78" name="图片 12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79" name="图片 12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0" name="图片 12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1" name="图片 12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2" name="图片 12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3" name="图片 12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4" name="图片 12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5" name="图片 12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6" name="图片 12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7" name="图片 12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8" name="图片 12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289" name="图片 12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290" name="图片 12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1" name="图片 12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2" name="图片 12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3" name="图片 12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4" name="图片 12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5" name="图片 12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6" name="图片 12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7" name="图片 12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8" name="图片 12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299" name="图片 12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00" name="图片 12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01" name="图片 13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02" name="图片 13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03" name="图片 13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304" name="图片 13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05" name="图片 13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06" name="图片 13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07" name="图片 13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08" name="图片 13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09" name="图片 13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0" name="图片 13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1" name="图片 13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2" name="图片 13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3" name="图片 13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4" name="图片 13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5" name="图片 13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6" name="图片 13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17" name="图片 13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318" name="图片 13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19" name="图片 13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0" name="图片 13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1" name="图片 13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2" name="图片 13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3" name="图片 13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4" name="图片 13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5" name="图片 13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6" name="图片 13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7" name="图片 13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8" name="图片 13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29" name="图片 13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30" name="图片 13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31" name="图片 13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332" name="图片 13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33" name="图片 13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34" name="图片 13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35" name="图片 13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36" name="图片 13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37" name="图片 13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38" name="图片 13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39" name="图片 13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40" name="图片 13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41" name="图片 13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42" name="图片 13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43" name="图片 13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44" name="图片 13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45" name="图片 13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1346" name="图片 13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47" name="图片 13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48" name="图片 13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49" name="图片 13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0" name="图片 13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1" name="图片 13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2" name="图片 13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3" name="图片 13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4" name="图片 13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5" name="图片 13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6" name="图片 13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7" name="图片 13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8" name="图片 13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359" name="图片 13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1360" name="图片 13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1" name="图片 13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2" name="图片 13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3" name="图片 13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4" name="图片 13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5" name="图片 13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6" name="图片 13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7" name="图片 13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8" name="图片 13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69" name="图片 13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70" name="图片 13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71" name="图片 13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72" name="图片 13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373" name="图片 13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374" name="图片 13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75" name="图片 13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76" name="图片 13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77" name="图片 13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78" name="图片 13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79" name="图片 13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80" name="图片 13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81" name="图片 13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82" name="图片 13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83" name="图片 13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84" name="图片 13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85" name="图片 13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86" name="图片 13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387" name="图片 13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388" name="图片 13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89" name="图片 13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0" name="图片 13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1" name="图片 13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2" name="图片 13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3" name="图片 13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4" name="图片 13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5" name="图片 13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6" name="图片 13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7" name="图片 13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8" name="图片 13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399" name="图片 13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00" name="图片 13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01" name="图片 14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402" name="图片 14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03" name="图片 14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04" name="图片 14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05" name="图片 14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06" name="图片 14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07" name="图片 14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08" name="图片 14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09" name="图片 14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10" name="图片 14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11" name="图片 14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12" name="图片 14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13" name="图片 14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14" name="图片 14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15" name="图片 14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416" name="图片 14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17" name="图片 14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18" name="图片 14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19" name="图片 14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0" name="图片 14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1" name="图片 14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2" name="图片 14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3" name="图片 14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4" name="图片 14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5" name="图片 14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6" name="图片 14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7" name="图片 14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8" name="图片 14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29" name="图片 14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430" name="图片 14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1" name="图片 14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2" name="图片 14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3" name="图片 14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4" name="图片 14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5" name="图片 14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6" name="图片 14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7" name="图片 14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8" name="图片 14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39" name="图片 14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40" name="图片 14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41" name="图片 14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42" name="图片 14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43" name="图片 14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444" name="图片 14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45" name="图片 14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46" name="图片 14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47" name="图片 14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48" name="图片 14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49" name="图片 14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50" name="图片 14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51" name="图片 14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52" name="图片 14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53" name="图片 14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54" name="图片 14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55" name="图片 14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56" name="图片 14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57" name="图片 14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458" name="图片 14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59" name="图片 14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0" name="图片 14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1" name="图片 14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2" name="图片 14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3" name="图片 14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4" name="图片 14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5" name="图片 14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6" name="图片 14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7" name="图片 14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8" name="图片 14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69" name="图片 14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70" name="图片 14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71" name="图片 14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472" name="图片 14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73" name="图片 14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74" name="图片 14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75" name="图片 14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76" name="图片 14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77" name="图片 14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78" name="图片 14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79" name="图片 14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80" name="图片 14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81" name="图片 14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82" name="图片 14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83" name="图片 14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84" name="图片 14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485" name="图片 14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486" name="图片 14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87" name="图片 14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88" name="图片 14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89" name="图片 14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0" name="图片 14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1" name="图片 14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2" name="图片 14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3" name="图片 14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4" name="图片 14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5" name="图片 14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6" name="图片 14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7" name="图片 14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8" name="图片 14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499" name="图片 14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500" name="图片 14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1" name="图片 15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2" name="图片 15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3" name="图片 15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4" name="图片 15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5" name="图片 15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6" name="图片 15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7" name="图片 15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8" name="图片 15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09" name="图片 15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10" name="图片 15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11" name="图片 15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12" name="图片 15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13" name="图片 15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514" name="图片 15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15" name="图片 15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16" name="图片 15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17" name="图片 15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18" name="图片 15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19" name="图片 15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0" name="图片 15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1" name="图片 15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2" name="图片 15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3" name="图片 15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4" name="图片 15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5" name="图片 15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6" name="图片 15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27" name="图片 15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528" name="图片 15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29" name="图片 15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0" name="图片 15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1" name="图片 15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2" name="图片 15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3" name="图片 15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4" name="图片 15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5" name="图片 15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6" name="图片 15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7" name="图片 15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8" name="图片 15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39" name="图片 15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40" name="图片 15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41" name="图片 15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542" name="图片 15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43" name="图片 15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44" name="图片 15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45" name="图片 15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46" name="图片 15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47" name="图片 15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48" name="图片 15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49" name="图片 15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50" name="图片 15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51" name="图片 15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52" name="图片 15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53" name="图片 15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54" name="图片 15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55" name="图片 15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556" name="图片 15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57" name="图片 15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58" name="图片 15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59" name="图片 15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0" name="图片 15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1" name="图片 15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2" name="图片 15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3" name="图片 15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4" name="图片 15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5" name="图片 15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6" name="图片 15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7" name="图片 15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8" name="图片 15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569" name="图片 15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1570" name="图片 15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1" name="图片 15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2" name="图片 15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3" name="图片 15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4" name="图片 15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5" name="图片 15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6" name="图片 15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7" name="图片 15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8" name="图片 15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79" name="图片 15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80" name="图片 15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81" name="图片 15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82" name="图片 15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583" name="图片 15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1584" name="图片 15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85" name="图片 15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86" name="图片 15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87" name="图片 15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88" name="图片 15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89" name="图片 15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90" name="图片 15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91" name="图片 15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92" name="图片 15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93" name="图片 15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94" name="图片 15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95" name="图片 15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96" name="图片 15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597" name="图片 15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598" name="图片 15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599" name="图片 15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0" name="图片 15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1" name="图片 16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2" name="图片 16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3" name="图片 16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4" name="图片 16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5" name="图片 16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6" name="图片 16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7" name="图片 16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8" name="图片 16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09" name="图片 16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10" name="图片 16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11" name="图片 16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612" name="图片 16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13" name="图片 16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14" name="图片 16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15" name="图片 16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16" name="图片 16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17" name="图片 16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18" name="图片 16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19" name="图片 16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20" name="图片 16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21" name="图片 16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22" name="图片 16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23" name="图片 16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24" name="图片 16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25" name="图片 16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626" name="图片 16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27" name="图片 16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28" name="图片 16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29" name="图片 16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0" name="图片 16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1" name="图片 16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2" name="图片 16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3" name="图片 16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4" name="图片 16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5" name="图片 16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6" name="图片 16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7" name="图片 16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8" name="图片 16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39" name="图片 16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640" name="图片 16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1" name="图片 16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2" name="图片 16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3" name="图片 16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4" name="图片 16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5" name="图片 16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6" name="图片 16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7" name="图片 16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8" name="图片 16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49" name="图片 16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50" name="图片 16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51" name="图片 16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52" name="图片 16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53" name="图片 16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654" name="图片 16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55" name="图片 16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56" name="图片 16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57" name="图片 16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58" name="图片 16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59" name="图片 16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60" name="图片 16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61" name="图片 16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62" name="图片 16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63" name="图片 16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64" name="图片 16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65" name="图片 16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66" name="图片 16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67" name="图片 16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668" name="图片 16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69" name="图片 16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0" name="图片 16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1" name="图片 16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2" name="图片 16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3" name="图片 16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4" name="图片 16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5" name="图片 16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6" name="图片 16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7" name="图片 16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8" name="图片 16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79" name="图片 16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80" name="图片 16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81" name="图片 16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682" name="图片 16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83" name="图片 16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84" name="图片 16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85" name="图片 16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86" name="图片 16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87" name="图片 16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88" name="图片 16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89" name="图片 16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90" name="图片 16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91" name="图片 16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92" name="图片 16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93" name="图片 16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94" name="图片 16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695" name="图片 16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696" name="图片 16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97" name="图片 16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98" name="图片 16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699" name="图片 16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0" name="图片 16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1" name="图片 17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2" name="图片 17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3" name="图片 17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4" name="图片 17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5" name="图片 17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6" name="图片 17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7" name="图片 17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8" name="图片 17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09" name="图片 17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710" name="图片 17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1" name="图片 17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2" name="图片 17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3" name="图片 17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4" name="图片 17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5" name="图片 17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6" name="图片 17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7" name="图片 17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8" name="图片 17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19" name="图片 17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20" name="图片 17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21" name="图片 17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22" name="图片 17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23" name="图片 17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724" name="图片 17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25" name="图片 17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26" name="图片 17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27" name="图片 17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28" name="图片 17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29" name="图片 17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30" name="图片 17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31" name="图片 17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32" name="图片 17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33" name="图片 17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34" name="图片 17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35" name="图片 17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36" name="图片 17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37" name="图片 17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738" name="图片 17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39" name="图片 17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0" name="图片 17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1" name="图片 17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2" name="图片 17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3" name="图片 17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4" name="图片 17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5" name="图片 17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6" name="图片 17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7" name="图片 17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8" name="图片 17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49" name="图片 17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50" name="图片 17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51" name="图片 17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752" name="图片 17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53" name="图片 17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54" name="图片 17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55" name="图片 17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56" name="图片 17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57" name="图片 17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58" name="图片 17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59" name="图片 17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60" name="图片 17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61" name="图片 17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62" name="图片 17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63" name="图片 17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64" name="图片 17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65" name="图片 17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766" name="图片 17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67" name="图片 17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68" name="图片 17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69" name="图片 17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0" name="图片 17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1" name="图片 17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2" name="图片 17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3" name="图片 17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4" name="图片 17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5" name="图片 17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6" name="图片 17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7" name="图片 17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8" name="图片 17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779" name="图片 17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780" name="图片 17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1" name="图片 17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2" name="图片 17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3" name="图片 17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4" name="图片 17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5" name="图片 17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6" name="图片 17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7" name="图片 17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8" name="图片 17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89" name="图片 17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90" name="图片 17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91" name="图片 17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92" name="图片 17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793" name="图片 17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1794" name="图片 17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795" name="图片 17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796" name="图片 17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797" name="图片 17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798" name="图片 17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799" name="图片 17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800" name="图片 17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801" name="图片 18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802" name="图片 18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803" name="图片 18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804" name="图片 18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805" name="图片 18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806" name="图片 18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807" name="图片 18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1808" name="图片 18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09" name="图片 18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0" name="图片 18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1" name="图片 18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2" name="图片 18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3" name="图片 18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4" name="图片 18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5" name="图片 18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6" name="图片 18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7" name="图片 18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8" name="图片 18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19" name="图片 18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20" name="图片 18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1821" name="图片 18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822" name="图片 18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23" name="图片 18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24" name="图片 18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25" name="图片 18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26" name="图片 18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27" name="图片 18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28" name="图片 18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29" name="图片 18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30" name="图片 18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31" name="图片 18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32" name="图片 18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33" name="图片 18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34" name="图片 18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35" name="图片 18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836" name="图片 18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37" name="图片 18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38" name="图片 18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39" name="图片 18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0" name="图片 18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1" name="图片 18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2" name="图片 18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3" name="图片 18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4" name="图片 18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5" name="图片 18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6" name="图片 18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7" name="图片 18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8" name="图片 18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49" name="图片 18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850" name="图片 18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1" name="图片 18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2" name="图片 18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3" name="图片 18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4" name="图片 18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5" name="图片 18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6" name="图片 18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7" name="图片 18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8" name="图片 18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59" name="图片 18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60" name="图片 18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61" name="图片 18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62" name="图片 18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63" name="图片 18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864" name="图片 18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65" name="图片 18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66" name="图片 18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67" name="图片 18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68" name="图片 18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69" name="图片 18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0" name="图片 18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1" name="图片 18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2" name="图片 18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3" name="图片 18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4" name="图片 18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5" name="图片 18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6" name="图片 18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77" name="图片 18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878" name="图片 18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79" name="图片 18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0" name="图片 18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1" name="图片 18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2" name="图片 18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3" name="图片 18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4" name="图片 18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5" name="图片 18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6" name="图片 18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7" name="图片 18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8" name="图片 18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89" name="图片 18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90" name="图片 18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891" name="图片 18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892" name="图片 18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93" name="图片 18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94" name="图片 18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95" name="图片 18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96" name="图片 18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97" name="图片 18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98" name="图片 18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899" name="图片 18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00" name="图片 18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01" name="图片 19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02" name="图片 19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03" name="图片 19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04" name="图片 19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05" name="图片 19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906" name="图片 19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07" name="图片 19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08" name="图片 19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09" name="图片 19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0" name="图片 19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1" name="图片 19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2" name="图片 19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3" name="图片 19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4" name="图片 19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5" name="图片 19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6" name="图片 19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7" name="图片 19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8" name="图片 19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19" name="图片 19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920" name="图片 19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1" name="图片 19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2" name="图片 19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3" name="图片 19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4" name="图片 19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5" name="图片 19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6" name="图片 19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7" name="图片 19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8" name="图片 19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29" name="图片 19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30" name="图片 19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31" name="图片 19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32" name="图片 19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33" name="图片 19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934" name="图片 19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35" name="图片 19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36" name="图片 19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37" name="图片 19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38" name="图片 19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39" name="图片 19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40" name="图片 19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41" name="图片 19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42" name="图片 19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43" name="图片 19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44" name="图片 19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45" name="图片 19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46" name="图片 19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47" name="图片 19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948" name="图片 19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49" name="图片 19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0" name="图片 19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1" name="图片 19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2" name="图片 19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3" name="图片 19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4" name="图片 19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5" name="图片 19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6" name="图片 19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7" name="图片 19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8" name="图片 19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59" name="图片 19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60" name="图片 19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61" name="图片 19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1962" name="图片 19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63" name="图片 19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64" name="图片 19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65" name="图片 19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66" name="图片 19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67" name="图片 19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68" name="图片 19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69" name="图片 19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70" name="图片 19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71" name="图片 19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72" name="图片 19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73" name="图片 19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74" name="图片 19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1975" name="图片 19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1976" name="图片 19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77" name="图片 19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78" name="图片 19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79" name="图片 19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0" name="图片 19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1" name="图片 19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2" name="图片 19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3" name="图片 19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4" name="图片 19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5" name="图片 19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6" name="图片 19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7" name="图片 19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8" name="图片 19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1989" name="图片 19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1990" name="图片 19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1" name="图片 19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2" name="图片 19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3" name="图片 19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4" name="图片 19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5" name="图片 19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6" name="图片 19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7" name="图片 19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8" name="图片 19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1999" name="图片 19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000" name="图片 19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001" name="图片 20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002" name="图片 20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003" name="图片 20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2004" name="图片 20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05" name="图片 20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06" name="图片 20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07" name="图片 20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08" name="图片 20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09" name="图片 20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10" name="图片 20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11" name="图片 20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12" name="图片 20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13" name="图片 20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14" name="图片 20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15" name="图片 20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16" name="图片 20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017" name="图片 20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018" name="图片 20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19" name="图片 20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0" name="图片 20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1" name="图片 20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2" name="图片 20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3" name="图片 20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4" name="图片 20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5" name="图片 20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6" name="图片 20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7" name="图片 20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8" name="图片 20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29" name="图片 20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30" name="图片 20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31" name="图片 20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032" name="图片 20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33" name="图片 20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34" name="图片 20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35" name="图片 20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36" name="图片 20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37" name="图片 20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38" name="图片 20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39" name="图片 20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40" name="图片 20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41" name="图片 20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42" name="图片 20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43" name="图片 20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44" name="图片 20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45" name="图片 20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046" name="图片 20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47" name="图片 20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48" name="图片 20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49" name="图片 20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0" name="图片 20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1" name="图片 20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2" name="图片 20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3" name="图片 20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4" name="图片 20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5" name="图片 20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6" name="图片 20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7" name="图片 20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8" name="图片 20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59" name="图片 20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060" name="图片 20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1" name="图片 20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2" name="图片 20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3" name="图片 20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4" name="图片 20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5" name="图片 20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6" name="图片 20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7" name="图片 20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8" name="图片 20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69" name="图片 20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70" name="图片 20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71" name="图片 20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72" name="图片 20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73" name="图片 20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074" name="图片 20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75" name="图片 20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76" name="图片 20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77" name="图片 20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78" name="图片 20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79" name="图片 20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0" name="图片 20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1" name="图片 20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2" name="图片 20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3" name="图片 20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4" name="图片 20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5" name="图片 20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6" name="图片 20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087" name="图片 20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088" name="图片 20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89" name="图片 20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0" name="图片 20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1" name="图片 20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2" name="图片 20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3" name="图片 20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4" name="图片 20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5" name="图片 20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6" name="图片 20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7" name="图片 20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8" name="图片 20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099" name="图片 20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00" name="图片 20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01" name="图片 21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102" name="图片 21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03" name="图片 21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04" name="图片 21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05" name="图片 21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06" name="图片 21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07" name="图片 21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08" name="图片 21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09" name="图片 21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10" name="图片 21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11" name="图片 21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12" name="图片 21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13" name="图片 21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14" name="图片 21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15" name="图片 21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116" name="图片 21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17" name="图片 21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18" name="图片 21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19" name="图片 21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0" name="图片 21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1" name="图片 21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2" name="图片 21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3" name="图片 21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4" name="图片 21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5" name="图片 21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6" name="图片 21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7" name="图片 21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8" name="图片 21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29" name="图片 21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130" name="图片 21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1" name="图片 21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2" name="图片 21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3" name="图片 21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4" name="图片 21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5" name="图片 21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6" name="图片 21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7" name="图片 21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8" name="图片 21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39" name="图片 21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40" name="图片 21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41" name="图片 21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42" name="图片 21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43" name="图片 21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144" name="图片 21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45" name="图片 21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46" name="图片 21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47" name="图片 21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48" name="图片 21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49" name="图片 21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0" name="图片 21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1" name="图片 21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2" name="图片 21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3" name="图片 21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4" name="图片 21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5" name="图片 21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6" name="图片 21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57" name="图片 21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158" name="图片 21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59" name="图片 21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0" name="图片 21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1" name="图片 21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2" name="图片 21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3" name="图片 21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4" name="图片 21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5" name="图片 21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6" name="图片 21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7" name="图片 21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8" name="图片 21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69" name="图片 21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70" name="图片 21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71" name="图片 21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172" name="图片 21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73" name="图片 21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74" name="图片 21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75" name="图片 21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76" name="图片 21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77" name="图片 21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78" name="图片 21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79" name="图片 21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80" name="图片 21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81" name="图片 21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82" name="图片 21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83" name="图片 21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84" name="图片 21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185" name="图片 21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186" name="图片 21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87" name="图片 21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88" name="图片 21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89" name="图片 21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0" name="图片 21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1" name="图片 21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2" name="图片 21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3" name="图片 21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4" name="图片 21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5" name="图片 21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6" name="图片 21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7" name="图片 21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8" name="图片 21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199" name="图片 21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200" name="图片 21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1" name="图片 22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2" name="图片 22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3" name="图片 22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4" name="图片 22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5" name="图片 22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6" name="图片 22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7" name="图片 22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8" name="图片 22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09" name="图片 22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10" name="图片 22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11" name="图片 22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12" name="图片 22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13" name="图片 22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183</xdr:row>
      <xdr:rowOff>0</xdr:rowOff>
    </xdr:from>
    <xdr:to>
      <xdr:col>1</xdr:col>
      <xdr:colOff>19050</xdr:colOff>
      <xdr:row>183</xdr:row>
      <xdr:rowOff>9525</xdr:rowOff>
    </xdr:to>
    <xdr:pic>
      <xdr:nvPicPr>
        <xdr:cNvPr id="2214" name="图片 22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15" name="图片 22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16" name="图片 22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17" name="图片 22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18" name="图片 22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19" name="图片 22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20" name="图片 22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21" name="图片 22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22" name="图片 22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23" name="图片 22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24" name="图片 22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25" name="图片 22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26" name="图片 22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183</xdr:row>
      <xdr:rowOff>0</xdr:rowOff>
    </xdr:from>
    <xdr:to>
      <xdr:col>1</xdr:col>
      <xdr:colOff>19050</xdr:colOff>
      <xdr:row>183</xdr:row>
      <xdr:rowOff>9525</xdr:rowOff>
    </xdr:to>
    <xdr:pic>
      <xdr:nvPicPr>
        <xdr:cNvPr id="2227" name="图片 22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184</xdr:row>
      <xdr:rowOff>0</xdr:rowOff>
    </xdr:from>
    <xdr:ext cx="9525" cy="9525"/>
    <xdr:pic>
      <xdr:nvPicPr>
        <xdr:cNvPr id="2228" name="图片 22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29" name="图片 22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0" name="图片 22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1" name="图片 22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2" name="图片 22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3" name="图片 22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4" name="图片 22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5" name="图片 22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6" name="图片 22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7" name="图片 22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8" name="图片 22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39" name="图片 22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40" name="图片 22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184</xdr:row>
      <xdr:rowOff>0</xdr:rowOff>
    </xdr:from>
    <xdr:ext cx="9525" cy="9525"/>
    <xdr:pic>
      <xdr:nvPicPr>
        <xdr:cNvPr id="2241" name="图片 22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242" name="图片 22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43" name="图片 22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44" name="图片 22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45" name="图片 22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46" name="图片 22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47" name="图片 22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48" name="图片 22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49" name="图片 22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50" name="图片 22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51" name="图片 22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52" name="图片 22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53" name="图片 22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54" name="图片 22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55" name="图片 22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256" name="图片 22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57" name="图片 22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58" name="图片 22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59" name="图片 22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0" name="图片 22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1" name="图片 22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2" name="图片 22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3" name="图片 22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4" name="图片 22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5" name="图片 22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6" name="图片 22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7" name="图片 22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8" name="图片 22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69" name="图片 22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270" name="图片 22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1" name="图片 22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2" name="图片 22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3" name="图片 22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4" name="图片 22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5" name="图片 22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6" name="图片 22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7" name="图片 22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8" name="图片 22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79" name="图片 22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80" name="图片 22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81" name="图片 22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82" name="图片 22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83" name="图片 22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284" name="图片 22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85" name="图片 22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86" name="图片 22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87" name="图片 22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88" name="图片 22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89" name="图片 22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90" name="图片 22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91" name="图片 22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92" name="图片 22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93" name="图片 22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94" name="图片 22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95" name="图片 22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96" name="图片 22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297" name="图片 22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298" name="图片 22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299" name="图片 22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0" name="图片 22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1" name="图片 23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2" name="图片 23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3" name="图片 23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4" name="图片 23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5" name="图片 23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6" name="图片 23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7" name="图片 23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8" name="图片 23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09" name="图片 23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10" name="图片 23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11" name="图片 23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312" name="图片 23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13" name="图片 23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14" name="图片 23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15" name="图片 23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16" name="图片 23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17" name="图片 23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18" name="图片 23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19" name="图片 23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20" name="图片 23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21" name="图片 23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22" name="图片 23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23" name="图片 23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24" name="图片 23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25" name="图片 23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182</xdr:row>
      <xdr:rowOff>0</xdr:rowOff>
    </xdr:from>
    <xdr:to>
      <xdr:col>1</xdr:col>
      <xdr:colOff>19050</xdr:colOff>
      <xdr:row>182</xdr:row>
      <xdr:rowOff>9525</xdr:rowOff>
    </xdr:to>
    <xdr:pic>
      <xdr:nvPicPr>
        <xdr:cNvPr id="2326" name="图片 23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27" name="图片 23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28" name="图片 23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29" name="图片 23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0" name="图片 23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1" name="图片 23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2" name="图片 23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3" name="图片 23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4" name="图片 23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5" name="图片 23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6" name="图片 23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7" name="图片 23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8" name="图片 23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182</xdr:row>
      <xdr:rowOff>0</xdr:rowOff>
    </xdr:from>
    <xdr:to>
      <xdr:col>1</xdr:col>
      <xdr:colOff>19050</xdr:colOff>
      <xdr:row>182</xdr:row>
      <xdr:rowOff>9525</xdr:rowOff>
    </xdr:to>
    <xdr:pic>
      <xdr:nvPicPr>
        <xdr:cNvPr id="2339" name="图片 23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183</xdr:row>
      <xdr:rowOff>0</xdr:rowOff>
    </xdr:from>
    <xdr:ext cx="9525" cy="9525"/>
    <xdr:pic>
      <xdr:nvPicPr>
        <xdr:cNvPr id="2340" name="图片 23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1" name="图片 23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2" name="图片 23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3" name="图片 23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4" name="图片 23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5" name="图片 23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6" name="图片 23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7" name="图片 23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8" name="图片 23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49" name="图片 23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50" name="图片 23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51" name="图片 23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52" name="图片 23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183</xdr:row>
      <xdr:rowOff>0</xdr:rowOff>
    </xdr:from>
    <xdr:ext cx="9525" cy="9525"/>
    <xdr:pic>
      <xdr:nvPicPr>
        <xdr:cNvPr id="2353" name="图片 23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1</xdr:row>
      <xdr:rowOff>0</xdr:rowOff>
    </xdr:from>
    <xdr:to>
      <xdr:col>1</xdr:col>
      <xdr:colOff>19050</xdr:colOff>
      <xdr:row>1</xdr:row>
      <xdr:rowOff>9525</xdr:rowOff>
    </xdr:to>
    <xdr:pic>
      <xdr:nvPicPr>
        <xdr:cNvPr id="2" name="图片 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 name="图片 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 name="图片 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 name="图片 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 name="图片 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 name="图片 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 name="图片 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 name="图片 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 name="图片 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 name="图片 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 name="图片 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 name="图片 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 name="图片 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 name="图片 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6" name="图片 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 name="图片 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 name="图片 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 name="图片 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 name="图片 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 name="图片 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 name="图片 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 name="图片 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 name="图片 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 name="图片 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 name="图片 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 name="图片 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 name="图片 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 name="图片 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0" name="图片 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 name="图片 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 name="图片 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 name="图片 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 name="图片 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 name="图片 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 name="图片 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 name="图片 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 name="图片 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 name="图片 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 name="图片 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1" name="图片 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2" name="图片 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3" name="图片 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90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44" name="图片 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5" name="图片 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6" name="图片 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 name="图片 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8" name="图片 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9" name="图片 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0" name="图片 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1" name="图片 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 name="图片 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3" name="图片 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4" name="图片 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 name="图片 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6" name="图片 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7" name="图片 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80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58" name="图片 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 name="图片 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0" name="图片 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1" name="图片 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 name="图片 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3" name="图片 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4" name="图片 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 name="图片 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6" name="图片 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7" name="图片 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 name="图片 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9" name="图片 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0" name="图片 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1" name="图片 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72" name="图片 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3" name="图片 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4" name="图片 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 name="图片 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6" name="图片 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7" name="图片 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8" name="图片 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9" name="图片 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 name="图片 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1" name="图片 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2" name="图片 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 name="图片 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4" name="图片 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5" name="图片 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86" name="图片 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 name="图片 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8" name="图片 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9" name="图片 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 name="图片 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1" name="图片 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2" name="图片 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 name="图片 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4" name="图片 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5" name="图片 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 name="图片 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7" name="图片 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8" name="图片 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9" name="图片 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00" name="图片 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1" name="图片 1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2" name="图片 1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 name="图片 1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4" name="图片 1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5" name="图片 1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6" name="图片 1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7" name="图片 1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 name="图片 1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9" name="图片 1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0" name="图片 1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 name="图片 1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2" name="图片 1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3" name="图片 1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14" name="图片 1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 name="图片 1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6" name="图片 1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7" name="图片 1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 name="图片 1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9" name="图片 1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0" name="图片 1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 name="图片 1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2" name="图片 1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3" name="图片 1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 name="图片 1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5" name="图片 1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6" name="图片 1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7" name="图片 1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28" name="图片 1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9" name="图片 1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0" name="图片 1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 name="图片 1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2" name="图片 1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3" name="图片 1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4" name="图片 1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5" name="图片 1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 name="图片 1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7" name="图片 1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8" name="图片 1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 name="图片 1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0" name="图片 1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1" name="图片 1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42" name="图片 1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 name="图片 1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4" name="图片 1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5" name="图片 1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 name="图片 1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7" name="图片 1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8" name="图片 1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 name="图片 1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0" name="图片 1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1" name="图片 1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 name="图片 1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3" name="图片 1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4" name="图片 1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5" name="图片 1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080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56" name="图片 1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7" name="图片 1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8" name="图片 1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 name="图片 1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0" name="图片 1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1" name="图片 1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2" name="图片 1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3" name="图片 1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 name="图片 1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5" name="图片 1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6" name="图片 1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 name="图片 1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8" name="图片 1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9" name="图片 1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70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70" name="图片 1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 name="图片 1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2" name="图片 1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3" name="图片 1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 name="图片 1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5" name="图片 1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6" name="图片 1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 name="图片 1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8" name="图片 1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9" name="图片 1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 name="图片 1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1" name="图片 1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2" name="图片 1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3" name="图片 1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84" name="图片 1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5" name="图片 1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6" name="图片 1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 name="图片 1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8" name="图片 1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9" name="图片 1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0" name="图片 1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1" name="图片 1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 name="图片 1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3" name="图片 1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4" name="图片 1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 name="图片 1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6" name="图片 1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7" name="图片 1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394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98" name="图片 1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 name="图片 1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0" name="图片 1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1" name="图片 2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 name="图片 2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3" name="图片 2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4" name="图片 2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 name="图片 2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6" name="图片 2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7" name="图片 2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 name="图片 2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9" name="图片 2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0" name="图片 2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1" name="图片 2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12" name="图片 2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3" name="图片 2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4" name="图片 2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 name="图片 2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6" name="图片 2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7" name="图片 2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8" name="图片 2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9" name="图片 2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 name="图片 2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1" name="图片 2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2" name="图片 2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 name="图片 2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4" name="图片 2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5" name="图片 2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26" name="图片 2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 name="图片 2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8" name="图片 2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9" name="图片 2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 name="图片 2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1" name="图片 2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2" name="图片 2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 name="图片 2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4" name="图片 2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5" name="图片 2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 name="图片 2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7" name="图片 2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8" name="图片 2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9" name="图片 2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40" name="图片 2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1" name="图片 2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2" name="图片 2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 name="图片 2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4" name="图片 2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5" name="图片 2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6" name="图片 2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7" name="图片 2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 name="图片 2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9" name="图片 2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0" name="图片 2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 name="图片 2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2" name="图片 2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3" name="图片 2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54" name="图片 2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 name="图片 2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6" name="图片 2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7" name="图片 2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 name="图片 2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9" name="图片 2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0" name="图片 2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 name="图片 2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2" name="图片 2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3" name="图片 2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 name="图片 2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5" name="图片 2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6" name="图片 2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7" name="图片 2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68" name="图片 2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9" name="图片 2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0" name="图片 2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 name="图片 2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2" name="图片 2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3" name="图片 2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4" name="图片 2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5" name="图片 2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 name="图片 2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7" name="图片 2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8" name="图片 2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 name="图片 2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0" name="图片 2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1" name="图片 2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82" name="图片 2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 name="图片 2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4" name="图片 2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5" name="图片 2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 name="图片 2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7" name="图片 2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8" name="图片 2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 name="图片 2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0" name="图片 2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1" name="图片 2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 name="图片 2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3" name="图片 2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4" name="图片 2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5" name="图片 2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96" name="图片 2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7" name="图片 2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8" name="图片 2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 name="图片 2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0" name="图片 2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1" name="图片 3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2" name="图片 3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3" name="图片 3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 name="图片 3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5" name="图片 3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6" name="图片 3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 name="图片 3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8" name="图片 3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9" name="图片 3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10" name="图片 3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 name="图片 3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2" name="图片 3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3" name="图片 3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 name="图片 3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5" name="图片 3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6" name="图片 3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 name="图片 3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8" name="图片 3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9" name="图片 3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 name="图片 3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1" name="图片 3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2" name="图片 3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3" name="图片 3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24" name="图片 3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5" name="图片 3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6" name="图片 3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 name="图片 3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8" name="图片 3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9" name="图片 3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0" name="图片 3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1" name="图片 3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 name="图片 3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3" name="图片 3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4" name="图片 3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 name="图片 3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6" name="图片 3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7" name="图片 3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38" name="图片 3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 name="图片 3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0" name="图片 3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1" name="图片 3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 name="图片 3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3" name="图片 3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4" name="图片 3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 name="图片 3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6" name="图片 3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7" name="图片 3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 name="图片 3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9" name="图片 3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0" name="图片 3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1" name="图片 3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52" name="图片 3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3" name="图片 3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4" name="图片 3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 name="图片 3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6" name="图片 3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7" name="图片 3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8" name="图片 3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9" name="图片 3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 name="图片 3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1" name="图片 3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2" name="图片 3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 name="图片 3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4" name="图片 3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5" name="图片 3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66" name="图片 3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 name="图片 3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8" name="图片 3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9" name="图片 3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 name="图片 3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1" name="图片 3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2" name="图片 3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 name="图片 3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4" name="图片 3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5" name="图片 3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 name="图片 3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7" name="图片 3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8" name="图片 3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9" name="图片 3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80" name="图片 3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1" name="图片 3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2" name="图片 3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 name="图片 3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4" name="图片 3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5" name="图片 3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6" name="图片 3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7" name="图片 3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 name="图片 3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9" name="图片 3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0" name="图片 3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 name="图片 3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2" name="图片 3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3" name="图片 3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94" name="图片 3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 name="图片 3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6" name="图片 3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7" name="图片 3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 name="图片 3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9" name="图片 3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0" name="图片 3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 name="图片 4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2" name="图片 4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3" name="图片 4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 name="图片 4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5" name="图片 4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6" name="图片 4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7" name="图片 4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408" name="图片 4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9" name="图片 4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0" name="图片 4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1" name="图片 4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2" name="图片 4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3" name="图片 4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4" name="图片 4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5" name="图片 4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6" name="图片 4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7" name="图片 4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8" name="图片 4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19" name="图片 4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20" name="图片 4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21" name="图片 4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422" name="图片 4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23" name="图片 4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24" name="图片 4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25" name="图片 4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26" name="图片 4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27" name="图片 4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28" name="图片 4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29" name="图片 4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30" name="图片 4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31" name="图片 4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32" name="图片 4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33" name="图片 4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34" name="图片 4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35" name="图片 4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436" name="图片 4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37" name="图片 4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38" name="图片 4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39" name="图片 4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0" name="图片 4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1" name="图片 4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2" name="图片 4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3" name="图片 4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4" name="图片 4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5" name="图片 4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6" name="图片 4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7" name="图片 4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8" name="图片 4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49" name="图片 4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450" name="图片 4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1" name="图片 4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2" name="图片 4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3" name="图片 4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4" name="图片 4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5" name="图片 4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6" name="图片 4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7" name="图片 4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8" name="图片 4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59" name="图片 4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60" name="图片 4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61" name="图片 4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62" name="图片 4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63" name="图片 4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464" name="图片 4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65" name="图片 4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66" name="图片 4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67" name="图片 4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68" name="图片 4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69" name="图片 4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0" name="图片 4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1" name="图片 4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2" name="图片 4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3" name="图片 4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4" name="图片 4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5" name="图片 4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6" name="图片 4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77" name="图片 4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478" name="图片 4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79" name="图片 4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0" name="图片 4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1" name="图片 4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2" name="图片 4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3" name="图片 4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4" name="图片 4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5" name="图片 4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6" name="图片 4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7" name="图片 4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8" name="图片 4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89" name="图片 4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90" name="图片 4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91" name="图片 4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492" name="图片 4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93" name="图片 4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94" name="图片 4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95" name="图片 4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96" name="图片 4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97" name="图片 4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98" name="图片 4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99" name="图片 4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00" name="图片 4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01" name="图片 5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02" name="图片 5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03" name="图片 5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04" name="图片 5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05" name="图片 5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506" name="图片 5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07" name="图片 5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08" name="图片 5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09" name="图片 5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0" name="图片 5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1" name="图片 5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2" name="图片 5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3" name="图片 5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4" name="图片 5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5" name="图片 5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6" name="图片 5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7" name="图片 5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8" name="图片 5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19" name="图片 5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520" name="图片 5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1" name="图片 5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2" name="图片 5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3" name="图片 5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4" name="图片 5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5" name="图片 5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6" name="图片 5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7" name="图片 5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8" name="图片 5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29" name="图片 5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30" name="图片 5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31" name="图片 5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32" name="图片 5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33" name="图片 5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534" name="图片 5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35" name="图片 5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36" name="图片 5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37" name="图片 5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38" name="图片 5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39" name="图片 5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40" name="图片 5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41" name="图片 5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42" name="图片 5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43" name="图片 5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44" name="图片 5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45" name="图片 5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46" name="图片 5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47" name="图片 5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548" name="图片 5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49" name="图片 5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0" name="图片 5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1" name="图片 5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2" name="图片 5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3" name="图片 5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4" name="图片 5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5" name="图片 5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6" name="图片 5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7" name="图片 5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8" name="图片 5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59" name="图片 5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60" name="图片 5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61" name="图片 5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562" name="图片 5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63" name="图片 5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64" name="图片 5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65" name="图片 5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66" name="图片 5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67" name="图片 5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68" name="图片 5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69" name="图片 5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70" name="图片 5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71" name="图片 5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72" name="图片 5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73" name="图片 5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74" name="图片 5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75" name="图片 5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576" name="图片 5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77" name="图片 5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78" name="图片 5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79" name="图片 5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0" name="图片 5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1" name="图片 5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2" name="图片 5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3" name="图片 5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4" name="图片 5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5" name="图片 5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6" name="图片 5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7" name="图片 5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8" name="图片 5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589" name="图片 5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590" name="图片 5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1" name="图片 5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2" name="图片 5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3" name="图片 5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4" name="图片 5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5" name="图片 5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6" name="图片 5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7" name="图片 5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8" name="图片 5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599" name="图片 5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00" name="图片 5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01" name="图片 6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02" name="图片 6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03" name="图片 6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604" name="图片 6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05" name="图片 6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06" name="图片 6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07" name="图片 6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08" name="图片 6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09" name="图片 6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10" name="图片 6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11" name="图片 6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12" name="图片 6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13" name="图片 6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14" name="图片 6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15" name="图片 6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16" name="图片 6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17" name="图片 6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618" name="图片 6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19" name="图片 6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0" name="图片 6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1" name="图片 6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2" name="图片 6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3" name="图片 6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4" name="图片 6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5" name="图片 6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6" name="图片 6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7" name="图片 6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8" name="图片 6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29" name="图片 6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30" name="图片 6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31" name="图片 6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632" name="图片 6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33" name="图片 6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34" name="图片 6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35" name="图片 6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36" name="图片 6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37" name="图片 6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38" name="图片 6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39" name="图片 6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40" name="图片 6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41" name="图片 6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42" name="图片 6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43" name="图片 6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44" name="图片 6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45" name="图片 6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646" name="图片 6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47" name="图片 6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48" name="图片 6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49" name="图片 6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0" name="图片 6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1" name="图片 6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2" name="图片 6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3" name="图片 6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4" name="图片 6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5" name="图片 6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6" name="图片 6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7" name="图片 6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8" name="图片 6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59" name="图片 6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660" name="图片 6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1" name="图片 6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2" name="图片 6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3" name="图片 6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4" name="图片 6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5" name="图片 6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6" name="图片 6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7" name="图片 6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8" name="图片 6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69" name="图片 6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70" name="图片 6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71" name="图片 6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72" name="图片 6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73" name="图片 6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674" name="图片 6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75" name="图片 6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76" name="图片 6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77" name="图片 6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78" name="图片 6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79" name="图片 6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0" name="图片 6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1" name="图片 6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2" name="图片 6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3" name="图片 6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4" name="图片 6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5" name="图片 6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6" name="图片 6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687" name="图片 6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688" name="图片 6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89" name="图片 6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0" name="图片 6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1" name="图片 6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2" name="图片 6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3" name="图片 6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4" name="图片 6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5" name="图片 6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6" name="图片 6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7" name="图片 6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8" name="图片 6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699" name="图片 6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00" name="图片 6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01" name="图片 7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702" name="图片 7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03" name="图片 7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04" name="图片 7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05" name="图片 7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06" name="图片 7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07" name="图片 7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08" name="图片 7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09" name="图片 7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10" name="图片 7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11" name="图片 7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12" name="图片 7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13" name="图片 7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14" name="图片 7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15" name="图片 7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716" name="图片 7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17" name="图片 7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18" name="图片 7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19" name="图片 7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0" name="图片 7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1" name="图片 7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2" name="图片 7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3" name="图片 7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4" name="图片 7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5" name="图片 7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6" name="图片 7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7" name="图片 7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8" name="图片 7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29" name="图片 7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730" name="图片 7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1" name="图片 7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2" name="图片 7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3" name="图片 7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4" name="图片 7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5" name="图片 7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6" name="图片 7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7" name="图片 7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8" name="图片 7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39" name="图片 7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40" name="图片 7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41" name="图片 7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42" name="图片 7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43" name="图片 7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744" name="图片 7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45" name="图片 7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46" name="图片 7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47" name="图片 7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48" name="图片 7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49" name="图片 7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0" name="图片 7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1" name="图片 7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2" name="图片 7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3" name="图片 7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4" name="图片 7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5" name="图片 7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6" name="图片 7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57" name="图片 7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758" name="图片 7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59" name="图片 7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0" name="图片 7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1" name="图片 7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2" name="图片 7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3" name="图片 7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4" name="图片 7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5" name="图片 7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6" name="图片 7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7" name="图片 7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8" name="图片 7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69" name="图片 7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70" name="图片 7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71" name="图片 7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772" name="图片 7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73" name="图片 7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74" name="图片 7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75" name="图片 7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76" name="图片 7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77" name="图片 7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78" name="图片 7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79" name="图片 7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80" name="图片 7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81" name="图片 7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82" name="图片 7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83" name="图片 7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84" name="图片 7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785" name="图片 7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786" name="图片 7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87" name="图片 7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88" name="图片 7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89" name="图片 7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0" name="图片 7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1" name="图片 7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2" name="图片 7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3" name="图片 7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4" name="图片 7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5" name="图片 7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6" name="图片 7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7" name="图片 7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8" name="图片 7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799" name="图片 7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800" name="图片 7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1" name="图片 8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2" name="图片 8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3" name="图片 8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4" name="图片 8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5" name="图片 8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6" name="图片 8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7" name="图片 8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8" name="图片 8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09" name="图片 8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10" name="图片 8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11" name="图片 8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12" name="图片 8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13" name="图片 8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814" name="图片 8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15" name="图片 8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16" name="图片 8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17" name="图片 8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18" name="图片 8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19" name="图片 8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20" name="图片 8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21" name="图片 8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22" name="图片 8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23" name="图片 8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24" name="图片 8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25" name="图片 8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26" name="图片 8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27" name="图片 8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828" name="图片 8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29" name="图片 8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0" name="图片 8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1" name="图片 8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2" name="图片 8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3" name="图片 8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4" name="图片 8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5" name="图片 8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6" name="图片 8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7" name="图片 8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8" name="图片 8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39" name="图片 8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40" name="图片 8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41" name="图片 8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842" name="图片 8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43" name="图片 8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44" name="图片 8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45" name="图片 8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46" name="图片 8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47" name="图片 8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48" name="图片 8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49" name="图片 8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50" name="图片 8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51" name="图片 8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52" name="图片 8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53" name="图片 8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54" name="图片 8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55" name="图片 8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856" name="图片 8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57" name="图片 8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58" name="图片 8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59" name="图片 8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0" name="图片 8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1" name="图片 8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2" name="图片 8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3" name="图片 8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4" name="图片 8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5" name="图片 8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6" name="图片 8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7" name="图片 8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8" name="图片 8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69" name="图片 8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870" name="图片 8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1" name="图片 8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2" name="图片 8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3" name="图片 8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4" name="图片 8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5" name="图片 8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6" name="图片 8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7" name="图片 8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8" name="图片 8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79" name="图片 8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80" name="图片 8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81" name="图片 8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82" name="图片 8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83" name="图片 8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884" name="图片 8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85" name="图片 8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86" name="图片 8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87" name="图片 8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88" name="图片 8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89" name="图片 8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90" name="图片 8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91" name="图片 8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92" name="图片 8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93" name="图片 8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94" name="图片 8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95" name="图片 8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96" name="图片 8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897" name="图片 8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898" name="图片 8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899" name="图片 8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0" name="图片 8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1" name="图片 9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2" name="图片 9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3" name="图片 9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4" name="图片 9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5" name="图片 9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6" name="图片 9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7" name="图片 9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8" name="图片 9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09" name="图片 9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10" name="图片 9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11" name="图片 9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912" name="图片 9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13" name="图片 9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14" name="图片 9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15" name="图片 9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16" name="图片 9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17" name="图片 9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18" name="图片 9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19" name="图片 9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20" name="图片 9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21" name="图片 9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22" name="图片 9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23" name="图片 9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24" name="图片 9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25" name="图片 9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926" name="图片 9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27" name="图片 9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28" name="图片 9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29" name="图片 9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0" name="图片 9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1" name="图片 9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2" name="图片 9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3" name="图片 9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4" name="图片 9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5" name="图片 9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6" name="图片 9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7" name="图片 9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8" name="图片 9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39" name="图片 9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940" name="图片 9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1" name="图片 9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2" name="图片 9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3" name="图片 9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4" name="图片 9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5" name="图片 9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6" name="图片 9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7" name="图片 9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8" name="图片 9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49" name="图片 9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50" name="图片 9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51" name="图片 9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52" name="图片 9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53" name="图片 9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954" name="图片 9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55" name="图片 9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56" name="图片 9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57" name="图片 9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58" name="图片 9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59" name="图片 9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0" name="图片 9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1" name="图片 9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2" name="图片 9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3" name="图片 9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4" name="图片 9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5" name="图片 9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6" name="图片 9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67" name="图片 9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968" name="图片 9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69" name="图片 9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0" name="图片 9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1" name="图片 9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2" name="图片 9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3" name="图片 9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4" name="图片 9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5" name="图片 9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6" name="图片 9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7" name="图片 9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8" name="图片 9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79" name="图片 9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80" name="图片 9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81" name="图片 9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982" name="图片 9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83" name="图片 9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84" name="图片 9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85" name="图片 9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86" name="图片 9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87" name="图片 9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88" name="图片 9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89" name="图片 9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90" name="图片 9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91" name="图片 9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92" name="图片 9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93" name="图片 9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94" name="图片 9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995" name="图片 9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996" name="图片 9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97" name="图片 9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98" name="图片 9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999" name="图片 9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0" name="图片 9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1" name="图片 10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2" name="图片 10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3" name="图片 10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4" name="图片 10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5" name="图片 10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6" name="图片 10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7" name="图片 10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8" name="图片 10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09" name="图片 10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010" name="图片 10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1" name="图片 10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2" name="图片 10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3" name="图片 10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4" name="图片 10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5" name="图片 10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6" name="图片 10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7" name="图片 10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8" name="图片 10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19" name="图片 10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20" name="图片 10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21" name="图片 10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22" name="图片 10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23" name="图片 10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024" name="图片 10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25" name="图片 10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26" name="图片 10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27" name="图片 10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28" name="图片 10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29" name="图片 10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0" name="图片 10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1" name="图片 10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2" name="图片 10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3" name="图片 10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4" name="图片 10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5" name="图片 10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6" name="图片 10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37" name="图片 10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038" name="图片 10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39" name="图片 10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0" name="图片 10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1" name="图片 10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2" name="图片 10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3" name="图片 10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4" name="图片 10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5" name="图片 10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6" name="图片 10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7" name="图片 10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8" name="图片 10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49" name="图片 10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50" name="图片 10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51" name="图片 10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052" name="图片 10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53" name="图片 10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54" name="图片 10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55" name="图片 10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56" name="图片 10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57" name="图片 10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58" name="图片 10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59" name="图片 10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60" name="图片 10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61" name="图片 10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62" name="图片 10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63" name="图片 10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64" name="图片 10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65" name="图片 10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066" name="图片 10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67" name="图片 10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68" name="图片 10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69" name="图片 10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0" name="图片 10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1" name="图片 10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2" name="图片 10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3" name="图片 10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4" name="图片 10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5" name="图片 10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6" name="图片 10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7" name="图片 10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8" name="图片 10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79" name="图片 10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080" name="图片 10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1" name="图片 10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2" name="图片 10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3" name="图片 10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4" name="图片 10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5" name="图片 10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6" name="图片 10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7" name="图片 10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8" name="图片 10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89" name="图片 10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90" name="图片 10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91" name="图片 10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92" name="图片 10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093" name="图片 10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094" name="图片 10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95" name="图片 10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96" name="图片 10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97" name="图片 10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98" name="图片 10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099" name="图片 10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00" name="图片 10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01" name="图片 11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02" name="图片 11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03" name="图片 11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04" name="图片 11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05" name="图片 11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06" name="图片 11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07" name="图片 11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108" name="图片 11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09" name="图片 11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0" name="图片 11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1" name="图片 11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2" name="图片 11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3" name="图片 11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4" name="图片 11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5" name="图片 11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6" name="图片 11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7" name="图片 11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8" name="图片 11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19" name="图片 11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20" name="图片 11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21" name="图片 11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122" name="图片 11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23" name="图片 11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24" name="图片 11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25" name="图片 11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26" name="图片 11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27" name="图片 11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28" name="图片 11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29" name="图片 11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30" name="图片 11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31" name="图片 11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32" name="图片 11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33" name="图片 11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34" name="图片 11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35" name="图片 11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136" name="图片 11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37" name="图片 11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38" name="图片 11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39" name="图片 11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0" name="图片 11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1" name="图片 11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2" name="图片 11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3" name="图片 11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4" name="图片 11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5" name="图片 11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6" name="图片 11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7" name="图片 11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8" name="图片 11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49" name="图片 11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150" name="图片 11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1" name="图片 11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2" name="图片 11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3" name="图片 11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4" name="图片 11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5" name="图片 11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6" name="图片 11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7" name="图片 11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8" name="图片 11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59" name="图片 11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60" name="图片 11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61" name="图片 11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62" name="图片 11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63" name="图片 11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164" name="图片 11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65" name="图片 11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66" name="图片 11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67" name="图片 11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68" name="图片 11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69" name="图片 11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70" name="图片 11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71" name="图片 11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72" name="图片 11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73" name="图片 11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74" name="图片 11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75" name="图片 11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76" name="图片 11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77" name="图片 11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178" name="图片 11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79" name="图片 11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0" name="图片 11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1" name="图片 11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2" name="图片 11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3" name="图片 11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4" name="图片 11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5" name="图片 11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6" name="图片 11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7" name="图片 11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8" name="图片 11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89" name="图片 11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90" name="图片 11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191" name="图片 11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192" name="图片 11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93" name="图片 11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94" name="图片 11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95" name="图片 11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96" name="图片 11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97" name="图片 11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98" name="图片 11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199" name="图片 11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00" name="图片 11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01" name="图片 12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02" name="图片 12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03" name="图片 12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04" name="图片 12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05" name="图片 12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206" name="图片 12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07" name="图片 12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08" name="图片 12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09" name="图片 12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0" name="图片 12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1" name="图片 12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2" name="图片 12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3" name="图片 12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4" name="图片 12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5" name="图片 12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6" name="图片 12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7" name="图片 12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8" name="图片 12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19" name="图片 12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220" name="图片 12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1" name="图片 12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2" name="图片 12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3" name="图片 12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4" name="图片 12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5" name="图片 12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6" name="图片 12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7" name="图片 12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8" name="图片 12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29" name="图片 12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30" name="图片 12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31" name="图片 12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32" name="图片 12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33" name="图片 12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234" name="图片 12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35" name="图片 12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36" name="图片 12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37" name="图片 12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38" name="图片 12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39" name="图片 12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0" name="图片 12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1" name="图片 12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2" name="图片 12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3" name="图片 12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4" name="图片 12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5" name="图片 12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6" name="图片 12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47" name="图片 12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248" name="图片 12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49" name="图片 12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0" name="图片 12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1" name="图片 12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2" name="图片 12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3" name="图片 12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4" name="图片 12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5" name="图片 12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6" name="图片 12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7" name="图片 12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8" name="图片 12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59" name="图片 12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60" name="图片 12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61" name="图片 12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262" name="图片 12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63" name="图片 12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64" name="图片 12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65" name="图片 12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66" name="图片 12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67" name="图片 12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68" name="图片 12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69" name="图片 12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70" name="图片 12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71" name="图片 12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72" name="图片 12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73" name="图片 12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74" name="图片 12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75" name="图片 12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276" name="图片 12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77" name="图片 12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78" name="图片 12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79" name="图片 12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0" name="图片 12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1" name="图片 12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2" name="图片 12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3" name="图片 12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4" name="图片 12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5" name="图片 12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6" name="图片 12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7" name="图片 12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8" name="图片 12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289" name="图片 12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290" name="图片 12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1" name="图片 12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2" name="图片 12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3" name="图片 12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4" name="图片 12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5" name="图片 12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6" name="图片 12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7" name="图片 12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8" name="图片 12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299" name="图片 12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00" name="图片 12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01" name="图片 13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02" name="图片 13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03" name="图片 13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304" name="图片 13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05" name="图片 13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06" name="图片 13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07" name="图片 13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08" name="图片 13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09" name="图片 13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0" name="图片 13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1" name="图片 13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2" name="图片 13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3" name="图片 13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4" name="图片 13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5" name="图片 13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6" name="图片 13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17" name="图片 13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318" name="图片 13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19" name="图片 13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0" name="图片 13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1" name="图片 13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2" name="图片 13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3" name="图片 13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4" name="图片 13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5" name="图片 13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6" name="图片 13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7" name="图片 13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8" name="图片 13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29" name="图片 13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30" name="图片 13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31" name="图片 13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332" name="图片 13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33" name="图片 13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34" name="图片 13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35" name="图片 13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36" name="图片 13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37" name="图片 13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38" name="图片 13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39" name="图片 13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40" name="图片 13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41" name="图片 13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42" name="图片 13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43" name="图片 13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44" name="图片 13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45" name="图片 13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346" name="图片 13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47" name="图片 13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48" name="图片 13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49" name="图片 13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0" name="图片 13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1" name="图片 13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2" name="图片 13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3" name="图片 13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4" name="图片 13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5" name="图片 13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6" name="图片 13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7" name="图片 13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8" name="图片 13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59" name="图片 13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360" name="图片 13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1" name="图片 13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2" name="图片 13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3" name="图片 13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4" name="图片 13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5" name="图片 13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6" name="图片 13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7" name="图片 13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8" name="图片 13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69" name="图片 13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70" name="图片 13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71" name="图片 13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72" name="图片 13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73" name="图片 13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374" name="图片 13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75" name="图片 13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76" name="图片 13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77" name="图片 13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78" name="图片 13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79" name="图片 13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80" name="图片 13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81" name="图片 13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82" name="图片 13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83" name="图片 13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84" name="图片 13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85" name="图片 13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86" name="图片 13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387" name="图片 13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388" name="图片 13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89" name="图片 13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0" name="图片 13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1" name="图片 13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2" name="图片 13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3" name="图片 13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4" name="图片 13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5" name="图片 13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6" name="图片 13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7" name="图片 13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8" name="图片 13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399" name="图片 13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00" name="图片 13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01" name="图片 14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402" name="图片 14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03" name="图片 14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04" name="图片 14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05" name="图片 14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06" name="图片 14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07" name="图片 14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08" name="图片 14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09" name="图片 14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10" name="图片 14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11" name="图片 14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12" name="图片 14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13" name="图片 14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14" name="图片 14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15" name="图片 14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416" name="图片 14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17" name="图片 14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18" name="图片 14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19" name="图片 14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0" name="图片 14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1" name="图片 14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2" name="图片 14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3" name="图片 14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4" name="图片 14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5" name="图片 14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6" name="图片 14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7" name="图片 14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8" name="图片 14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29" name="图片 14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430" name="图片 14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1" name="图片 14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2" name="图片 14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3" name="图片 14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4" name="图片 14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5" name="图片 14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6" name="图片 14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7" name="图片 14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8" name="图片 14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39" name="图片 14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40" name="图片 14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41" name="图片 14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42" name="图片 14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43" name="图片 14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444" name="图片 14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45" name="图片 14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46" name="图片 14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47" name="图片 14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48" name="图片 14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49" name="图片 14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50" name="图片 14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51" name="图片 14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52" name="图片 14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53" name="图片 14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54" name="图片 14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55" name="图片 14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56" name="图片 14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57" name="图片 14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458" name="图片 14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59" name="图片 14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0" name="图片 14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1" name="图片 14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2" name="图片 14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3" name="图片 14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4" name="图片 14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5" name="图片 14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6" name="图片 14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7" name="图片 14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8" name="图片 14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69" name="图片 14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70" name="图片 14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71" name="图片 14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472" name="图片 14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73" name="图片 14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74" name="图片 14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75" name="图片 14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76" name="图片 14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77" name="图片 14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78" name="图片 14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79" name="图片 14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80" name="图片 14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81" name="图片 14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82" name="图片 14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83" name="图片 14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84" name="图片 14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485" name="图片 14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486" name="图片 14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87" name="图片 14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88" name="图片 14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89" name="图片 14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0" name="图片 14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1" name="图片 14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2" name="图片 14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3" name="图片 14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4" name="图片 14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5" name="图片 14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6" name="图片 14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7" name="图片 14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8" name="图片 14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499" name="图片 14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500" name="图片 14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1" name="图片 15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2" name="图片 15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3" name="图片 15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4" name="图片 15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5" name="图片 15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6" name="图片 15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7" name="图片 15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8" name="图片 15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09" name="图片 15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10" name="图片 15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11" name="图片 15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12" name="图片 15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13" name="图片 15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514" name="图片 15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15" name="图片 15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16" name="图片 15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17" name="图片 15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18" name="图片 15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19" name="图片 15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0" name="图片 15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1" name="图片 15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2" name="图片 15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3" name="图片 15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4" name="图片 15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5" name="图片 15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6" name="图片 15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27" name="图片 15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528" name="图片 15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29" name="图片 15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0" name="图片 15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1" name="图片 15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2" name="图片 15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3" name="图片 15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4" name="图片 15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5" name="图片 15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6" name="图片 15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7" name="图片 15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8" name="图片 15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39" name="图片 15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40" name="图片 15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41" name="图片 15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542" name="图片 15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43" name="图片 15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44" name="图片 15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45" name="图片 15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46" name="图片 15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47" name="图片 15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48" name="图片 15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49" name="图片 15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50" name="图片 15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51" name="图片 15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52" name="图片 15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53" name="图片 15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54" name="图片 15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55" name="图片 15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556" name="图片 15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57" name="图片 15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58" name="图片 15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59" name="图片 15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0" name="图片 15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1" name="图片 15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2" name="图片 15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3" name="图片 15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4" name="图片 15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5" name="图片 15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6" name="图片 15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7" name="图片 15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8" name="图片 15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69" name="图片 15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570" name="图片 15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1" name="图片 15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2" name="图片 15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3" name="图片 15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4" name="图片 15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5" name="图片 15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6" name="图片 15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7" name="图片 15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8" name="图片 15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79" name="图片 15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80" name="图片 15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81" name="图片 15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82" name="图片 15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83" name="图片 15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584" name="图片 15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85" name="图片 15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86" name="图片 15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87" name="图片 15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88" name="图片 15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89" name="图片 15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0" name="图片 15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1" name="图片 15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2" name="图片 15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3" name="图片 15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4" name="图片 15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5" name="图片 15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6" name="图片 15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597" name="图片 15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598" name="图片 15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599" name="图片 15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0" name="图片 15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1" name="图片 16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2" name="图片 16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3" name="图片 16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4" name="图片 16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5" name="图片 16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6" name="图片 16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7" name="图片 16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8" name="图片 16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09" name="图片 16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10" name="图片 16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11" name="图片 16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612" name="图片 16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13" name="图片 16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14" name="图片 16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15" name="图片 16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16" name="图片 16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17" name="图片 16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18" name="图片 16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19" name="图片 16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20" name="图片 16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21" name="图片 16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22" name="图片 16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23" name="图片 16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24" name="图片 16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25" name="图片 16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626" name="图片 16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27" name="图片 16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28" name="图片 16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29" name="图片 16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0" name="图片 16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1" name="图片 16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2" name="图片 16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3" name="图片 16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4" name="图片 16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5" name="图片 16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6" name="图片 16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7" name="图片 16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8" name="图片 16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39" name="图片 16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640" name="图片 16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1" name="图片 16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2" name="图片 16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3" name="图片 16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4" name="图片 16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5" name="图片 16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6" name="图片 16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7" name="图片 16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8" name="图片 16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49" name="图片 16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50" name="图片 16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51" name="图片 16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52" name="图片 16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53" name="图片 16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654" name="图片 16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55" name="图片 16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56" name="图片 16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57" name="图片 16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58" name="图片 16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59" name="图片 16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60" name="图片 16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61" name="图片 16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62" name="图片 16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63" name="图片 16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64" name="图片 16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65" name="图片 16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66" name="图片 16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67" name="图片 16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668" name="图片 16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69" name="图片 16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0" name="图片 16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1" name="图片 16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2" name="图片 16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3" name="图片 16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4" name="图片 16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5" name="图片 16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6" name="图片 16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7" name="图片 16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8" name="图片 16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79" name="图片 16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80" name="图片 16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81" name="图片 16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682" name="图片 16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83" name="图片 16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84" name="图片 16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85" name="图片 16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86" name="图片 16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87" name="图片 16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88" name="图片 16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89" name="图片 16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90" name="图片 16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91" name="图片 16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92" name="图片 16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93" name="图片 16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94" name="图片 16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695" name="图片 16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696" name="图片 16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97" name="图片 16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98" name="图片 16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699" name="图片 16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0" name="图片 16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1" name="图片 17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2" name="图片 17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3" name="图片 17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4" name="图片 17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5" name="图片 17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6" name="图片 17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7" name="图片 17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8" name="图片 17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09" name="图片 17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710" name="图片 17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1" name="图片 17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2" name="图片 17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3" name="图片 17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4" name="图片 17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5" name="图片 17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6" name="图片 17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7" name="图片 17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8" name="图片 17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19" name="图片 17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20" name="图片 17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21" name="图片 17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22" name="图片 17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23" name="图片 17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724" name="图片 17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25" name="图片 17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26" name="图片 17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27" name="图片 17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28" name="图片 17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29" name="图片 17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30" name="图片 17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31" name="图片 17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32" name="图片 17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33" name="图片 17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34" name="图片 17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35" name="图片 17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36" name="图片 17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37" name="图片 17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738" name="图片 17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39" name="图片 17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0" name="图片 17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1" name="图片 17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2" name="图片 17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3" name="图片 17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4" name="图片 17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5" name="图片 17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6" name="图片 17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7" name="图片 17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8" name="图片 17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49" name="图片 17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50" name="图片 17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51" name="图片 17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752" name="图片 17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53" name="图片 17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54" name="图片 17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55" name="图片 17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56" name="图片 17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57" name="图片 17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58" name="图片 17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59" name="图片 17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60" name="图片 17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61" name="图片 17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62" name="图片 17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63" name="图片 17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64" name="图片 17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65" name="图片 17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766" name="图片 17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67" name="图片 17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68" name="图片 17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69" name="图片 17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0" name="图片 17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1" name="图片 17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2" name="图片 17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3" name="图片 17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4" name="图片 17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5" name="图片 17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6" name="图片 17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7" name="图片 17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8" name="图片 17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79" name="图片 17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780" name="图片 17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1" name="图片 17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2" name="图片 17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3" name="图片 17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4" name="图片 17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5" name="图片 17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6" name="图片 17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7" name="图片 17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8" name="图片 17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89" name="图片 17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90" name="图片 17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91" name="图片 17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92" name="图片 17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793" name="图片 17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794" name="图片 17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95" name="图片 17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96" name="图片 17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97" name="图片 17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98" name="图片 17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799" name="图片 17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0" name="图片 17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1" name="图片 18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2" name="图片 18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3" name="图片 18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4" name="图片 18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5" name="图片 18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6" name="图片 18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07" name="图片 18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808" name="图片 18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09" name="图片 18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0" name="图片 18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1" name="图片 18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2" name="图片 18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3" name="图片 18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4" name="图片 18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5" name="图片 18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6" name="图片 18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7" name="图片 18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8" name="图片 18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19" name="图片 18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20" name="图片 18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21" name="图片 18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822" name="图片 18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23" name="图片 18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24" name="图片 18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25" name="图片 18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26" name="图片 18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27" name="图片 18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28" name="图片 18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29" name="图片 18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30" name="图片 18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31" name="图片 18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32" name="图片 18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33" name="图片 18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34" name="图片 18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35" name="图片 18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836" name="图片 18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37" name="图片 18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38" name="图片 18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39" name="图片 18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0" name="图片 18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1" name="图片 18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2" name="图片 18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3" name="图片 18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4" name="图片 18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5" name="图片 18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6" name="图片 18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7" name="图片 18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8" name="图片 18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49" name="图片 18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850" name="图片 18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1" name="图片 18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2" name="图片 18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3" name="图片 18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4" name="图片 18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5" name="图片 18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6" name="图片 18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7" name="图片 18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8" name="图片 18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59" name="图片 18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60" name="图片 18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61" name="图片 18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62" name="图片 18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63" name="图片 18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864" name="图片 18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65" name="图片 18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66" name="图片 18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67" name="图片 18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68" name="图片 18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69" name="图片 18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0" name="图片 18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1" name="图片 18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2" name="图片 18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3" name="图片 18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4" name="图片 18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5" name="图片 18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6" name="图片 18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77" name="图片 18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878" name="图片 18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79" name="图片 18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0" name="图片 18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1" name="图片 18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2" name="图片 18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3" name="图片 18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4" name="图片 18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5" name="图片 18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6" name="图片 18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7" name="图片 18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8" name="图片 18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89" name="图片 18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90" name="图片 18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891" name="图片 18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892" name="图片 18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93" name="图片 18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94" name="图片 18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95" name="图片 18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96" name="图片 18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97" name="图片 18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98" name="图片 18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899" name="图片 18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00" name="图片 18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01" name="图片 19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02" name="图片 19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03" name="图片 19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04" name="图片 19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05" name="图片 19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906" name="图片 19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07" name="图片 19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08" name="图片 19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09" name="图片 19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0" name="图片 19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1" name="图片 19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2" name="图片 19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3" name="图片 19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4" name="图片 19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5" name="图片 19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6" name="图片 19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7" name="图片 19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8" name="图片 19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19" name="图片 19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920" name="图片 19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1" name="图片 19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2" name="图片 19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3" name="图片 19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4" name="图片 19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5" name="图片 19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6" name="图片 19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7" name="图片 19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8" name="图片 19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29" name="图片 19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30" name="图片 19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31" name="图片 19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32" name="图片 19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33" name="图片 19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934" name="图片 19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35" name="图片 19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36" name="图片 19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37" name="图片 19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38" name="图片 19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39" name="图片 19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40" name="图片 19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41" name="图片 19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42" name="图片 19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43" name="图片 19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44" name="图片 19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45" name="图片 19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46" name="图片 19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47" name="图片 19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948" name="图片 19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49" name="图片 19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0" name="图片 19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1" name="图片 19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2" name="图片 19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3" name="图片 19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4" name="图片 19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5" name="图片 19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6" name="图片 19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7" name="图片 19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8" name="图片 19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59" name="图片 19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60" name="图片 19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61" name="图片 19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962" name="图片 19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63" name="图片 19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64" name="图片 19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65" name="图片 19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66" name="图片 19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67" name="图片 19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68" name="图片 19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69" name="图片 19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70" name="图片 19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71" name="图片 19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72" name="图片 19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73" name="图片 19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74" name="图片 19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75" name="图片 19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1976" name="图片 19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77" name="图片 19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78" name="图片 19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79" name="图片 19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0" name="图片 19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1" name="图片 19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2" name="图片 19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3" name="图片 19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4" name="图片 19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5" name="图片 19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6" name="图片 19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7" name="图片 19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8" name="图片 19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1989" name="图片 19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1990" name="图片 19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1" name="图片 19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2" name="图片 19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3" name="图片 19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4" name="图片 19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5" name="图片 19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6" name="图片 19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7" name="图片 19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8" name="图片 19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1999" name="图片 19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00" name="图片 19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01" name="图片 20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02" name="图片 20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03" name="图片 20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004" name="图片 20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05" name="图片 20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06" name="图片 20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07" name="图片 20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08" name="图片 20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09" name="图片 20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10" name="图片 20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11" name="图片 20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12" name="图片 20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13" name="图片 20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14" name="图片 20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15" name="图片 20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16" name="图片 20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17" name="图片 20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018" name="图片 20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19" name="图片 20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0" name="图片 20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1" name="图片 20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2" name="图片 20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3" name="图片 20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4" name="图片 20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5" name="图片 20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6" name="图片 20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7" name="图片 20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8" name="图片 20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29" name="图片 20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30" name="图片 20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31" name="图片 20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032" name="图片 20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33" name="图片 20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34" name="图片 20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35" name="图片 20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36" name="图片 20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37" name="图片 20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38" name="图片 20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39" name="图片 20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40" name="图片 20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41" name="图片 20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42" name="图片 20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43" name="图片 20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44" name="图片 20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45" name="图片 20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046" name="图片 20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47" name="图片 20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48" name="图片 20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49" name="图片 20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0" name="图片 20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1" name="图片 20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2" name="图片 20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3" name="图片 20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4" name="图片 20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5" name="图片 20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6" name="图片 20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7" name="图片 20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8" name="图片 20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59" name="图片 20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060" name="图片 20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1" name="图片 20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2" name="图片 20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3" name="图片 20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4" name="图片 20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5" name="图片 20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6" name="图片 20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7" name="图片 20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8" name="图片 20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69" name="图片 20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70" name="图片 20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71" name="图片 20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72" name="图片 20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73" name="图片 20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074" name="图片 20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75" name="图片 20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76" name="图片 20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77" name="图片 20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78" name="图片 20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79" name="图片 20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0" name="图片 20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1" name="图片 20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2" name="图片 20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3" name="图片 20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4" name="图片 20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5" name="图片 20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6" name="图片 20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087" name="图片 20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088" name="图片 20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89" name="图片 20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0" name="图片 20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1" name="图片 20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2" name="图片 20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3" name="图片 20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4" name="图片 20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5" name="图片 20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6" name="图片 20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7" name="图片 20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8" name="图片 20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099" name="图片 20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00" name="图片 20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01" name="图片 21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102" name="图片 21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03" name="图片 21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04" name="图片 21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05" name="图片 21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06" name="图片 21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07" name="图片 21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08" name="图片 21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09" name="图片 21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10" name="图片 21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11" name="图片 21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12" name="图片 21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13" name="图片 21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14" name="图片 21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15" name="图片 21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116" name="图片 21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17" name="图片 21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18" name="图片 21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19" name="图片 21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0" name="图片 21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1" name="图片 21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2" name="图片 21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3" name="图片 21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4" name="图片 21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5" name="图片 21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6" name="图片 21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7" name="图片 21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8" name="图片 21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29" name="图片 21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130" name="图片 21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1" name="图片 21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2" name="图片 21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3" name="图片 21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4" name="图片 21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5" name="图片 21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6" name="图片 21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7" name="图片 21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8" name="图片 21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39" name="图片 21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40" name="图片 21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41" name="图片 21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42" name="图片 21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43" name="图片 21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144" name="图片 21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45" name="图片 21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46" name="图片 21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47" name="图片 21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48" name="图片 21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49" name="图片 21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0" name="图片 21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1" name="图片 21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2" name="图片 21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3" name="图片 21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4" name="图片 21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5" name="图片 21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6" name="图片 21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57" name="图片 21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158" name="图片 21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59" name="图片 21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0" name="图片 21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1" name="图片 21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2" name="图片 21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3" name="图片 21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4" name="图片 21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5" name="图片 21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6" name="图片 21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7" name="图片 21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8" name="图片 21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69" name="图片 21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70" name="图片 21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71" name="图片 21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172" name="图片 21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73" name="图片 21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74" name="图片 21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75" name="图片 21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76" name="图片 21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77" name="图片 21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78" name="图片 21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79" name="图片 21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80" name="图片 21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81" name="图片 21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82" name="图片 21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83" name="图片 21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84" name="图片 21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185" name="图片 21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186" name="图片 21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87" name="图片 21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88" name="图片 21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89" name="图片 21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0" name="图片 21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1" name="图片 21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2" name="图片 21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3" name="图片 21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4" name="图片 21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5" name="图片 21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6" name="图片 21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7" name="图片 21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8" name="图片 21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199" name="图片 21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200" name="图片 21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1" name="图片 22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2" name="图片 22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3" name="图片 22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4" name="图片 22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5" name="图片 22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6" name="图片 22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7" name="图片 22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8" name="图片 22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09" name="图片 22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10" name="图片 22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11" name="图片 22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12" name="图片 22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13" name="图片 22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214" name="图片 22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15" name="图片 22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16" name="图片 22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17" name="图片 22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18" name="图片 22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19" name="图片 22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20" name="图片 22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21" name="图片 22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22" name="图片 22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23" name="图片 22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24" name="图片 22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25" name="图片 22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26" name="图片 22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27" name="图片 22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228" name="图片 22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29" name="图片 22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0" name="图片 22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1" name="图片 22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2" name="图片 22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3" name="图片 22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4" name="图片 22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5" name="图片 22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6" name="图片 22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7" name="图片 22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8" name="图片 22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39" name="图片 22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40" name="图片 22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41" name="图片 22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242" name="图片 22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43" name="图片 22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44" name="图片 22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45" name="图片 22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46" name="图片 22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47" name="图片 22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48" name="图片 22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49" name="图片 22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50" name="图片 22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51" name="图片 22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52" name="图片 22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53" name="图片 22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54" name="图片 22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55" name="图片 22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256" name="图片 22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57" name="图片 22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58" name="图片 22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59" name="图片 22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0" name="图片 22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1" name="图片 22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2" name="图片 22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3" name="图片 22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4" name="图片 22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5" name="图片 22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6" name="图片 22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7" name="图片 22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8" name="图片 22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69" name="图片 22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270" name="图片 22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1" name="图片 22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2" name="图片 22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3" name="图片 22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4" name="图片 22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5" name="图片 22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6" name="图片 22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7" name="图片 22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8" name="图片 22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79" name="图片 22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80" name="图片 22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81" name="图片 22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82" name="图片 22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83" name="图片 22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284" name="图片 22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85" name="图片 22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86" name="图片 22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87" name="图片 22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88" name="图片 22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89" name="图片 22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90" name="图片 22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91" name="图片 22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92" name="图片 22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93" name="图片 22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94" name="图片 22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95" name="图片 22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96" name="图片 22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297" name="图片 22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298" name="图片 22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299" name="图片 22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0" name="图片 22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1" name="图片 23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2" name="图片 23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3" name="图片 23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4" name="图片 23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5" name="图片 23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6" name="图片 23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7" name="图片 23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8" name="图片 23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09" name="图片 23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10" name="图片 23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11" name="图片 23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312" name="图片 23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13" name="图片 23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14" name="图片 23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15" name="图片 23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16" name="图片 23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17" name="图片 23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18" name="图片 23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19" name="图片 23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20" name="图片 23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21" name="图片 23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22" name="图片 23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23" name="图片 23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24" name="图片 23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25" name="图片 23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326" name="图片 23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27" name="图片 23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28" name="图片 23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29" name="图片 23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0" name="图片 23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1" name="图片 23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2" name="图片 23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3" name="图片 23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4" name="图片 23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5" name="图片 23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6" name="图片 23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7" name="图片 23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8" name="图片 23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39" name="图片 23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340" name="图片 23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1" name="图片 23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2" name="图片 23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3" name="图片 23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4" name="图片 23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5" name="图片 23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6" name="图片 23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7" name="图片 23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8" name="图片 23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49" name="图片 23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50" name="图片 23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51" name="图片 23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52" name="图片 23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53" name="图片 23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354" name="图片 23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55" name="图片 23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56" name="图片 23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57" name="图片 23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58" name="图片 23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59" name="图片 23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0" name="图片 23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1" name="图片 23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2" name="图片 23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3" name="图片 23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4" name="图片 23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5" name="图片 23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6" name="图片 23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67" name="图片 23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368" name="图片 23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69" name="图片 23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0" name="图片 23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1" name="图片 23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2" name="图片 23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3" name="图片 23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4" name="图片 23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5" name="图片 23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6" name="图片 23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7" name="图片 23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8" name="图片 23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79" name="图片 23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80" name="图片 23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81" name="图片 23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382" name="图片 23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83" name="图片 23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84" name="图片 23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85" name="图片 23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86" name="图片 23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87" name="图片 23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88" name="图片 23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89" name="图片 23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90" name="图片 23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91" name="图片 23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92" name="图片 23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93" name="图片 23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94" name="图片 23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395" name="图片 23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396" name="图片 23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97" name="图片 23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98" name="图片 23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399" name="图片 23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0" name="图片 23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1" name="图片 24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2" name="图片 24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3" name="图片 24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4" name="图片 24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5" name="图片 24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6" name="图片 24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7" name="图片 24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8" name="图片 24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09" name="图片 24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410" name="图片 24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1" name="图片 24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2" name="图片 24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3" name="图片 24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4" name="图片 24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5" name="图片 24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6" name="图片 24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7" name="图片 24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8" name="图片 24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19" name="图片 24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20" name="图片 24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21" name="图片 24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22" name="图片 24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23" name="图片 24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424" name="图片 24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25" name="图片 24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26" name="图片 24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27" name="图片 24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28" name="图片 24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29" name="图片 24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0" name="图片 24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1" name="图片 24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2" name="图片 24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3" name="图片 24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4" name="图片 24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5" name="图片 24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6" name="图片 24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37" name="图片 24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438" name="图片 24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39" name="图片 24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0" name="图片 24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1" name="图片 24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2" name="图片 24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3" name="图片 24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4" name="图片 24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5" name="图片 24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6" name="图片 24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7" name="图片 24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8" name="图片 24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49" name="图片 24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50" name="图片 24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51" name="图片 24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452" name="图片 24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53" name="图片 24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54" name="图片 24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55" name="图片 24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56" name="图片 24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57" name="图片 24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58" name="图片 24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59" name="图片 24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60" name="图片 24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61" name="图片 24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62" name="图片 24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63" name="图片 24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64" name="图片 24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65" name="图片 24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466" name="图片 24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67" name="图片 24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68" name="图片 24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69" name="图片 24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0" name="图片 24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1" name="图片 24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2" name="图片 24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3" name="图片 24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4" name="图片 24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5" name="图片 24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6" name="图片 24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7" name="图片 24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8" name="图片 24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79" name="图片 24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480" name="图片 24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1" name="图片 24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2" name="图片 24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3" name="图片 24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4" name="图片 24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5" name="图片 24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6" name="图片 24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7" name="图片 24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8" name="图片 24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89" name="图片 24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90" name="图片 24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91" name="图片 24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92" name="图片 24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493" name="图片 24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494" name="图片 24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95" name="图片 24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96" name="图片 24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97" name="图片 24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98" name="图片 24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499" name="图片 24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00" name="图片 24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01" name="图片 25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02" name="图片 25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03" name="图片 25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04" name="图片 25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05" name="图片 25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06" name="图片 25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07" name="图片 25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508" name="图片 25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09" name="图片 25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0" name="图片 25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1" name="图片 25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2" name="图片 25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3" name="图片 25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4" name="图片 25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5" name="图片 25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6" name="图片 25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7" name="图片 25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8" name="图片 25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19" name="图片 25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20" name="图片 25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21" name="图片 25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522" name="图片 25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23" name="图片 25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24" name="图片 25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25" name="图片 25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26" name="图片 25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27" name="图片 25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28" name="图片 25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29" name="图片 25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30" name="图片 25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31" name="图片 25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32" name="图片 25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33" name="图片 25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34" name="图片 25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35" name="图片 25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536" name="图片 25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37" name="图片 25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38" name="图片 25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39" name="图片 25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0" name="图片 25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1" name="图片 25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2" name="图片 25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3" name="图片 25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4" name="图片 25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5" name="图片 25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6" name="图片 25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7" name="图片 25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8" name="图片 25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49" name="图片 25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550" name="图片 25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1" name="图片 25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2" name="图片 25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3" name="图片 25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4" name="图片 25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5" name="图片 25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6" name="图片 25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7" name="图片 25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8" name="图片 25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59" name="图片 25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60" name="图片 25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61" name="图片 25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62" name="图片 25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63" name="图片 25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564" name="图片 25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65" name="图片 25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66" name="图片 25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67" name="图片 25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68" name="图片 25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69" name="图片 25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70" name="图片 25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71" name="图片 25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72" name="图片 25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73" name="图片 25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74" name="图片 25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75" name="图片 25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76" name="图片 25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77" name="图片 25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578" name="图片 25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79" name="图片 25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0" name="图片 25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1" name="图片 25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2" name="图片 25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3" name="图片 25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4" name="图片 25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5" name="图片 25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6" name="图片 25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7" name="图片 25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8" name="图片 25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89" name="图片 25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90" name="图片 25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591" name="图片 25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592" name="图片 25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93" name="图片 25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94" name="图片 25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95" name="图片 25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96" name="图片 25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97" name="图片 25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98" name="图片 25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599" name="图片 25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00" name="图片 25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01" name="图片 26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02" name="图片 26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03" name="图片 26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04" name="图片 26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05" name="图片 26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606" name="图片 26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07" name="图片 26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08" name="图片 26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09" name="图片 26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0" name="图片 26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1" name="图片 26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2" name="图片 26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3" name="图片 26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4" name="图片 26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5" name="图片 26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6" name="图片 26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7" name="图片 26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8" name="图片 26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19" name="图片 26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620" name="图片 26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1" name="图片 26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2" name="图片 26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3" name="图片 26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4" name="图片 26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5" name="图片 26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6" name="图片 26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7" name="图片 26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8" name="图片 26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29" name="图片 26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30" name="图片 26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31" name="图片 26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32" name="图片 26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33" name="图片 26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634" name="图片 26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35" name="图片 26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36" name="图片 26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37" name="图片 26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38" name="图片 26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39" name="图片 26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0" name="图片 26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1" name="图片 26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2" name="图片 26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3" name="图片 26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4" name="图片 26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5" name="图片 26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6" name="图片 26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47" name="图片 26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648" name="图片 26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49" name="图片 26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0" name="图片 26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1" name="图片 26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2" name="图片 26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3" name="图片 26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4" name="图片 26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5" name="图片 26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6" name="图片 26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7" name="图片 26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8" name="图片 26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59" name="图片 26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60" name="图片 26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61" name="图片 26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662" name="图片 26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63" name="图片 26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64" name="图片 26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65" name="图片 26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66" name="图片 26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67" name="图片 26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68" name="图片 26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69" name="图片 26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70" name="图片 26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71" name="图片 26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72" name="图片 26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73" name="图片 26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74" name="图片 26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75" name="图片 26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676" name="图片 26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77" name="图片 26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78" name="图片 26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79" name="图片 26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0" name="图片 26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1" name="图片 26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2" name="图片 26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3" name="图片 26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4" name="图片 26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5" name="图片 26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6" name="图片 26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7" name="图片 26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8" name="图片 26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689" name="图片 26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690" name="图片 26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1" name="图片 26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2" name="图片 26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3" name="图片 26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4" name="图片 26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5" name="图片 26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6" name="图片 26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7" name="图片 26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8" name="图片 26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699" name="图片 26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00" name="图片 26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01" name="图片 27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02" name="图片 27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03" name="图片 27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704" name="图片 27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05" name="图片 27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06" name="图片 27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07" name="图片 27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08" name="图片 27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09" name="图片 27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0" name="图片 27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1" name="图片 27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2" name="图片 27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3" name="图片 27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4" name="图片 27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5" name="图片 27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6" name="图片 27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17" name="图片 27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718" name="图片 27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19" name="图片 27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0" name="图片 27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1" name="图片 27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2" name="图片 27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3" name="图片 27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4" name="图片 27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5" name="图片 27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6" name="图片 27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7" name="图片 27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8" name="图片 27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29" name="图片 27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30" name="图片 27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31" name="图片 27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732" name="图片 27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33" name="图片 27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34" name="图片 27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35" name="图片 27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36" name="图片 27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37" name="图片 27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38" name="图片 27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39" name="图片 27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40" name="图片 27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41" name="图片 27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42" name="图片 27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43" name="图片 27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44" name="图片 27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45" name="图片 27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746" name="图片 27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47" name="图片 27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48" name="图片 27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49" name="图片 27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0" name="图片 27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1" name="图片 27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2" name="图片 27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3" name="图片 27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4" name="图片 27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5" name="图片 27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6" name="图片 27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7" name="图片 27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8" name="图片 27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59" name="图片 27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760" name="图片 27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1" name="图片 27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2" name="图片 27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3" name="图片 27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4" name="图片 27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5" name="图片 27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6" name="图片 27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7" name="图片 27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8" name="图片 27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69" name="图片 27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70" name="图片 27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71" name="图片 27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72" name="图片 27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73" name="图片 27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774" name="图片 27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75" name="图片 27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76" name="图片 27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77" name="图片 27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78" name="图片 27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79" name="图片 27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80" name="图片 27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81" name="图片 27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82" name="图片 27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83" name="图片 27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84" name="图片 27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85" name="图片 27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86" name="图片 27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787" name="图片 27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788" name="图片 27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89" name="图片 27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0" name="图片 27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1" name="图片 27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2" name="图片 27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3" name="图片 27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4" name="图片 27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5" name="图片 27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6" name="图片 27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7" name="图片 27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8" name="图片 27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799" name="图片 27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00" name="图片 27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01" name="图片 28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802" name="图片 28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03" name="图片 28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04" name="图片 28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05" name="图片 28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06" name="图片 28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07" name="图片 28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08" name="图片 28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09" name="图片 28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10" name="图片 28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11" name="图片 28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12" name="图片 28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13" name="图片 28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14" name="图片 28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15" name="图片 28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816" name="图片 28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17" name="图片 28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18" name="图片 28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19" name="图片 28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0" name="图片 28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1" name="图片 28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2" name="图片 28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3" name="图片 28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4" name="图片 28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5" name="图片 28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6" name="图片 28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7" name="图片 28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8" name="图片 28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29" name="图片 28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830" name="图片 28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1" name="图片 28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2" name="图片 28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3" name="图片 28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4" name="图片 28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5" name="图片 28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6" name="图片 28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7" name="图片 28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8" name="图片 28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39" name="图片 28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40" name="图片 28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41" name="图片 28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42" name="图片 28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43" name="图片 28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844" name="图片 28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45" name="图片 28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46" name="图片 28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47" name="图片 28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48" name="图片 28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49" name="图片 28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50" name="图片 28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51" name="图片 28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52" name="图片 28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53" name="图片 28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54" name="图片 28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55" name="图片 28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56" name="图片 28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57" name="图片 28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858" name="图片 28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59" name="图片 28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0" name="图片 28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1" name="图片 28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2" name="图片 28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3" name="图片 28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4" name="图片 28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5" name="图片 28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6" name="图片 28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7" name="图片 28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8" name="图片 28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69" name="图片 28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70" name="图片 28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71" name="图片 28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872" name="图片 28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73" name="图片 28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74" name="图片 28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75" name="图片 28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76" name="图片 28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77" name="图片 28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78" name="图片 28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79" name="图片 28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80" name="图片 28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81" name="图片 28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82" name="图片 28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83" name="图片 28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84" name="图片 28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885" name="图片 28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886" name="图片 28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87" name="图片 28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88" name="图片 28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89" name="图片 28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0" name="图片 28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1" name="图片 28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2" name="图片 28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3" name="图片 28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4" name="图片 28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5" name="图片 28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6" name="图片 28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7" name="图片 28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8" name="图片 28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899" name="图片 28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900" name="图片 28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1" name="图片 29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2" name="图片 29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3" name="图片 29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4" name="图片 29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5" name="图片 29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6" name="图片 29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7" name="图片 29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8" name="图片 29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09" name="图片 29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10" name="图片 29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11" name="图片 29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12" name="图片 29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13" name="图片 29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914" name="图片 29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15" name="图片 29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16" name="图片 29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17" name="图片 29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18" name="图片 29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19" name="图片 29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0" name="图片 29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1" name="图片 29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2" name="图片 29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3" name="图片 29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4" name="图片 29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5" name="图片 29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6" name="图片 29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27" name="图片 29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928" name="图片 29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29" name="图片 29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0" name="图片 29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1" name="图片 29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2" name="图片 29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3" name="图片 29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4" name="图片 29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5" name="图片 29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6" name="图片 29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7" name="图片 29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8" name="图片 29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39" name="图片 29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40" name="图片 29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41" name="图片 29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942" name="图片 29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43" name="图片 29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44" name="图片 29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45" name="图片 29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46" name="图片 29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47" name="图片 29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48" name="图片 29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49" name="图片 29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50" name="图片 29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51" name="图片 29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52" name="图片 29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53" name="图片 29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54" name="图片 29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55" name="图片 29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956" name="图片 29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57" name="图片 29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58" name="图片 29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59" name="图片 29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0" name="图片 29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1" name="图片 29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2" name="图片 29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3" name="图片 29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4" name="图片 29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5" name="图片 29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6" name="图片 29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7" name="图片 29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8" name="图片 29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69" name="图片 29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970" name="图片 29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1" name="图片 29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2" name="图片 29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3" name="图片 29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4" name="图片 29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5" name="图片 29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6" name="图片 29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7" name="图片 29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8" name="图片 29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79" name="图片 29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80" name="图片 29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81" name="图片 29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82" name="图片 29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83" name="图片 29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2984" name="图片 29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85" name="图片 29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86" name="图片 29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87" name="图片 29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88" name="图片 29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89" name="图片 29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0" name="图片 29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1" name="图片 29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2" name="图片 29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3" name="图片 29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4" name="图片 29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5" name="图片 29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6" name="图片 29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2997" name="图片 29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2998" name="图片 29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2999" name="图片 29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0" name="图片 29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1" name="图片 30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2" name="图片 30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3" name="图片 30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4" name="图片 30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5" name="图片 30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6" name="图片 30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7" name="图片 30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8" name="图片 30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09" name="图片 30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10" name="图片 30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11" name="图片 30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012" name="图片 30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13" name="图片 30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14" name="图片 30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15" name="图片 30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16" name="图片 30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17" name="图片 30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18" name="图片 30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19" name="图片 30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20" name="图片 30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21" name="图片 30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22" name="图片 30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23" name="图片 30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24" name="图片 30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25" name="图片 30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026" name="图片 30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27" name="图片 30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28" name="图片 30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29" name="图片 30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0" name="图片 30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1" name="图片 30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2" name="图片 30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3" name="图片 30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4" name="图片 30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5" name="图片 30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6" name="图片 30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7" name="图片 30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8" name="图片 30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39" name="图片 30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040" name="图片 30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1" name="图片 30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2" name="图片 30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3" name="图片 30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4" name="图片 30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5" name="图片 30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6" name="图片 30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7" name="图片 30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8" name="图片 30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49" name="图片 30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50" name="图片 30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51" name="图片 30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52" name="图片 30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53" name="图片 30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054" name="图片 30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55" name="图片 30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56" name="图片 30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57" name="图片 30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58" name="图片 30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59" name="图片 30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60" name="图片 30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61" name="图片 30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62" name="图片 30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63" name="图片 30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64" name="图片 30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65" name="图片 30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66" name="图片 30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67" name="图片 30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068" name="图片 30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69" name="图片 30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0" name="图片 30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1" name="图片 30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2" name="图片 30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3" name="图片 30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4" name="图片 30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5" name="图片 30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6" name="图片 30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7" name="图片 30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8" name="图片 30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79" name="图片 30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80" name="图片 30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81" name="图片 30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082" name="图片 30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83" name="图片 30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84" name="图片 30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85" name="图片 30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86" name="图片 30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87" name="图片 30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88" name="图片 30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89" name="图片 30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90" name="图片 30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91" name="图片 30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92" name="图片 30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93" name="图片 30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94" name="图片 30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095" name="图片 30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096" name="图片 30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97" name="图片 30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98" name="图片 30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099" name="图片 30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0" name="图片 30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1" name="图片 31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2" name="图片 31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3" name="图片 31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4" name="图片 31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5" name="图片 31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6" name="图片 31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7" name="图片 31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8" name="图片 31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09" name="图片 31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110" name="图片 31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1" name="图片 31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2" name="图片 31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3" name="图片 31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4" name="图片 31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5" name="图片 31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6" name="图片 31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7" name="图片 31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8" name="图片 31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19" name="图片 31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20" name="图片 31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21" name="图片 31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22" name="图片 31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23" name="图片 31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124" name="图片 31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25" name="图片 31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26" name="图片 31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27" name="图片 31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28" name="图片 31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29" name="图片 31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30" name="图片 31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31" name="图片 31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32" name="图片 31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33" name="图片 31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34" name="图片 31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35" name="图片 31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36" name="图片 31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37" name="图片 31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138" name="图片 31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39" name="图片 31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0" name="图片 31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1" name="图片 31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2" name="图片 31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3" name="图片 31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4" name="图片 31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5" name="图片 31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6" name="图片 31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7" name="图片 31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8" name="图片 31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49" name="图片 31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50" name="图片 31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51" name="图片 31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152" name="图片 31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53" name="图片 31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54" name="图片 31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55" name="图片 31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56" name="图片 31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57" name="图片 31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58" name="图片 31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59" name="图片 31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60" name="图片 31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61" name="图片 31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62" name="图片 31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63" name="图片 31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64" name="图片 31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65" name="图片 31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166" name="图片 31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67" name="图片 31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68" name="图片 31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69" name="图片 31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0" name="图片 31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1" name="图片 31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2" name="图片 31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3" name="图片 31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4" name="图片 31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5" name="图片 31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6" name="图片 31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7" name="图片 31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8" name="图片 31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79" name="图片 31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180" name="图片 31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1" name="图片 31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2" name="图片 31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3" name="图片 31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4" name="图片 31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5" name="图片 31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6" name="图片 31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7" name="图片 31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8" name="图片 31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89" name="图片 31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90" name="图片 31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91" name="图片 31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92" name="图片 31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193" name="图片 31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194" name="图片 31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95" name="图片 31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96" name="图片 31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97" name="图片 31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98" name="图片 31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199" name="图片 31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0" name="图片 31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1" name="图片 32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2" name="图片 32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3" name="图片 32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4" name="图片 32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5" name="图片 32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6" name="图片 32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07" name="图片 32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208" name="图片 32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09" name="图片 32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0" name="图片 32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1" name="图片 32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2" name="图片 32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3" name="图片 32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4" name="图片 32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5" name="图片 32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6" name="图片 32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7" name="图片 32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8" name="图片 32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19" name="图片 32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20" name="图片 32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21" name="图片 32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222" name="图片 32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23" name="图片 32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24" name="图片 32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25" name="图片 32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26" name="图片 32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27" name="图片 32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28" name="图片 32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29" name="图片 32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30" name="图片 32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31" name="图片 32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32" name="图片 32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33" name="图片 32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34" name="图片 32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35" name="图片 32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236" name="图片 32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37" name="图片 32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38" name="图片 32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39" name="图片 32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0" name="图片 32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1" name="图片 32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2" name="图片 32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3" name="图片 32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4" name="图片 32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5" name="图片 32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6" name="图片 32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7" name="图片 32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8" name="图片 32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49" name="图片 32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250" name="图片 32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1" name="图片 32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2" name="图片 32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3" name="图片 32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4" name="图片 32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5" name="图片 32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6" name="图片 32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7" name="图片 32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8" name="图片 32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59" name="图片 32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60" name="图片 32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61" name="图片 32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62" name="图片 32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63" name="图片 32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264" name="图片 32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65" name="图片 32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66" name="图片 32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67" name="图片 32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68" name="图片 32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69" name="图片 32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0" name="图片 32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1" name="图片 32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2" name="图片 32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3" name="图片 32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4" name="图片 32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5" name="图片 32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6" name="图片 32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77" name="图片 32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278" name="图片 32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79" name="图片 32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0" name="图片 32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1" name="图片 32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2" name="图片 32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3" name="图片 32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4" name="图片 32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5" name="图片 32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6" name="图片 32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7" name="图片 32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8" name="图片 32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89" name="图片 32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90" name="图片 32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291" name="图片 32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292" name="图片 32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93" name="图片 32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94" name="图片 32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95" name="图片 32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96" name="图片 32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97" name="图片 32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98" name="图片 32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299" name="图片 32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00" name="图片 32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01" name="图片 33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02" name="图片 33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03" name="图片 33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04" name="图片 33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05" name="图片 33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306" name="图片 33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07" name="图片 33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08" name="图片 33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09" name="图片 33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0" name="图片 33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1" name="图片 33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2" name="图片 33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3" name="图片 33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4" name="图片 33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5" name="图片 33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6" name="图片 33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7" name="图片 33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8" name="图片 33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19" name="图片 33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320" name="图片 33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1" name="图片 33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2" name="图片 33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3" name="图片 33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4" name="图片 33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5" name="图片 33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6" name="图片 33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7" name="图片 33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8" name="图片 33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29" name="图片 33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30" name="图片 33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31" name="图片 33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32" name="图片 33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33" name="图片 33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334" name="图片 33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35" name="图片 33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36" name="图片 33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37" name="图片 33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38" name="图片 33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39" name="图片 33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40" name="图片 33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41" name="图片 33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42" name="图片 33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43" name="图片 33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44" name="图片 33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45" name="图片 33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46" name="图片 33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47" name="图片 33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348" name="图片 33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49" name="图片 33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0" name="图片 33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1" name="图片 33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2" name="图片 33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3" name="图片 33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4" name="图片 33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5" name="图片 33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6" name="图片 33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7" name="图片 33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8" name="图片 33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59" name="图片 33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60" name="图片 33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61" name="图片 33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362" name="图片 33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63" name="图片 33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64" name="图片 33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65" name="图片 33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66" name="图片 33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67" name="图片 33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68" name="图片 33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69" name="图片 33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70" name="图片 33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71" name="图片 33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72" name="图片 33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73" name="图片 33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74" name="图片 33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75" name="图片 33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376" name="图片 33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77" name="图片 33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78" name="图片 33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79" name="图片 33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0" name="图片 33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1" name="图片 33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2" name="图片 33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3" name="图片 33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4" name="图片 33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5" name="图片 33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6" name="图片 33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7" name="图片 33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8" name="图片 33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389" name="图片 33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390" name="图片 33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1" name="图片 33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2" name="图片 33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3" name="图片 33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4" name="图片 33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5" name="图片 33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6" name="图片 33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7" name="图片 33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8" name="图片 33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399" name="图片 33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00" name="图片 33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01" name="图片 34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02" name="图片 34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03" name="图片 34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404" name="图片 34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05" name="图片 34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06" name="图片 34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07" name="图片 34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08" name="图片 34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09" name="图片 34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10" name="图片 34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11" name="图片 34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12" name="图片 34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13" name="图片 34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14" name="图片 34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15" name="图片 34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16" name="图片 34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17" name="图片 34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418" name="图片 34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19" name="图片 34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0" name="图片 34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1" name="图片 34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2" name="图片 34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3" name="图片 34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4" name="图片 34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5" name="图片 34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6" name="图片 34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7" name="图片 34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8" name="图片 34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29" name="图片 34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30" name="图片 34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31" name="图片 34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432" name="图片 34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33" name="图片 34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34" name="图片 34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35" name="图片 34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36" name="图片 34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37" name="图片 34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38" name="图片 34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39" name="图片 34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40" name="图片 34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41" name="图片 34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42" name="图片 34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43" name="图片 34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44" name="图片 34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45" name="图片 34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446" name="图片 34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47" name="图片 34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48" name="图片 34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49" name="图片 34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0" name="图片 34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1" name="图片 34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2" name="图片 34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3" name="图片 34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4" name="图片 34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5" name="图片 34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6" name="图片 34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7" name="图片 34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8" name="图片 34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59" name="图片 34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460" name="图片 34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1" name="图片 34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2" name="图片 34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3" name="图片 34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4" name="图片 34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5" name="图片 34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6" name="图片 34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7" name="图片 34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8" name="图片 34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69" name="图片 34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70" name="图片 34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71" name="图片 34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72" name="图片 34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73" name="图片 34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474" name="图片 34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75" name="图片 34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76" name="图片 34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77" name="图片 34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78" name="图片 34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79" name="图片 34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0" name="图片 34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1" name="图片 34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2" name="图片 34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3" name="图片 34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4" name="图片 34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5" name="图片 34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6" name="图片 34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487" name="图片 34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488" name="图片 34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89" name="图片 34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0" name="图片 34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1" name="图片 34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2" name="图片 34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3" name="图片 34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4" name="图片 34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5" name="图片 34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6" name="图片 34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7" name="图片 34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8" name="图片 34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499" name="图片 34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00" name="图片 34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01" name="图片 35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502" name="图片 35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03" name="图片 35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04" name="图片 35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05" name="图片 35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06" name="图片 35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07" name="图片 35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08" name="图片 35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09" name="图片 35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10" name="图片 35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11" name="图片 35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12" name="图片 35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13" name="图片 35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14" name="图片 35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15" name="图片 35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516" name="图片 35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17" name="图片 35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18" name="图片 35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19" name="图片 35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0" name="图片 35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1" name="图片 35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2" name="图片 35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3" name="图片 35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4" name="图片 35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5" name="图片 35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6" name="图片 35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7" name="图片 35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8" name="图片 35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29" name="图片 35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530" name="图片 35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1" name="图片 35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2" name="图片 35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3" name="图片 35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4" name="图片 35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5" name="图片 35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6" name="图片 35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7" name="图片 35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8" name="图片 35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39" name="图片 35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40" name="图片 35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41" name="图片 35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42" name="图片 35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43" name="图片 35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544" name="图片 35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45" name="图片 35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46" name="图片 35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47" name="图片 35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48" name="图片 35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49" name="图片 35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0" name="图片 35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1" name="图片 35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2" name="图片 35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3" name="图片 35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4" name="图片 35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5" name="图片 35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6" name="图片 35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57" name="图片 35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558" name="图片 35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59" name="图片 35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0" name="图片 35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1" name="图片 35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2" name="图片 35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3" name="图片 35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4" name="图片 35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5" name="图片 35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6" name="图片 35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7" name="图片 35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8" name="图片 35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69" name="图片 35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70" name="图片 35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71" name="图片 35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572" name="图片 35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73" name="图片 35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74" name="图片 35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75" name="图片 35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76" name="图片 35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77" name="图片 35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78" name="图片 35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79" name="图片 35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80" name="图片 35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81" name="图片 35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82" name="图片 35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83" name="图片 35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84" name="图片 35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585" name="图片 35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586" name="图片 35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87" name="图片 35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88" name="图片 35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89" name="图片 35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0" name="图片 35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1" name="图片 35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2" name="图片 35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3" name="图片 35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4" name="图片 35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5" name="图片 35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6" name="图片 35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7" name="图片 35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8" name="图片 35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599" name="图片 35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600" name="图片 35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1" name="图片 36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2" name="图片 36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3" name="图片 36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4" name="图片 36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5" name="图片 36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6" name="图片 36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7" name="图片 36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8" name="图片 36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09" name="图片 36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10" name="图片 36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11" name="图片 36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12" name="图片 36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13" name="图片 36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614" name="图片 36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15" name="图片 36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16" name="图片 36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17" name="图片 36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18" name="图片 36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19" name="图片 36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20" name="图片 36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21" name="图片 36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22" name="图片 36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23" name="图片 36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24" name="图片 36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25" name="图片 36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26" name="图片 36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27" name="图片 36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628" name="图片 36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29" name="图片 36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0" name="图片 36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1" name="图片 36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2" name="图片 36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3" name="图片 36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4" name="图片 36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5" name="图片 36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6" name="图片 36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7" name="图片 36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8" name="图片 36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39" name="图片 36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40" name="图片 36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41" name="图片 36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642" name="图片 36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43" name="图片 36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44" name="图片 36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45" name="图片 36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46" name="图片 36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47" name="图片 36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48" name="图片 36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49" name="图片 36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50" name="图片 36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51" name="图片 36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52" name="图片 36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53" name="图片 36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54" name="图片 36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55" name="图片 36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656" name="图片 36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57" name="图片 36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58" name="图片 36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59" name="图片 36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0" name="图片 36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1" name="图片 36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2" name="图片 36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3" name="图片 36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4" name="图片 36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5" name="图片 36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6" name="图片 36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7" name="图片 36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8" name="图片 36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69" name="图片 36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670" name="图片 36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1" name="图片 36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2" name="图片 36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3" name="图片 36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4" name="图片 36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5" name="图片 36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6" name="图片 36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7" name="图片 36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8" name="图片 36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79" name="图片 36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80" name="图片 36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81" name="图片 36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82" name="图片 36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83" name="图片 36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684" name="图片 36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85" name="图片 36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86" name="图片 36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87" name="图片 36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88" name="图片 36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89" name="图片 36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90" name="图片 36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91" name="图片 36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92" name="图片 36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93" name="图片 36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94" name="图片 36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95" name="图片 36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96" name="图片 36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697" name="图片 36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698" name="图片 36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699" name="图片 36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0" name="图片 36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1" name="图片 37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2" name="图片 37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3" name="图片 37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4" name="图片 37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5" name="图片 37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6" name="图片 37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7" name="图片 37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8" name="图片 37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09" name="图片 37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10" name="图片 37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11" name="图片 37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712" name="图片 37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13" name="图片 37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14" name="图片 37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15" name="图片 37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16" name="图片 37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17" name="图片 37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18" name="图片 37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19" name="图片 37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20" name="图片 37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21" name="图片 37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22" name="图片 37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23" name="图片 37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24" name="图片 37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25" name="图片 37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726" name="图片 37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27" name="图片 37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28" name="图片 37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29" name="图片 37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0" name="图片 37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1" name="图片 37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2" name="图片 37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3" name="图片 37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4" name="图片 37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5" name="图片 37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6" name="图片 37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7" name="图片 37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8" name="图片 37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39" name="图片 37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740" name="图片 37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1" name="图片 37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2" name="图片 37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3" name="图片 37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4" name="图片 37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5" name="图片 37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6" name="图片 37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7" name="图片 37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8" name="图片 37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49" name="图片 37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50" name="图片 37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51" name="图片 37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52" name="图片 37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53" name="图片 37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754" name="图片 37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55" name="图片 37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56" name="图片 37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57" name="图片 37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58" name="图片 37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59" name="图片 37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0" name="图片 37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1" name="图片 37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2" name="图片 37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3" name="图片 37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4" name="图片 37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5" name="图片 37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6" name="图片 37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67" name="图片 37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768" name="图片 37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69" name="图片 37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0" name="图片 37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1" name="图片 37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2" name="图片 37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3" name="图片 37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4" name="图片 37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5" name="图片 37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6" name="图片 37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7" name="图片 37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8" name="图片 37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79" name="图片 37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80" name="图片 37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81" name="图片 37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782" name="图片 37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83" name="图片 37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84" name="图片 37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85" name="图片 37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86" name="图片 37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87" name="图片 37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88" name="图片 37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89" name="图片 37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90" name="图片 37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91" name="图片 37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92" name="图片 37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93" name="图片 37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94" name="图片 37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795" name="图片 37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796" name="图片 37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97" name="图片 37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98" name="图片 37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799" name="图片 37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0" name="图片 37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1" name="图片 38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2" name="图片 38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3" name="图片 38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4" name="图片 38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5" name="图片 38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6" name="图片 38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7" name="图片 38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8" name="图片 38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09" name="图片 38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810" name="图片 38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1" name="图片 38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2" name="图片 38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3" name="图片 38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4" name="图片 38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5" name="图片 38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6" name="图片 38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7" name="图片 38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8" name="图片 38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19" name="图片 38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20" name="图片 38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21" name="图片 38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22" name="图片 38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23" name="图片 38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824" name="图片 38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25" name="图片 38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26" name="图片 38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27" name="图片 38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28" name="图片 38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29" name="图片 38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0" name="图片 38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1" name="图片 38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2" name="图片 38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3" name="图片 38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4" name="图片 38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5" name="图片 38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6" name="图片 38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37" name="图片 38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838" name="图片 38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39" name="图片 38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0" name="图片 38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1" name="图片 38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2" name="图片 38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3" name="图片 38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4" name="图片 38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5" name="图片 38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6" name="图片 38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7" name="图片 38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8" name="图片 38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49" name="图片 38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50" name="图片 38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51" name="图片 38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852" name="图片 38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53" name="图片 38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54" name="图片 38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55" name="图片 38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56" name="图片 38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57" name="图片 38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58" name="图片 38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59" name="图片 38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60" name="图片 38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61" name="图片 38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62" name="图片 38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63" name="图片 38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64" name="图片 38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65" name="图片 38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866" name="图片 38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67" name="图片 38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68" name="图片 38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69" name="图片 38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0" name="图片 38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1" name="图片 38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2" name="图片 38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3" name="图片 38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4" name="图片 38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5" name="图片 38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6" name="图片 38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7" name="图片 38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8" name="图片 38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79" name="图片 38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880" name="图片 38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1" name="图片 38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2" name="图片 38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3" name="图片 38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4" name="图片 38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5" name="图片 38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6" name="图片 38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7" name="图片 38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8" name="图片 38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89" name="图片 38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90" name="图片 38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91" name="图片 38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92" name="图片 38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893" name="图片 38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894" name="图片 38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95" name="图片 38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96" name="图片 38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97" name="图片 38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98" name="图片 38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899" name="图片 38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00" name="图片 38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01" name="图片 39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02" name="图片 39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03" name="图片 39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04" name="图片 39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05" name="图片 39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06" name="图片 39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07" name="图片 39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908" name="图片 39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09" name="图片 39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0" name="图片 39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1" name="图片 39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2" name="图片 39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3" name="图片 39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4" name="图片 39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5" name="图片 39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6" name="图片 39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7" name="图片 39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8" name="图片 39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19" name="图片 39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20" name="图片 39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21" name="图片 39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922" name="图片 39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23" name="图片 39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24" name="图片 39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25" name="图片 39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26" name="图片 39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27" name="图片 39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28" name="图片 39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29" name="图片 39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30" name="图片 39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31" name="图片 39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32" name="图片 39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33" name="图片 39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34" name="图片 39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35" name="图片 39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936" name="图片 39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37" name="图片 39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38" name="图片 39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39" name="图片 39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0" name="图片 39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1" name="图片 39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2" name="图片 39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3" name="图片 39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4" name="图片 39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5" name="图片 39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6" name="图片 39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7" name="图片 39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8" name="图片 39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49" name="图片 39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604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950" name="图片 39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1" name="图片 39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2" name="图片 39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3" name="图片 39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4" name="图片 39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5" name="图片 39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6" name="图片 39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7" name="图片 39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8" name="图片 39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59" name="图片 39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60" name="图片 39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61" name="图片 39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62" name="图片 396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63" name="图片 396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964" name="图片 396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65" name="图片 396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66" name="图片 396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67" name="图片 396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68" name="图片 396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69" name="图片 396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70" name="图片 396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71" name="图片 397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72" name="图片 397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73" name="图片 397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74" name="图片 397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75" name="图片 397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76" name="图片 397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77" name="图片 397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3978" name="图片 397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79" name="图片 397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0" name="图片 397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1" name="图片 398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2" name="图片 398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3" name="图片 398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4" name="图片 398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5" name="图片 398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6" name="图片 398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7" name="图片 398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8" name="图片 398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89" name="图片 398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90" name="图片 398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3991" name="图片 399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3992" name="图片 399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93" name="图片 399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94" name="图片 399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95" name="图片 399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96" name="图片 399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97" name="图片 399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98" name="图片 399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3999" name="图片 399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00" name="图片 399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01" name="图片 400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02" name="图片 400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03" name="图片 400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04" name="图片 400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05" name="图片 400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4006" name="图片 400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07" name="图片 400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08" name="图片 400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09" name="图片 400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0" name="图片 400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1" name="图片 401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2" name="图片 401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3" name="图片 401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4" name="图片 401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5" name="图片 401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6" name="图片 401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7" name="图片 401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8" name="图片 401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19" name="图片 401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4020" name="图片 401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1" name="图片 402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2" name="图片 402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3" name="图片 402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4" name="图片 402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5" name="图片 402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6" name="图片 402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7" name="图片 402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8" name="图片 402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29" name="图片 402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30" name="图片 402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31" name="图片 403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32" name="图片 403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33" name="图片 403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9525</xdr:colOff>
      <xdr:row>1</xdr:row>
      <xdr:rowOff>0</xdr:rowOff>
    </xdr:from>
    <xdr:to>
      <xdr:col>1</xdr:col>
      <xdr:colOff>19050</xdr:colOff>
      <xdr:row>1</xdr:row>
      <xdr:rowOff>9525</xdr:rowOff>
    </xdr:to>
    <xdr:pic>
      <xdr:nvPicPr>
        <xdr:cNvPr id="4034" name="图片 403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35" name="图片 403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36" name="图片 403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37" name="图片 403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38" name="图片 403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39" name="图片 403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0" name="图片 403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1" name="图片 404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2" name="图片 404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3" name="图片 404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4" name="图片 404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5" name="图片 404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6" name="图片 404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xdr:row>
      <xdr:rowOff>0</xdr:rowOff>
    </xdr:from>
    <xdr:to>
      <xdr:col>1</xdr:col>
      <xdr:colOff>19050</xdr:colOff>
      <xdr:row>1</xdr:row>
      <xdr:rowOff>9525</xdr:rowOff>
    </xdr:to>
    <xdr:pic>
      <xdr:nvPicPr>
        <xdr:cNvPr id="4047" name="图片 404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2234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9525</xdr:colOff>
      <xdr:row>1</xdr:row>
      <xdr:rowOff>0</xdr:rowOff>
    </xdr:from>
    <xdr:ext cx="9525" cy="9525"/>
    <xdr:pic>
      <xdr:nvPicPr>
        <xdr:cNvPr id="4048" name="图片 404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49" name="图片 404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0" name="图片 404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1" name="图片 405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2" name="图片 4051"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3" name="图片 4052"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4" name="图片 4053"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5" name="图片 4054"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6" name="图片 4055"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7" name="图片 4056"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8" name="图片 4057"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59" name="图片 4058"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60" name="图片 4059"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9525</xdr:colOff>
      <xdr:row>1</xdr:row>
      <xdr:rowOff>0</xdr:rowOff>
    </xdr:from>
    <xdr:ext cx="9525" cy="9525"/>
    <xdr:pic>
      <xdr:nvPicPr>
        <xdr:cNvPr id="4061" name="图片 4060" descr="https://system2.na2.netsuite.com/images/nav/ns_x.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54139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19051</xdr:colOff>
      <xdr:row>0</xdr:row>
      <xdr:rowOff>1</xdr:rowOff>
    </xdr:from>
    <xdr:ext cx="790354" cy="542924"/>
    <xdr:pic>
      <xdr:nvPicPr>
        <xdr:cNvPr id="2"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4851" y="1"/>
          <a:ext cx="790354" cy="54292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19051</xdr:colOff>
      <xdr:row>36</xdr:row>
      <xdr:rowOff>43962</xdr:rowOff>
    </xdr:from>
    <xdr:ext cx="790354" cy="506290"/>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1" y="6616212"/>
          <a:ext cx="790354" cy="5062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19051</xdr:colOff>
      <xdr:row>72</xdr:row>
      <xdr:rowOff>1</xdr:rowOff>
    </xdr:from>
    <xdr:ext cx="790354" cy="542924"/>
    <xdr:pic>
      <xdr:nvPicPr>
        <xdr:cNvPr id="4"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1" y="1"/>
          <a:ext cx="790354" cy="54292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19051</xdr:colOff>
      <xdr:row>110</xdr:row>
      <xdr:rowOff>1</xdr:rowOff>
    </xdr:from>
    <xdr:ext cx="790354" cy="542924"/>
    <xdr:pic>
      <xdr:nvPicPr>
        <xdr:cNvPr id="5"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1" y="13291039"/>
          <a:ext cx="790354" cy="54292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6</xdr:col>
      <xdr:colOff>47625</xdr:colOff>
      <xdr:row>29</xdr:row>
      <xdr:rowOff>57150</xdr:rowOff>
    </xdr:from>
    <xdr:to>
      <xdr:col>6</xdr:col>
      <xdr:colOff>219075</xdr:colOff>
      <xdr:row>29</xdr:row>
      <xdr:rowOff>219075</xdr:rowOff>
    </xdr:to>
    <xdr:sp macro="" textlink="">
      <xdr:nvSpPr>
        <xdr:cNvPr id="2" name="Rectangle 9"/>
        <xdr:cNvSpPr>
          <a:spLocks noChangeArrowheads="1"/>
        </xdr:cNvSpPr>
      </xdr:nvSpPr>
      <xdr:spPr bwMode="auto">
        <a:xfrm>
          <a:off x="2381250" y="56864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29</xdr:row>
      <xdr:rowOff>47625</xdr:rowOff>
    </xdr:from>
    <xdr:to>
      <xdr:col>13</xdr:col>
      <xdr:colOff>228600</xdr:colOff>
      <xdr:row>29</xdr:row>
      <xdr:rowOff>209550</xdr:rowOff>
    </xdr:to>
    <xdr:sp macro="" textlink="">
      <xdr:nvSpPr>
        <xdr:cNvPr id="3" name="Rectangle 10"/>
        <xdr:cNvSpPr>
          <a:spLocks noChangeArrowheads="1"/>
        </xdr:cNvSpPr>
      </xdr:nvSpPr>
      <xdr:spPr bwMode="auto">
        <a:xfrm>
          <a:off x="4324350" y="56769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30</xdr:row>
      <xdr:rowOff>57150</xdr:rowOff>
    </xdr:from>
    <xdr:to>
      <xdr:col>6</xdr:col>
      <xdr:colOff>219075</xdr:colOff>
      <xdr:row>30</xdr:row>
      <xdr:rowOff>219075</xdr:rowOff>
    </xdr:to>
    <xdr:sp macro="" textlink="">
      <xdr:nvSpPr>
        <xdr:cNvPr id="4" name="Rectangle 12"/>
        <xdr:cNvSpPr>
          <a:spLocks noChangeArrowheads="1"/>
        </xdr:cNvSpPr>
      </xdr:nvSpPr>
      <xdr:spPr bwMode="auto">
        <a:xfrm>
          <a:off x="2381250" y="59340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30</xdr:row>
      <xdr:rowOff>47625</xdr:rowOff>
    </xdr:from>
    <xdr:to>
      <xdr:col>13</xdr:col>
      <xdr:colOff>228600</xdr:colOff>
      <xdr:row>30</xdr:row>
      <xdr:rowOff>209550</xdr:rowOff>
    </xdr:to>
    <xdr:sp macro="" textlink="">
      <xdr:nvSpPr>
        <xdr:cNvPr id="5" name="Rectangle 13"/>
        <xdr:cNvSpPr>
          <a:spLocks noChangeArrowheads="1"/>
        </xdr:cNvSpPr>
      </xdr:nvSpPr>
      <xdr:spPr bwMode="auto">
        <a:xfrm>
          <a:off x="4324350" y="59245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31</xdr:row>
      <xdr:rowOff>57150</xdr:rowOff>
    </xdr:from>
    <xdr:to>
      <xdr:col>6</xdr:col>
      <xdr:colOff>219075</xdr:colOff>
      <xdr:row>31</xdr:row>
      <xdr:rowOff>219075</xdr:rowOff>
    </xdr:to>
    <xdr:sp macro="" textlink="">
      <xdr:nvSpPr>
        <xdr:cNvPr id="6" name="Rectangle 14"/>
        <xdr:cNvSpPr>
          <a:spLocks noChangeArrowheads="1"/>
        </xdr:cNvSpPr>
      </xdr:nvSpPr>
      <xdr:spPr bwMode="auto">
        <a:xfrm>
          <a:off x="2381250" y="61817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31</xdr:row>
      <xdr:rowOff>47625</xdr:rowOff>
    </xdr:from>
    <xdr:to>
      <xdr:col>13</xdr:col>
      <xdr:colOff>228600</xdr:colOff>
      <xdr:row>31</xdr:row>
      <xdr:rowOff>209550</xdr:rowOff>
    </xdr:to>
    <xdr:sp macro="" textlink="">
      <xdr:nvSpPr>
        <xdr:cNvPr id="7" name="Rectangle 15"/>
        <xdr:cNvSpPr>
          <a:spLocks noChangeArrowheads="1"/>
        </xdr:cNvSpPr>
      </xdr:nvSpPr>
      <xdr:spPr bwMode="auto">
        <a:xfrm>
          <a:off x="4324350" y="61722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32</xdr:row>
      <xdr:rowOff>57150</xdr:rowOff>
    </xdr:from>
    <xdr:to>
      <xdr:col>6</xdr:col>
      <xdr:colOff>219075</xdr:colOff>
      <xdr:row>32</xdr:row>
      <xdr:rowOff>219075</xdr:rowOff>
    </xdr:to>
    <xdr:sp macro="" textlink="">
      <xdr:nvSpPr>
        <xdr:cNvPr id="8" name="Rectangle 16"/>
        <xdr:cNvSpPr>
          <a:spLocks noChangeArrowheads="1"/>
        </xdr:cNvSpPr>
      </xdr:nvSpPr>
      <xdr:spPr bwMode="auto">
        <a:xfrm>
          <a:off x="2381250" y="64293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32</xdr:row>
      <xdr:rowOff>47625</xdr:rowOff>
    </xdr:from>
    <xdr:to>
      <xdr:col>13</xdr:col>
      <xdr:colOff>228600</xdr:colOff>
      <xdr:row>32</xdr:row>
      <xdr:rowOff>209550</xdr:rowOff>
    </xdr:to>
    <xdr:sp macro="" textlink="">
      <xdr:nvSpPr>
        <xdr:cNvPr id="9" name="Rectangle 17"/>
        <xdr:cNvSpPr>
          <a:spLocks noChangeArrowheads="1"/>
        </xdr:cNvSpPr>
      </xdr:nvSpPr>
      <xdr:spPr bwMode="auto">
        <a:xfrm>
          <a:off x="4324350" y="64198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33</xdr:row>
      <xdr:rowOff>57150</xdr:rowOff>
    </xdr:from>
    <xdr:to>
      <xdr:col>6</xdr:col>
      <xdr:colOff>219075</xdr:colOff>
      <xdr:row>33</xdr:row>
      <xdr:rowOff>219075</xdr:rowOff>
    </xdr:to>
    <xdr:sp macro="" textlink="">
      <xdr:nvSpPr>
        <xdr:cNvPr id="10" name="Rectangle 18"/>
        <xdr:cNvSpPr>
          <a:spLocks noChangeArrowheads="1"/>
        </xdr:cNvSpPr>
      </xdr:nvSpPr>
      <xdr:spPr bwMode="auto">
        <a:xfrm>
          <a:off x="2381250" y="66770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33</xdr:row>
      <xdr:rowOff>47625</xdr:rowOff>
    </xdr:from>
    <xdr:to>
      <xdr:col>13</xdr:col>
      <xdr:colOff>228600</xdr:colOff>
      <xdr:row>33</xdr:row>
      <xdr:rowOff>209550</xdr:rowOff>
    </xdr:to>
    <xdr:sp macro="" textlink="">
      <xdr:nvSpPr>
        <xdr:cNvPr id="11" name="Rectangle 19"/>
        <xdr:cNvSpPr>
          <a:spLocks noChangeArrowheads="1"/>
        </xdr:cNvSpPr>
      </xdr:nvSpPr>
      <xdr:spPr bwMode="auto">
        <a:xfrm>
          <a:off x="4324350" y="66675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34</xdr:row>
      <xdr:rowOff>57150</xdr:rowOff>
    </xdr:from>
    <xdr:to>
      <xdr:col>6</xdr:col>
      <xdr:colOff>219075</xdr:colOff>
      <xdr:row>34</xdr:row>
      <xdr:rowOff>219075</xdr:rowOff>
    </xdr:to>
    <xdr:sp macro="" textlink="">
      <xdr:nvSpPr>
        <xdr:cNvPr id="12" name="Rectangle 20"/>
        <xdr:cNvSpPr>
          <a:spLocks noChangeArrowheads="1"/>
        </xdr:cNvSpPr>
      </xdr:nvSpPr>
      <xdr:spPr bwMode="auto">
        <a:xfrm>
          <a:off x="2381250" y="69246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34</xdr:row>
      <xdr:rowOff>47625</xdr:rowOff>
    </xdr:from>
    <xdr:to>
      <xdr:col>13</xdr:col>
      <xdr:colOff>228600</xdr:colOff>
      <xdr:row>34</xdr:row>
      <xdr:rowOff>209550</xdr:rowOff>
    </xdr:to>
    <xdr:sp macro="" textlink="">
      <xdr:nvSpPr>
        <xdr:cNvPr id="13" name="Rectangle 21"/>
        <xdr:cNvSpPr>
          <a:spLocks noChangeArrowheads="1"/>
        </xdr:cNvSpPr>
      </xdr:nvSpPr>
      <xdr:spPr bwMode="auto">
        <a:xfrm>
          <a:off x="4324350" y="69151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80</xdr:row>
      <xdr:rowOff>57150</xdr:rowOff>
    </xdr:from>
    <xdr:to>
      <xdr:col>6</xdr:col>
      <xdr:colOff>219075</xdr:colOff>
      <xdr:row>80</xdr:row>
      <xdr:rowOff>219075</xdr:rowOff>
    </xdr:to>
    <xdr:sp macro="" textlink="">
      <xdr:nvSpPr>
        <xdr:cNvPr id="14" name="Rectangle 9"/>
        <xdr:cNvSpPr>
          <a:spLocks noChangeArrowheads="1"/>
        </xdr:cNvSpPr>
      </xdr:nvSpPr>
      <xdr:spPr bwMode="auto">
        <a:xfrm>
          <a:off x="2381250" y="151257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80</xdr:row>
      <xdr:rowOff>47625</xdr:rowOff>
    </xdr:from>
    <xdr:to>
      <xdr:col>13</xdr:col>
      <xdr:colOff>228600</xdr:colOff>
      <xdr:row>80</xdr:row>
      <xdr:rowOff>209550</xdr:rowOff>
    </xdr:to>
    <xdr:sp macro="" textlink="">
      <xdr:nvSpPr>
        <xdr:cNvPr id="15" name="Rectangle 10"/>
        <xdr:cNvSpPr>
          <a:spLocks noChangeArrowheads="1"/>
        </xdr:cNvSpPr>
      </xdr:nvSpPr>
      <xdr:spPr bwMode="auto">
        <a:xfrm>
          <a:off x="4324350" y="151161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81</xdr:row>
      <xdr:rowOff>57150</xdr:rowOff>
    </xdr:from>
    <xdr:to>
      <xdr:col>6</xdr:col>
      <xdr:colOff>219075</xdr:colOff>
      <xdr:row>81</xdr:row>
      <xdr:rowOff>219075</xdr:rowOff>
    </xdr:to>
    <xdr:sp macro="" textlink="">
      <xdr:nvSpPr>
        <xdr:cNvPr id="16" name="Rectangle 12"/>
        <xdr:cNvSpPr>
          <a:spLocks noChangeArrowheads="1"/>
        </xdr:cNvSpPr>
      </xdr:nvSpPr>
      <xdr:spPr bwMode="auto">
        <a:xfrm>
          <a:off x="2381250" y="153733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81</xdr:row>
      <xdr:rowOff>47625</xdr:rowOff>
    </xdr:from>
    <xdr:to>
      <xdr:col>13</xdr:col>
      <xdr:colOff>228600</xdr:colOff>
      <xdr:row>81</xdr:row>
      <xdr:rowOff>209550</xdr:rowOff>
    </xdr:to>
    <xdr:sp macro="" textlink="">
      <xdr:nvSpPr>
        <xdr:cNvPr id="17" name="Rectangle 13"/>
        <xdr:cNvSpPr>
          <a:spLocks noChangeArrowheads="1"/>
        </xdr:cNvSpPr>
      </xdr:nvSpPr>
      <xdr:spPr bwMode="auto">
        <a:xfrm>
          <a:off x="4324350" y="153638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82</xdr:row>
      <xdr:rowOff>57150</xdr:rowOff>
    </xdr:from>
    <xdr:to>
      <xdr:col>6</xdr:col>
      <xdr:colOff>219075</xdr:colOff>
      <xdr:row>82</xdr:row>
      <xdr:rowOff>219075</xdr:rowOff>
    </xdr:to>
    <xdr:sp macro="" textlink="">
      <xdr:nvSpPr>
        <xdr:cNvPr id="18" name="Rectangle 14"/>
        <xdr:cNvSpPr>
          <a:spLocks noChangeArrowheads="1"/>
        </xdr:cNvSpPr>
      </xdr:nvSpPr>
      <xdr:spPr bwMode="auto">
        <a:xfrm>
          <a:off x="2381250" y="156210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82</xdr:row>
      <xdr:rowOff>47625</xdr:rowOff>
    </xdr:from>
    <xdr:to>
      <xdr:col>13</xdr:col>
      <xdr:colOff>228600</xdr:colOff>
      <xdr:row>82</xdr:row>
      <xdr:rowOff>209550</xdr:rowOff>
    </xdr:to>
    <xdr:sp macro="" textlink="">
      <xdr:nvSpPr>
        <xdr:cNvPr id="19" name="Rectangle 15"/>
        <xdr:cNvSpPr>
          <a:spLocks noChangeArrowheads="1"/>
        </xdr:cNvSpPr>
      </xdr:nvSpPr>
      <xdr:spPr bwMode="auto">
        <a:xfrm>
          <a:off x="4324350" y="156114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83</xdr:row>
      <xdr:rowOff>57150</xdr:rowOff>
    </xdr:from>
    <xdr:to>
      <xdr:col>6</xdr:col>
      <xdr:colOff>219075</xdr:colOff>
      <xdr:row>83</xdr:row>
      <xdr:rowOff>219075</xdr:rowOff>
    </xdr:to>
    <xdr:sp macro="" textlink="">
      <xdr:nvSpPr>
        <xdr:cNvPr id="20" name="Rectangle 16"/>
        <xdr:cNvSpPr>
          <a:spLocks noChangeArrowheads="1"/>
        </xdr:cNvSpPr>
      </xdr:nvSpPr>
      <xdr:spPr bwMode="auto">
        <a:xfrm>
          <a:off x="2381250" y="158686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83</xdr:row>
      <xdr:rowOff>47625</xdr:rowOff>
    </xdr:from>
    <xdr:to>
      <xdr:col>13</xdr:col>
      <xdr:colOff>228600</xdr:colOff>
      <xdr:row>83</xdr:row>
      <xdr:rowOff>209550</xdr:rowOff>
    </xdr:to>
    <xdr:sp macro="" textlink="">
      <xdr:nvSpPr>
        <xdr:cNvPr id="21" name="Rectangle 17"/>
        <xdr:cNvSpPr>
          <a:spLocks noChangeArrowheads="1"/>
        </xdr:cNvSpPr>
      </xdr:nvSpPr>
      <xdr:spPr bwMode="auto">
        <a:xfrm>
          <a:off x="4324350" y="158591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84</xdr:row>
      <xdr:rowOff>57150</xdr:rowOff>
    </xdr:from>
    <xdr:to>
      <xdr:col>6</xdr:col>
      <xdr:colOff>219075</xdr:colOff>
      <xdr:row>84</xdr:row>
      <xdr:rowOff>219075</xdr:rowOff>
    </xdr:to>
    <xdr:sp macro="" textlink="">
      <xdr:nvSpPr>
        <xdr:cNvPr id="22" name="Rectangle 18"/>
        <xdr:cNvSpPr>
          <a:spLocks noChangeArrowheads="1"/>
        </xdr:cNvSpPr>
      </xdr:nvSpPr>
      <xdr:spPr bwMode="auto">
        <a:xfrm>
          <a:off x="2381250" y="161163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84</xdr:row>
      <xdr:rowOff>47625</xdr:rowOff>
    </xdr:from>
    <xdr:to>
      <xdr:col>13</xdr:col>
      <xdr:colOff>228600</xdr:colOff>
      <xdr:row>84</xdr:row>
      <xdr:rowOff>209550</xdr:rowOff>
    </xdr:to>
    <xdr:sp macro="" textlink="">
      <xdr:nvSpPr>
        <xdr:cNvPr id="23" name="Rectangle 19"/>
        <xdr:cNvSpPr>
          <a:spLocks noChangeArrowheads="1"/>
        </xdr:cNvSpPr>
      </xdr:nvSpPr>
      <xdr:spPr bwMode="auto">
        <a:xfrm>
          <a:off x="4324350" y="161067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85</xdr:row>
      <xdr:rowOff>57150</xdr:rowOff>
    </xdr:from>
    <xdr:to>
      <xdr:col>6</xdr:col>
      <xdr:colOff>219075</xdr:colOff>
      <xdr:row>85</xdr:row>
      <xdr:rowOff>219075</xdr:rowOff>
    </xdr:to>
    <xdr:sp macro="" textlink="">
      <xdr:nvSpPr>
        <xdr:cNvPr id="24" name="Rectangle 20"/>
        <xdr:cNvSpPr>
          <a:spLocks noChangeArrowheads="1"/>
        </xdr:cNvSpPr>
      </xdr:nvSpPr>
      <xdr:spPr bwMode="auto">
        <a:xfrm>
          <a:off x="2381250" y="163639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85</xdr:row>
      <xdr:rowOff>47625</xdr:rowOff>
    </xdr:from>
    <xdr:to>
      <xdr:col>13</xdr:col>
      <xdr:colOff>228600</xdr:colOff>
      <xdr:row>85</xdr:row>
      <xdr:rowOff>209550</xdr:rowOff>
    </xdr:to>
    <xdr:sp macro="" textlink="">
      <xdr:nvSpPr>
        <xdr:cNvPr id="25" name="Rectangle 21"/>
        <xdr:cNvSpPr>
          <a:spLocks noChangeArrowheads="1"/>
        </xdr:cNvSpPr>
      </xdr:nvSpPr>
      <xdr:spPr bwMode="auto">
        <a:xfrm>
          <a:off x="4324350" y="163544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131</xdr:row>
      <xdr:rowOff>57150</xdr:rowOff>
    </xdr:from>
    <xdr:to>
      <xdr:col>6</xdr:col>
      <xdr:colOff>219075</xdr:colOff>
      <xdr:row>131</xdr:row>
      <xdr:rowOff>219075</xdr:rowOff>
    </xdr:to>
    <xdr:sp macro="" textlink="">
      <xdr:nvSpPr>
        <xdr:cNvPr id="26" name="Rectangle 9"/>
        <xdr:cNvSpPr>
          <a:spLocks noChangeArrowheads="1"/>
        </xdr:cNvSpPr>
      </xdr:nvSpPr>
      <xdr:spPr bwMode="auto">
        <a:xfrm>
          <a:off x="2381250" y="248602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131</xdr:row>
      <xdr:rowOff>47625</xdr:rowOff>
    </xdr:from>
    <xdr:to>
      <xdr:col>13</xdr:col>
      <xdr:colOff>228600</xdr:colOff>
      <xdr:row>131</xdr:row>
      <xdr:rowOff>209550</xdr:rowOff>
    </xdr:to>
    <xdr:sp macro="" textlink="">
      <xdr:nvSpPr>
        <xdr:cNvPr id="27" name="Rectangle 10"/>
        <xdr:cNvSpPr>
          <a:spLocks noChangeArrowheads="1"/>
        </xdr:cNvSpPr>
      </xdr:nvSpPr>
      <xdr:spPr bwMode="auto">
        <a:xfrm>
          <a:off x="4324350" y="248507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132</xdr:row>
      <xdr:rowOff>57150</xdr:rowOff>
    </xdr:from>
    <xdr:to>
      <xdr:col>6</xdr:col>
      <xdr:colOff>219075</xdr:colOff>
      <xdr:row>132</xdr:row>
      <xdr:rowOff>219075</xdr:rowOff>
    </xdr:to>
    <xdr:sp macro="" textlink="">
      <xdr:nvSpPr>
        <xdr:cNvPr id="28" name="Rectangle 12"/>
        <xdr:cNvSpPr>
          <a:spLocks noChangeArrowheads="1"/>
        </xdr:cNvSpPr>
      </xdr:nvSpPr>
      <xdr:spPr bwMode="auto">
        <a:xfrm>
          <a:off x="2381250" y="251079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132</xdr:row>
      <xdr:rowOff>47625</xdr:rowOff>
    </xdr:from>
    <xdr:to>
      <xdr:col>13</xdr:col>
      <xdr:colOff>228600</xdr:colOff>
      <xdr:row>132</xdr:row>
      <xdr:rowOff>209550</xdr:rowOff>
    </xdr:to>
    <xdr:sp macro="" textlink="">
      <xdr:nvSpPr>
        <xdr:cNvPr id="29" name="Rectangle 13"/>
        <xdr:cNvSpPr>
          <a:spLocks noChangeArrowheads="1"/>
        </xdr:cNvSpPr>
      </xdr:nvSpPr>
      <xdr:spPr bwMode="auto">
        <a:xfrm>
          <a:off x="4324350" y="250983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133</xdr:row>
      <xdr:rowOff>57150</xdr:rowOff>
    </xdr:from>
    <xdr:to>
      <xdr:col>6</xdr:col>
      <xdr:colOff>219075</xdr:colOff>
      <xdr:row>133</xdr:row>
      <xdr:rowOff>219075</xdr:rowOff>
    </xdr:to>
    <xdr:sp macro="" textlink="">
      <xdr:nvSpPr>
        <xdr:cNvPr id="30" name="Rectangle 14"/>
        <xdr:cNvSpPr>
          <a:spLocks noChangeArrowheads="1"/>
        </xdr:cNvSpPr>
      </xdr:nvSpPr>
      <xdr:spPr bwMode="auto">
        <a:xfrm>
          <a:off x="2381250" y="253555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133</xdr:row>
      <xdr:rowOff>47625</xdr:rowOff>
    </xdr:from>
    <xdr:to>
      <xdr:col>13</xdr:col>
      <xdr:colOff>228600</xdr:colOff>
      <xdr:row>133</xdr:row>
      <xdr:rowOff>209550</xdr:rowOff>
    </xdr:to>
    <xdr:sp macro="" textlink="">
      <xdr:nvSpPr>
        <xdr:cNvPr id="31" name="Rectangle 15"/>
        <xdr:cNvSpPr>
          <a:spLocks noChangeArrowheads="1"/>
        </xdr:cNvSpPr>
      </xdr:nvSpPr>
      <xdr:spPr bwMode="auto">
        <a:xfrm>
          <a:off x="4324350" y="253460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134</xdr:row>
      <xdr:rowOff>57150</xdr:rowOff>
    </xdr:from>
    <xdr:to>
      <xdr:col>6</xdr:col>
      <xdr:colOff>219075</xdr:colOff>
      <xdr:row>134</xdr:row>
      <xdr:rowOff>219075</xdr:rowOff>
    </xdr:to>
    <xdr:sp macro="" textlink="">
      <xdr:nvSpPr>
        <xdr:cNvPr id="32" name="Rectangle 16"/>
        <xdr:cNvSpPr>
          <a:spLocks noChangeArrowheads="1"/>
        </xdr:cNvSpPr>
      </xdr:nvSpPr>
      <xdr:spPr bwMode="auto">
        <a:xfrm>
          <a:off x="2381250" y="256032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134</xdr:row>
      <xdr:rowOff>47625</xdr:rowOff>
    </xdr:from>
    <xdr:to>
      <xdr:col>13</xdr:col>
      <xdr:colOff>228600</xdr:colOff>
      <xdr:row>134</xdr:row>
      <xdr:rowOff>209550</xdr:rowOff>
    </xdr:to>
    <xdr:sp macro="" textlink="">
      <xdr:nvSpPr>
        <xdr:cNvPr id="33" name="Rectangle 17"/>
        <xdr:cNvSpPr>
          <a:spLocks noChangeArrowheads="1"/>
        </xdr:cNvSpPr>
      </xdr:nvSpPr>
      <xdr:spPr bwMode="auto">
        <a:xfrm>
          <a:off x="4324350" y="255936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135</xdr:row>
      <xdr:rowOff>57150</xdr:rowOff>
    </xdr:from>
    <xdr:to>
      <xdr:col>6</xdr:col>
      <xdr:colOff>219075</xdr:colOff>
      <xdr:row>135</xdr:row>
      <xdr:rowOff>219075</xdr:rowOff>
    </xdr:to>
    <xdr:sp macro="" textlink="">
      <xdr:nvSpPr>
        <xdr:cNvPr id="34" name="Rectangle 18"/>
        <xdr:cNvSpPr>
          <a:spLocks noChangeArrowheads="1"/>
        </xdr:cNvSpPr>
      </xdr:nvSpPr>
      <xdr:spPr bwMode="auto">
        <a:xfrm>
          <a:off x="2381250" y="258508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135</xdr:row>
      <xdr:rowOff>47625</xdr:rowOff>
    </xdr:from>
    <xdr:to>
      <xdr:col>13</xdr:col>
      <xdr:colOff>228600</xdr:colOff>
      <xdr:row>135</xdr:row>
      <xdr:rowOff>209550</xdr:rowOff>
    </xdr:to>
    <xdr:sp macro="" textlink="">
      <xdr:nvSpPr>
        <xdr:cNvPr id="35" name="Rectangle 19"/>
        <xdr:cNvSpPr>
          <a:spLocks noChangeArrowheads="1"/>
        </xdr:cNvSpPr>
      </xdr:nvSpPr>
      <xdr:spPr bwMode="auto">
        <a:xfrm>
          <a:off x="4324350" y="258413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136</xdr:row>
      <xdr:rowOff>57150</xdr:rowOff>
    </xdr:from>
    <xdr:to>
      <xdr:col>6</xdr:col>
      <xdr:colOff>219075</xdr:colOff>
      <xdr:row>136</xdr:row>
      <xdr:rowOff>219075</xdr:rowOff>
    </xdr:to>
    <xdr:sp macro="" textlink="">
      <xdr:nvSpPr>
        <xdr:cNvPr id="36" name="Rectangle 20"/>
        <xdr:cNvSpPr>
          <a:spLocks noChangeArrowheads="1"/>
        </xdr:cNvSpPr>
      </xdr:nvSpPr>
      <xdr:spPr bwMode="auto">
        <a:xfrm>
          <a:off x="2381250" y="260985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136</xdr:row>
      <xdr:rowOff>47625</xdr:rowOff>
    </xdr:from>
    <xdr:to>
      <xdr:col>13</xdr:col>
      <xdr:colOff>228600</xdr:colOff>
      <xdr:row>136</xdr:row>
      <xdr:rowOff>209550</xdr:rowOff>
    </xdr:to>
    <xdr:sp macro="" textlink="">
      <xdr:nvSpPr>
        <xdr:cNvPr id="37" name="Rectangle 21"/>
        <xdr:cNvSpPr>
          <a:spLocks noChangeArrowheads="1"/>
        </xdr:cNvSpPr>
      </xdr:nvSpPr>
      <xdr:spPr bwMode="auto">
        <a:xfrm>
          <a:off x="4324350" y="260889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181</xdr:row>
      <xdr:rowOff>57150</xdr:rowOff>
    </xdr:from>
    <xdr:to>
      <xdr:col>6</xdr:col>
      <xdr:colOff>219075</xdr:colOff>
      <xdr:row>181</xdr:row>
      <xdr:rowOff>219075</xdr:rowOff>
    </xdr:to>
    <xdr:sp macro="" textlink="">
      <xdr:nvSpPr>
        <xdr:cNvPr id="38" name="Rectangle 9"/>
        <xdr:cNvSpPr>
          <a:spLocks noChangeArrowheads="1"/>
        </xdr:cNvSpPr>
      </xdr:nvSpPr>
      <xdr:spPr bwMode="auto">
        <a:xfrm>
          <a:off x="2381250" y="346424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181</xdr:row>
      <xdr:rowOff>47625</xdr:rowOff>
    </xdr:from>
    <xdr:to>
      <xdr:col>13</xdr:col>
      <xdr:colOff>228600</xdr:colOff>
      <xdr:row>181</xdr:row>
      <xdr:rowOff>209550</xdr:rowOff>
    </xdr:to>
    <xdr:sp macro="" textlink="">
      <xdr:nvSpPr>
        <xdr:cNvPr id="39" name="Rectangle 10"/>
        <xdr:cNvSpPr>
          <a:spLocks noChangeArrowheads="1"/>
        </xdr:cNvSpPr>
      </xdr:nvSpPr>
      <xdr:spPr bwMode="auto">
        <a:xfrm>
          <a:off x="4324350" y="346329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182</xdr:row>
      <xdr:rowOff>57150</xdr:rowOff>
    </xdr:from>
    <xdr:to>
      <xdr:col>6</xdr:col>
      <xdr:colOff>219075</xdr:colOff>
      <xdr:row>182</xdr:row>
      <xdr:rowOff>219075</xdr:rowOff>
    </xdr:to>
    <xdr:sp macro="" textlink="">
      <xdr:nvSpPr>
        <xdr:cNvPr id="40" name="Rectangle 12"/>
        <xdr:cNvSpPr>
          <a:spLocks noChangeArrowheads="1"/>
        </xdr:cNvSpPr>
      </xdr:nvSpPr>
      <xdr:spPr bwMode="auto">
        <a:xfrm>
          <a:off x="2381250" y="348900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182</xdr:row>
      <xdr:rowOff>47625</xdr:rowOff>
    </xdr:from>
    <xdr:to>
      <xdr:col>13</xdr:col>
      <xdr:colOff>228600</xdr:colOff>
      <xdr:row>182</xdr:row>
      <xdr:rowOff>209550</xdr:rowOff>
    </xdr:to>
    <xdr:sp macro="" textlink="">
      <xdr:nvSpPr>
        <xdr:cNvPr id="41" name="Rectangle 13"/>
        <xdr:cNvSpPr>
          <a:spLocks noChangeArrowheads="1"/>
        </xdr:cNvSpPr>
      </xdr:nvSpPr>
      <xdr:spPr bwMode="auto">
        <a:xfrm>
          <a:off x="4324350" y="348805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183</xdr:row>
      <xdr:rowOff>57150</xdr:rowOff>
    </xdr:from>
    <xdr:to>
      <xdr:col>6</xdr:col>
      <xdr:colOff>219075</xdr:colOff>
      <xdr:row>183</xdr:row>
      <xdr:rowOff>219075</xdr:rowOff>
    </xdr:to>
    <xdr:sp macro="" textlink="">
      <xdr:nvSpPr>
        <xdr:cNvPr id="42" name="Rectangle 14"/>
        <xdr:cNvSpPr>
          <a:spLocks noChangeArrowheads="1"/>
        </xdr:cNvSpPr>
      </xdr:nvSpPr>
      <xdr:spPr bwMode="auto">
        <a:xfrm>
          <a:off x="2381250" y="351377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183</xdr:row>
      <xdr:rowOff>47625</xdr:rowOff>
    </xdr:from>
    <xdr:to>
      <xdr:col>13</xdr:col>
      <xdr:colOff>228600</xdr:colOff>
      <xdr:row>183</xdr:row>
      <xdr:rowOff>209550</xdr:rowOff>
    </xdr:to>
    <xdr:sp macro="" textlink="">
      <xdr:nvSpPr>
        <xdr:cNvPr id="43" name="Rectangle 15"/>
        <xdr:cNvSpPr>
          <a:spLocks noChangeArrowheads="1"/>
        </xdr:cNvSpPr>
      </xdr:nvSpPr>
      <xdr:spPr bwMode="auto">
        <a:xfrm>
          <a:off x="4324350" y="351282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184</xdr:row>
      <xdr:rowOff>57150</xdr:rowOff>
    </xdr:from>
    <xdr:to>
      <xdr:col>6</xdr:col>
      <xdr:colOff>219075</xdr:colOff>
      <xdr:row>184</xdr:row>
      <xdr:rowOff>219075</xdr:rowOff>
    </xdr:to>
    <xdr:sp macro="" textlink="">
      <xdr:nvSpPr>
        <xdr:cNvPr id="44" name="Rectangle 16"/>
        <xdr:cNvSpPr>
          <a:spLocks noChangeArrowheads="1"/>
        </xdr:cNvSpPr>
      </xdr:nvSpPr>
      <xdr:spPr bwMode="auto">
        <a:xfrm>
          <a:off x="2381250" y="353853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184</xdr:row>
      <xdr:rowOff>47625</xdr:rowOff>
    </xdr:from>
    <xdr:to>
      <xdr:col>13</xdr:col>
      <xdr:colOff>228600</xdr:colOff>
      <xdr:row>184</xdr:row>
      <xdr:rowOff>209550</xdr:rowOff>
    </xdr:to>
    <xdr:sp macro="" textlink="">
      <xdr:nvSpPr>
        <xdr:cNvPr id="45" name="Rectangle 17"/>
        <xdr:cNvSpPr>
          <a:spLocks noChangeArrowheads="1"/>
        </xdr:cNvSpPr>
      </xdr:nvSpPr>
      <xdr:spPr bwMode="auto">
        <a:xfrm>
          <a:off x="4324350" y="353758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185</xdr:row>
      <xdr:rowOff>57150</xdr:rowOff>
    </xdr:from>
    <xdr:to>
      <xdr:col>6</xdr:col>
      <xdr:colOff>219075</xdr:colOff>
      <xdr:row>185</xdr:row>
      <xdr:rowOff>219075</xdr:rowOff>
    </xdr:to>
    <xdr:sp macro="" textlink="">
      <xdr:nvSpPr>
        <xdr:cNvPr id="46" name="Rectangle 18"/>
        <xdr:cNvSpPr>
          <a:spLocks noChangeArrowheads="1"/>
        </xdr:cNvSpPr>
      </xdr:nvSpPr>
      <xdr:spPr bwMode="auto">
        <a:xfrm>
          <a:off x="2381250" y="356330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185</xdr:row>
      <xdr:rowOff>47625</xdr:rowOff>
    </xdr:from>
    <xdr:to>
      <xdr:col>13</xdr:col>
      <xdr:colOff>228600</xdr:colOff>
      <xdr:row>185</xdr:row>
      <xdr:rowOff>209550</xdr:rowOff>
    </xdr:to>
    <xdr:sp macro="" textlink="">
      <xdr:nvSpPr>
        <xdr:cNvPr id="47" name="Rectangle 19"/>
        <xdr:cNvSpPr>
          <a:spLocks noChangeArrowheads="1"/>
        </xdr:cNvSpPr>
      </xdr:nvSpPr>
      <xdr:spPr bwMode="auto">
        <a:xfrm>
          <a:off x="4324350" y="356235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186</xdr:row>
      <xdr:rowOff>57150</xdr:rowOff>
    </xdr:from>
    <xdr:to>
      <xdr:col>6</xdr:col>
      <xdr:colOff>219075</xdr:colOff>
      <xdr:row>186</xdr:row>
      <xdr:rowOff>219075</xdr:rowOff>
    </xdr:to>
    <xdr:sp macro="" textlink="">
      <xdr:nvSpPr>
        <xdr:cNvPr id="48" name="Rectangle 20"/>
        <xdr:cNvSpPr>
          <a:spLocks noChangeArrowheads="1"/>
        </xdr:cNvSpPr>
      </xdr:nvSpPr>
      <xdr:spPr bwMode="auto">
        <a:xfrm>
          <a:off x="2381250" y="358806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186</xdr:row>
      <xdr:rowOff>47625</xdr:rowOff>
    </xdr:from>
    <xdr:to>
      <xdr:col>13</xdr:col>
      <xdr:colOff>228600</xdr:colOff>
      <xdr:row>186</xdr:row>
      <xdr:rowOff>209550</xdr:rowOff>
    </xdr:to>
    <xdr:sp macro="" textlink="">
      <xdr:nvSpPr>
        <xdr:cNvPr id="49" name="Rectangle 21"/>
        <xdr:cNvSpPr>
          <a:spLocks noChangeArrowheads="1"/>
        </xdr:cNvSpPr>
      </xdr:nvSpPr>
      <xdr:spPr bwMode="auto">
        <a:xfrm>
          <a:off x="4324350" y="358711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47625</xdr:colOff>
      <xdr:row>29</xdr:row>
      <xdr:rowOff>57150</xdr:rowOff>
    </xdr:from>
    <xdr:to>
      <xdr:col>6</xdr:col>
      <xdr:colOff>219075</xdr:colOff>
      <xdr:row>29</xdr:row>
      <xdr:rowOff>219075</xdr:rowOff>
    </xdr:to>
    <xdr:sp macro="" textlink="">
      <xdr:nvSpPr>
        <xdr:cNvPr id="2" name="Rectangle 9"/>
        <xdr:cNvSpPr>
          <a:spLocks noChangeArrowheads="1"/>
        </xdr:cNvSpPr>
      </xdr:nvSpPr>
      <xdr:spPr bwMode="auto">
        <a:xfrm>
          <a:off x="2381250" y="56864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29</xdr:row>
      <xdr:rowOff>47625</xdr:rowOff>
    </xdr:from>
    <xdr:to>
      <xdr:col>13</xdr:col>
      <xdr:colOff>228600</xdr:colOff>
      <xdr:row>29</xdr:row>
      <xdr:rowOff>209550</xdr:rowOff>
    </xdr:to>
    <xdr:sp macro="" textlink="">
      <xdr:nvSpPr>
        <xdr:cNvPr id="3" name="Rectangle 10"/>
        <xdr:cNvSpPr>
          <a:spLocks noChangeArrowheads="1"/>
        </xdr:cNvSpPr>
      </xdr:nvSpPr>
      <xdr:spPr bwMode="auto">
        <a:xfrm>
          <a:off x="4324350" y="56769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30</xdr:row>
      <xdr:rowOff>57150</xdr:rowOff>
    </xdr:from>
    <xdr:to>
      <xdr:col>6</xdr:col>
      <xdr:colOff>219075</xdr:colOff>
      <xdr:row>30</xdr:row>
      <xdr:rowOff>219075</xdr:rowOff>
    </xdr:to>
    <xdr:sp macro="" textlink="">
      <xdr:nvSpPr>
        <xdr:cNvPr id="4" name="Rectangle 12"/>
        <xdr:cNvSpPr>
          <a:spLocks noChangeArrowheads="1"/>
        </xdr:cNvSpPr>
      </xdr:nvSpPr>
      <xdr:spPr bwMode="auto">
        <a:xfrm>
          <a:off x="2381250" y="59340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30</xdr:row>
      <xdr:rowOff>47625</xdr:rowOff>
    </xdr:from>
    <xdr:to>
      <xdr:col>13</xdr:col>
      <xdr:colOff>228600</xdr:colOff>
      <xdr:row>30</xdr:row>
      <xdr:rowOff>209550</xdr:rowOff>
    </xdr:to>
    <xdr:sp macro="" textlink="">
      <xdr:nvSpPr>
        <xdr:cNvPr id="5" name="Rectangle 13"/>
        <xdr:cNvSpPr>
          <a:spLocks noChangeArrowheads="1"/>
        </xdr:cNvSpPr>
      </xdr:nvSpPr>
      <xdr:spPr bwMode="auto">
        <a:xfrm>
          <a:off x="4324350" y="59245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31</xdr:row>
      <xdr:rowOff>57150</xdr:rowOff>
    </xdr:from>
    <xdr:to>
      <xdr:col>6</xdr:col>
      <xdr:colOff>219075</xdr:colOff>
      <xdr:row>31</xdr:row>
      <xdr:rowOff>219075</xdr:rowOff>
    </xdr:to>
    <xdr:sp macro="" textlink="">
      <xdr:nvSpPr>
        <xdr:cNvPr id="6" name="Rectangle 14"/>
        <xdr:cNvSpPr>
          <a:spLocks noChangeArrowheads="1"/>
        </xdr:cNvSpPr>
      </xdr:nvSpPr>
      <xdr:spPr bwMode="auto">
        <a:xfrm>
          <a:off x="2381250" y="61817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31</xdr:row>
      <xdr:rowOff>47625</xdr:rowOff>
    </xdr:from>
    <xdr:to>
      <xdr:col>13</xdr:col>
      <xdr:colOff>228600</xdr:colOff>
      <xdr:row>31</xdr:row>
      <xdr:rowOff>209550</xdr:rowOff>
    </xdr:to>
    <xdr:sp macro="" textlink="">
      <xdr:nvSpPr>
        <xdr:cNvPr id="7" name="Rectangle 15"/>
        <xdr:cNvSpPr>
          <a:spLocks noChangeArrowheads="1"/>
        </xdr:cNvSpPr>
      </xdr:nvSpPr>
      <xdr:spPr bwMode="auto">
        <a:xfrm>
          <a:off x="4324350" y="61722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32</xdr:row>
      <xdr:rowOff>57150</xdr:rowOff>
    </xdr:from>
    <xdr:to>
      <xdr:col>6</xdr:col>
      <xdr:colOff>219075</xdr:colOff>
      <xdr:row>32</xdr:row>
      <xdr:rowOff>219075</xdr:rowOff>
    </xdr:to>
    <xdr:sp macro="" textlink="">
      <xdr:nvSpPr>
        <xdr:cNvPr id="8" name="Rectangle 16"/>
        <xdr:cNvSpPr>
          <a:spLocks noChangeArrowheads="1"/>
        </xdr:cNvSpPr>
      </xdr:nvSpPr>
      <xdr:spPr bwMode="auto">
        <a:xfrm>
          <a:off x="2381250" y="64293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32</xdr:row>
      <xdr:rowOff>47625</xdr:rowOff>
    </xdr:from>
    <xdr:to>
      <xdr:col>13</xdr:col>
      <xdr:colOff>228600</xdr:colOff>
      <xdr:row>32</xdr:row>
      <xdr:rowOff>209550</xdr:rowOff>
    </xdr:to>
    <xdr:sp macro="" textlink="">
      <xdr:nvSpPr>
        <xdr:cNvPr id="9" name="Rectangle 17"/>
        <xdr:cNvSpPr>
          <a:spLocks noChangeArrowheads="1"/>
        </xdr:cNvSpPr>
      </xdr:nvSpPr>
      <xdr:spPr bwMode="auto">
        <a:xfrm>
          <a:off x="4324350" y="64198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33</xdr:row>
      <xdr:rowOff>57150</xdr:rowOff>
    </xdr:from>
    <xdr:to>
      <xdr:col>6</xdr:col>
      <xdr:colOff>219075</xdr:colOff>
      <xdr:row>33</xdr:row>
      <xdr:rowOff>219075</xdr:rowOff>
    </xdr:to>
    <xdr:sp macro="" textlink="">
      <xdr:nvSpPr>
        <xdr:cNvPr id="10" name="Rectangle 18"/>
        <xdr:cNvSpPr>
          <a:spLocks noChangeArrowheads="1"/>
        </xdr:cNvSpPr>
      </xdr:nvSpPr>
      <xdr:spPr bwMode="auto">
        <a:xfrm>
          <a:off x="2381250" y="66770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33</xdr:row>
      <xdr:rowOff>47625</xdr:rowOff>
    </xdr:from>
    <xdr:to>
      <xdr:col>13</xdr:col>
      <xdr:colOff>228600</xdr:colOff>
      <xdr:row>33</xdr:row>
      <xdr:rowOff>209550</xdr:rowOff>
    </xdr:to>
    <xdr:sp macro="" textlink="">
      <xdr:nvSpPr>
        <xdr:cNvPr id="11" name="Rectangle 19"/>
        <xdr:cNvSpPr>
          <a:spLocks noChangeArrowheads="1"/>
        </xdr:cNvSpPr>
      </xdr:nvSpPr>
      <xdr:spPr bwMode="auto">
        <a:xfrm>
          <a:off x="4324350" y="66675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34</xdr:row>
      <xdr:rowOff>57150</xdr:rowOff>
    </xdr:from>
    <xdr:to>
      <xdr:col>6</xdr:col>
      <xdr:colOff>219075</xdr:colOff>
      <xdr:row>34</xdr:row>
      <xdr:rowOff>219075</xdr:rowOff>
    </xdr:to>
    <xdr:sp macro="" textlink="">
      <xdr:nvSpPr>
        <xdr:cNvPr id="12" name="Rectangle 20"/>
        <xdr:cNvSpPr>
          <a:spLocks noChangeArrowheads="1"/>
        </xdr:cNvSpPr>
      </xdr:nvSpPr>
      <xdr:spPr bwMode="auto">
        <a:xfrm>
          <a:off x="2381250" y="69246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34</xdr:row>
      <xdr:rowOff>47625</xdr:rowOff>
    </xdr:from>
    <xdr:to>
      <xdr:col>13</xdr:col>
      <xdr:colOff>228600</xdr:colOff>
      <xdr:row>34</xdr:row>
      <xdr:rowOff>209550</xdr:rowOff>
    </xdr:to>
    <xdr:sp macro="" textlink="">
      <xdr:nvSpPr>
        <xdr:cNvPr id="13" name="Rectangle 21"/>
        <xdr:cNvSpPr>
          <a:spLocks noChangeArrowheads="1"/>
        </xdr:cNvSpPr>
      </xdr:nvSpPr>
      <xdr:spPr bwMode="auto">
        <a:xfrm>
          <a:off x="4324350" y="69151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80</xdr:row>
      <xdr:rowOff>57150</xdr:rowOff>
    </xdr:from>
    <xdr:to>
      <xdr:col>6</xdr:col>
      <xdr:colOff>219075</xdr:colOff>
      <xdr:row>80</xdr:row>
      <xdr:rowOff>219075</xdr:rowOff>
    </xdr:to>
    <xdr:sp macro="" textlink="">
      <xdr:nvSpPr>
        <xdr:cNvPr id="14" name="Rectangle 9"/>
        <xdr:cNvSpPr>
          <a:spLocks noChangeArrowheads="1"/>
        </xdr:cNvSpPr>
      </xdr:nvSpPr>
      <xdr:spPr bwMode="auto">
        <a:xfrm>
          <a:off x="2381250" y="56864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80</xdr:row>
      <xdr:rowOff>47625</xdr:rowOff>
    </xdr:from>
    <xdr:to>
      <xdr:col>13</xdr:col>
      <xdr:colOff>228600</xdr:colOff>
      <xdr:row>80</xdr:row>
      <xdr:rowOff>209550</xdr:rowOff>
    </xdr:to>
    <xdr:sp macro="" textlink="">
      <xdr:nvSpPr>
        <xdr:cNvPr id="15" name="Rectangle 10"/>
        <xdr:cNvSpPr>
          <a:spLocks noChangeArrowheads="1"/>
        </xdr:cNvSpPr>
      </xdr:nvSpPr>
      <xdr:spPr bwMode="auto">
        <a:xfrm>
          <a:off x="4324350" y="56769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81</xdr:row>
      <xdr:rowOff>57150</xdr:rowOff>
    </xdr:from>
    <xdr:to>
      <xdr:col>6</xdr:col>
      <xdr:colOff>219075</xdr:colOff>
      <xdr:row>81</xdr:row>
      <xdr:rowOff>219075</xdr:rowOff>
    </xdr:to>
    <xdr:sp macro="" textlink="">
      <xdr:nvSpPr>
        <xdr:cNvPr id="16" name="Rectangle 12"/>
        <xdr:cNvSpPr>
          <a:spLocks noChangeArrowheads="1"/>
        </xdr:cNvSpPr>
      </xdr:nvSpPr>
      <xdr:spPr bwMode="auto">
        <a:xfrm>
          <a:off x="2381250" y="59340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81</xdr:row>
      <xdr:rowOff>47625</xdr:rowOff>
    </xdr:from>
    <xdr:to>
      <xdr:col>13</xdr:col>
      <xdr:colOff>228600</xdr:colOff>
      <xdr:row>81</xdr:row>
      <xdr:rowOff>209550</xdr:rowOff>
    </xdr:to>
    <xdr:sp macro="" textlink="">
      <xdr:nvSpPr>
        <xdr:cNvPr id="17" name="Rectangle 13"/>
        <xdr:cNvSpPr>
          <a:spLocks noChangeArrowheads="1"/>
        </xdr:cNvSpPr>
      </xdr:nvSpPr>
      <xdr:spPr bwMode="auto">
        <a:xfrm>
          <a:off x="4324350" y="59245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82</xdr:row>
      <xdr:rowOff>57150</xdr:rowOff>
    </xdr:from>
    <xdr:to>
      <xdr:col>6</xdr:col>
      <xdr:colOff>219075</xdr:colOff>
      <xdr:row>82</xdr:row>
      <xdr:rowOff>219075</xdr:rowOff>
    </xdr:to>
    <xdr:sp macro="" textlink="">
      <xdr:nvSpPr>
        <xdr:cNvPr id="18" name="Rectangle 14"/>
        <xdr:cNvSpPr>
          <a:spLocks noChangeArrowheads="1"/>
        </xdr:cNvSpPr>
      </xdr:nvSpPr>
      <xdr:spPr bwMode="auto">
        <a:xfrm>
          <a:off x="2381250" y="61817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82</xdr:row>
      <xdr:rowOff>47625</xdr:rowOff>
    </xdr:from>
    <xdr:to>
      <xdr:col>13</xdr:col>
      <xdr:colOff>228600</xdr:colOff>
      <xdr:row>82</xdr:row>
      <xdr:rowOff>209550</xdr:rowOff>
    </xdr:to>
    <xdr:sp macro="" textlink="">
      <xdr:nvSpPr>
        <xdr:cNvPr id="19" name="Rectangle 15"/>
        <xdr:cNvSpPr>
          <a:spLocks noChangeArrowheads="1"/>
        </xdr:cNvSpPr>
      </xdr:nvSpPr>
      <xdr:spPr bwMode="auto">
        <a:xfrm>
          <a:off x="4324350" y="61722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83</xdr:row>
      <xdr:rowOff>57150</xdr:rowOff>
    </xdr:from>
    <xdr:to>
      <xdr:col>6</xdr:col>
      <xdr:colOff>219075</xdr:colOff>
      <xdr:row>83</xdr:row>
      <xdr:rowOff>219075</xdr:rowOff>
    </xdr:to>
    <xdr:sp macro="" textlink="">
      <xdr:nvSpPr>
        <xdr:cNvPr id="20" name="Rectangle 16"/>
        <xdr:cNvSpPr>
          <a:spLocks noChangeArrowheads="1"/>
        </xdr:cNvSpPr>
      </xdr:nvSpPr>
      <xdr:spPr bwMode="auto">
        <a:xfrm>
          <a:off x="2381250" y="64293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83</xdr:row>
      <xdr:rowOff>47625</xdr:rowOff>
    </xdr:from>
    <xdr:to>
      <xdr:col>13</xdr:col>
      <xdr:colOff>228600</xdr:colOff>
      <xdr:row>83</xdr:row>
      <xdr:rowOff>209550</xdr:rowOff>
    </xdr:to>
    <xdr:sp macro="" textlink="">
      <xdr:nvSpPr>
        <xdr:cNvPr id="21" name="Rectangle 17"/>
        <xdr:cNvSpPr>
          <a:spLocks noChangeArrowheads="1"/>
        </xdr:cNvSpPr>
      </xdr:nvSpPr>
      <xdr:spPr bwMode="auto">
        <a:xfrm>
          <a:off x="4324350" y="64198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84</xdr:row>
      <xdr:rowOff>57150</xdr:rowOff>
    </xdr:from>
    <xdr:to>
      <xdr:col>6</xdr:col>
      <xdr:colOff>219075</xdr:colOff>
      <xdr:row>84</xdr:row>
      <xdr:rowOff>219075</xdr:rowOff>
    </xdr:to>
    <xdr:sp macro="" textlink="">
      <xdr:nvSpPr>
        <xdr:cNvPr id="22" name="Rectangle 18"/>
        <xdr:cNvSpPr>
          <a:spLocks noChangeArrowheads="1"/>
        </xdr:cNvSpPr>
      </xdr:nvSpPr>
      <xdr:spPr bwMode="auto">
        <a:xfrm>
          <a:off x="2381250" y="66770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84</xdr:row>
      <xdr:rowOff>47625</xdr:rowOff>
    </xdr:from>
    <xdr:to>
      <xdr:col>13</xdr:col>
      <xdr:colOff>228600</xdr:colOff>
      <xdr:row>84</xdr:row>
      <xdr:rowOff>209550</xdr:rowOff>
    </xdr:to>
    <xdr:sp macro="" textlink="">
      <xdr:nvSpPr>
        <xdr:cNvPr id="23" name="Rectangle 19"/>
        <xdr:cNvSpPr>
          <a:spLocks noChangeArrowheads="1"/>
        </xdr:cNvSpPr>
      </xdr:nvSpPr>
      <xdr:spPr bwMode="auto">
        <a:xfrm>
          <a:off x="4324350" y="66675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85</xdr:row>
      <xdr:rowOff>57150</xdr:rowOff>
    </xdr:from>
    <xdr:to>
      <xdr:col>6</xdr:col>
      <xdr:colOff>219075</xdr:colOff>
      <xdr:row>85</xdr:row>
      <xdr:rowOff>219075</xdr:rowOff>
    </xdr:to>
    <xdr:sp macro="" textlink="">
      <xdr:nvSpPr>
        <xdr:cNvPr id="24" name="Rectangle 20"/>
        <xdr:cNvSpPr>
          <a:spLocks noChangeArrowheads="1"/>
        </xdr:cNvSpPr>
      </xdr:nvSpPr>
      <xdr:spPr bwMode="auto">
        <a:xfrm>
          <a:off x="2381250" y="69246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85</xdr:row>
      <xdr:rowOff>47625</xdr:rowOff>
    </xdr:from>
    <xdr:to>
      <xdr:col>13</xdr:col>
      <xdr:colOff>228600</xdr:colOff>
      <xdr:row>85</xdr:row>
      <xdr:rowOff>209550</xdr:rowOff>
    </xdr:to>
    <xdr:sp macro="" textlink="">
      <xdr:nvSpPr>
        <xdr:cNvPr id="25" name="Rectangle 21"/>
        <xdr:cNvSpPr>
          <a:spLocks noChangeArrowheads="1"/>
        </xdr:cNvSpPr>
      </xdr:nvSpPr>
      <xdr:spPr bwMode="auto">
        <a:xfrm>
          <a:off x="4324350" y="69151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131</xdr:row>
      <xdr:rowOff>57150</xdr:rowOff>
    </xdr:from>
    <xdr:to>
      <xdr:col>6</xdr:col>
      <xdr:colOff>219075</xdr:colOff>
      <xdr:row>131</xdr:row>
      <xdr:rowOff>219075</xdr:rowOff>
    </xdr:to>
    <xdr:sp macro="" textlink="">
      <xdr:nvSpPr>
        <xdr:cNvPr id="26" name="Rectangle 9"/>
        <xdr:cNvSpPr>
          <a:spLocks noChangeArrowheads="1"/>
        </xdr:cNvSpPr>
      </xdr:nvSpPr>
      <xdr:spPr bwMode="auto">
        <a:xfrm>
          <a:off x="2381250" y="152304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131</xdr:row>
      <xdr:rowOff>47625</xdr:rowOff>
    </xdr:from>
    <xdr:to>
      <xdr:col>13</xdr:col>
      <xdr:colOff>228600</xdr:colOff>
      <xdr:row>131</xdr:row>
      <xdr:rowOff>209550</xdr:rowOff>
    </xdr:to>
    <xdr:sp macro="" textlink="">
      <xdr:nvSpPr>
        <xdr:cNvPr id="27" name="Rectangle 10"/>
        <xdr:cNvSpPr>
          <a:spLocks noChangeArrowheads="1"/>
        </xdr:cNvSpPr>
      </xdr:nvSpPr>
      <xdr:spPr bwMode="auto">
        <a:xfrm>
          <a:off x="4324350" y="152209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132</xdr:row>
      <xdr:rowOff>57150</xdr:rowOff>
    </xdr:from>
    <xdr:to>
      <xdr:col>6</xdr:col>
      <xdr:colOff>219075</xdr:colOff>
      <xdr:row>132</xdr:row>
      <xdr:rowOff>219075</xdr:rowOff>
    </xdr:to>
    <xdr:sp macro="" textlink="">
      <xdr:nvSpPr>
        <xdr:cNvPr id="28" name="Rectangle 12"/>
        <xdr:cNvSpPr>
          <a:spLocks noChangeArrowheads="1"/>
        </xdr:cNvSpPr>
      </xdr:nvSpPr>
      <xdr:spPr bwMode="auto">
        <a:xfrm>
          <a:off x="2381250" y="154781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132</xdr:row>
      <xdr:rowOff>47625</xdr:rowOff>
    </xdr:from>
    <xdr:to>
      <xdr:col>13</xdr:col>
      <xdr:colOff>228600</xdr:colOff>
      <xdr:row>132</xdr:row>
      <xdr:rowOff>209550</xdr:rowOff>
    </xdr:to>
    <xdr:sp macro="" textlink="">
      <xdr:nvSpPr>
        <xdr:cNvPr id="29" name="Rectangle 13"/>
        <xdr:cNvSpPr>
          <a:spLocks noChangeArrowheads="1"/>
        </xdr:cNvSpPr>
      </xdr:nvSpPr>
      <xdr:spPr bwMode="auto">
        <a:xfrm>
          <a:off x="4324350" y="154686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133</xdr:row>
      <xdr:rowOff>57150</xdr:rowOff>
    </xdr:from>
    <xdr:to>
      <xdr:col>6</xdr:col>
      <xdr:colOff>219075</xdr:colOff>
      <xdr:row>133</xdr:row>
      <xdr:rowOff>219075</xdr:rowOff>
    </xdr:to>
    <xdr:sp macro="" textlink="">
      <xdr:nvSpPr>
        <xdr:cNvPr id="30" name="Rectangle 14"/>
        <xdr:cNvSpPr>
          <a:spLocks noChangeArrowheads="1"/>
        </xdr:cNvSpPr>
      </xdr:nvSpPr>
      <xdr:spPr bwMode="auto">
        <a:xfrm>
          <a:off x="2381250" y="157257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133</xdr:row>
      <xdr:rowOff>47625</xdr:rowOff>
    </xdr:from>
    <xdr:to>
      <xdr:col>13</xdr:col>
      <xdr:colOff>228600</xdr:colOff>
      <xdr:row>133</xdr:row>
      <xdr:rowOff>209550</xdr:rowOff>
    </xdr:to>
    <xdr:sp macro="" textlink="">
      <xdr:nvSpPr>
        <xdr:cNvPr id="31" name="Rectangle 15"/>
        <xdr:cNvSpPr>
          <a:spLocks noChangeArrowheads="1"/>
        </xdr:cNvSpPr>
      </xdr:nvSpPr>
      <xdr:spPr bwMode="auto">
        <a:xfrm>
          <a:off x="4324350" y="157162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134</xdr:row>
      <xdr:rowOff>57150</xdr:rowOff>
    </xdr:from>
    <xdr:to>
      <xdr:col>6</xdr:col>
      <xdr:colOff>219075</xdr:colOff>
      <xdr:row>134</xdr:row>
      <xdr:rowOff>219075</xdr:rowOff>
    </xdr:to>
    <xdr:sp macro="" textlink="">
      <xdr:nvSpPr>
        <xdr:cNvPr id="32" name="Rectangle 16"/>
        <xdr:cNvSpPr>
          <a:spLocks noChangeArrowheads="1"/>
        </xdr:cNvSpPr>
      </xdr:nvSpPr>
      <xdr:spPr bwMode="auto">
        <a:xfrm>
          <a:off x="2381250" y="159734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134</xdr:row>
      <xdr:rowOff>47625</xdr:rowOff>
    </xdr:from>
    <xdr:to>
      <xdr:col>13</xdr:col>
      <xdr:colOff>228600</xdr:colOff>
      <xdr:row>134</xdr:row>
      <xdr:rowOff>209550</xdr:rowOff>
    </xdr:to>
    <xdr:sp macro="" textlink="">
      <xdr:nvSpPr>
        <xdr:cNvPr id="33" name="Rectangle 17"/>
        <xdr:cNvSpPr>
          <a:spLocks noChangeArrowheads="1"/>
        </xdr:cNvSpPr>
      </xdr:nvSpPr>
      <xdr:spPr bwMode="auto">
        <a:xfrm>
          <a:off x="4324350" y="159639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135</xdr:row>
      <xdr:rowOff>57150</xdr:rowOff>
    </xdr:from>
    <xdr:to>
      <xdr:col>6</xdr:col>
      <xdr:colOff>219075</xdr:colOff>
      <xdr:row>135</xdr:row>
      <xdr:rowOff>219075</xdr:rowOff>
    </xdr:to>
    <xdr:sp macro="" textlink="">
      <xdr:nvSpPr>
        <xdr:cNvPr id="34" name="Rectangle 18"/>
        <xdr:cNvSpPr>
          <a:spLocks noChangeArrowheads="1"/>
        </xdr:cNvSpPr>
      </xdr:nvSpPr>
      <xdr:spPr bwMode="auto">
        <a:xfrm>
          <a:off x="2381250" y="162210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135</xdr:row>
      <xdr:rowOff>47625</xdr:rowOff>
    </xdr:from>
    <xdr:to>
      <xdr:col>13</xdr:col>
      <xdr:colOff>228600</xdr:colOff>
      <xdr:row>135</xdr:row>
      <xdr:rowOff>209550</xdr:rowOff>
    </xdr:to>
    <xdr:sp macro="" textlink="">
      <xdr:nvSpPr>
        <xdr:cNvPr id="35" name="Rectangle 19"/>
        <xdr:cNvSpPr>
          <a:spLocks noChangeArrowheads="1"/>
        </xdr:cNvSpPr>
      </xdr:nvSpPr>
      <xdr:spPr bwMode="auto">
        <a:xfrm>
          <a:off x="4324350" y="162115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136</xdr:row>
      <xdr:rowOff>57150</xdr:rowOff>
    </xdr:from>
    <xdr:to>
      <xdr:col>6</xdr:col>
      <xdr:colOff>219075</xdr:colOff>
      <xdr:row>136</xdr:row>
      <xdr:rowOff>219075</xdr:rowOff>
    </xdr:to>
    <xdr:sp macro="" textlink="">
      <xdr:nvSpPr>
        <xdr:cNvPr id="36" name="Rectangle 20"/>
        <xdr:cNvSpPr>
          <a:spLocks noChangeArrowheads="1"/>
        </xdr:cNvSpPr>
      </xdr:nvSpPr>
      <xdr:spPr bwMode="auto">
        <a:xfrm>
          <a:off x="2381250" y="164687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136</xdr:row>
      <xdr:rowOff>47625</xdr:rowOff>
    </xdr:from>
    <xdr:to>
      <xdr:col>13</xdr:col>
      <xdr:colOff>228600</xdr:colOff>
      <xdr:row>136</xdr:row>
      <xdr:rowOff>209550</xdr:rowOff>
    </xdr:to>
    <xdr:sp macro="" textlink="">
      <xdr:nvSpPr>
        <xdr:cNvPr id="37" name="Rectangle 21"/>
        <xdr:cNvSpPr>
          <a:spLocks noChangeArrowheads="1"/>
        </xdr:cNvSpPr>
      </xdr:nvSpPr>
      <xdr:spPr bwMode="auto">
        <a:xfrm>
          <a:off x="4324350" y="164592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181</xdr:row>
      <xdr:rowOff>57150</xdr:rowOff>
    </xdr:from>
    <xdr:to>
      <xdr:col>6</xdr:col>
      <xdr:colOff>219075</xdr:colOff>
      <xdr:row>181</xdr:row>
      <xdr:rowOff>219075</xdr:rowOff>
    </xdr:to>
    <xdr:sp macro="" textlink="">
      <xdr:nvSpPr>
        <xdr:cNvPr id="38" name="Rectangle 9"/>
        <xdr:cNvSpPr>
          <a:spLocks noChangeArrowheads="1"/>
        </xdr:cNvSpPr>
      </xdr:nvSpPr>
      <xdr:spPr bwMode="auto">
        <a:xfrm>
          <a:off x="2381250" y="247745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181</xdr:row>
      <xdr:rowOff>47625</xdr:rowOff>
    </xdr:from>
    <xdr:to>
      <xdr:col>13</xdr:col>
      <xdr:colOff>228600</xdr:colOff>
      <xdr:row>181</xdr:row>
      <xdr:rowOff>209550</xdr:rowOff>
    </xdr:to>
    <xdr:sp macro="" textlink="">
      <xdr:nvSpPr>
        <xdr:cNvPr id="39" name="Rectangle 10"/>
        <xdr:cNvSpPr>
          <a:spLocks noChangeArrowheads="1"/>
        </xdr:cNvSpPr>
      </xdr:nvSpPr>
      <xdr:spPr bwMode="auto">
        <a:xfrm>
          <a:off x="4324350" y="247650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182</xdr:row>
      <xdr:rowOff>57150</xdr:rowOff>
    </xdr:from>
    <xdr:to>
      <xdr:col>6</xdr:col>
      <xdr:colOff>219075</xdr:colOff>
      <xdr:row>182</xdr:row>
      <xdr:rowOff>219075</xdr:rowOff>
    </xdr:to>
    <xdr:sp macro="" textlink="">
      <xdr:nvSpPr>
        <xdr:cNvPr id="40" name="Rectangle 12"/>
        <xdr:cNvSpPr>
          <a:spLocks noChangeArrowheads="1"/>
        </xdr:cNvSpPr>
      </xdr:nvSpPr>
      <xdr:spPr bwMode="auto">
        <a:xfrm>
          <a:off x="2381250" y="250221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182</xdr:row>
      <xdr:rowOff>47625</xdr:rowOff>
    </xdr:from>
    <xdr:to>
      <xdr:col>13</xdr:col>
      <xdr:colOff>228600</xdr:colOff>
      <xdr:row>182</xdr:row>
      <xdr:rowOff>209550</xdr:rowOff>
    </xdr:to>
    <xdr:sp macro="" textlink="">
      <xdr:nvSpPr>
        <xdr:cNvPr id="41" name="Rectangle 13"/>
        <xdr:cNvSpPr>
          <a:spLocks noChangeArrowheads="1"/>
        </xdr:cNvSpPr>
      </xdr:nvSpPr>
      <xdr:spPr bwMode="auto">
        <a:xfrm>
          <a:off x="4324350" y="250126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183</xdr:row>
      <xdr:rowOff>57150</xdr:rowOff>
    </xdr:from>
    <xdr:to>
      <xdr:col>6</xdr:col>
      <xdr:colOff>219075</xdr:colOff>
      <xdr:row>183</xdr:row>
      <xdr:rowOff>219075</xdr:rowOff>
    </xdr:to>
    <xdr:sp macro="" textlink="">
      <xdr:nvSpPr>
        <xdr:cNvPr id="42" name="Rectangle 14"/>
        <xdr:cNvSpPr>
          <a:spLocks noChangeArrowheads="1"/>
        </xdr:cNvSpPr>
      </xdr:nvSpPr>
      <xdr:spPr bwMode="auto">
        <a:xfrm>
          <a:off x="2381250" y="252698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183</xdr:row>
      <xdr:rowOff>47625</xdr:rowOff>
    </xdr:from>
    <xdr:to>
      <xdr:col>13</xdr:col>
      <xdr:colOff>228600</xdr:colOff>
      <xdr:row>183</xdr:row>
      <xdr:rowOff>209550</xdr:rowOff>
    </xdr:to>
    <xdr:sp macro="" textlink="">
      <xdr:nvSpPr>
        <xdr:cNvPr id="43" name="Rectangle 15"/>
        <xdr:cNvSpPr>
          <a:spLocks noChangeArrowheads="1"/>
        </xdr:cNvSpPr>
      </xdr:nvSpPr>
      <xdr:spPr bwMode="auto">
        <a:xfrm>
          <a:off x="4324350" y="252603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184</xdr:row>
      <xdr:rowOff>57150</xdr:rowOff>
    </xdr:from>
    <xdr:to>
      <xdr:col>6</xdr:col>
      <xdr:colOff>219075</xdr:colOff>
      <xdr:row>184</xdr:row>
      <xdr:rowOff>219075</xdr:rowOff>
    </xdr:to>
    <xdr:sp macro="" textlink="">
      <xdr:nvSpPr>
        <xdr:cNvPr id="44" name="Rectangle 16"/>
        <xdr:cNvSpPr>
          <a:spLocks noChangeArrowheads="1"/>
        </xdr:cNvSpPr>
      </xdr:nvSpPr>
      <xdr:spPr bwMode="auto">
        <a:xfrm>
          <a:off x="2381250" y="255174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184</xdr:row>
      <xdr:rowOff>47625</xdr:rowOff>
    </xdr:from>
    <xdr:to>
      <xdr:col>13</xdr:col>
      <xdr:colOff>228600</xdr:colOff>
      <xdr:row>184</xdr:row>
      <xdr:rowOff>209550</xdr:rowOff>
    </xdr:to>
    <xdr:sp macro="" textlink="">
      <xdr:nvSpPr>
        <xdr:cNvPr id="45" name="Rectangle 17"/>
        <xdr:cNvSpPr>
          <a:spLocks noChangeArrowheads="1"/>
        </xdr:cNvSpPr>
      </xdr:nvSpPr>
      <xdr:spPr bwMode="auto">
        <a:xfrm>
          <a:off x="4324350" y="255079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185</xdr:row>
      <xdr:rowOff>57150</xdr:rowOff>
    </xdr:from>
    <xdr:to>
      <xdr:col>6</xdr:col>
      <xdr:colOff>219075</xdr:colOff>
      <xdr:row>185</xdr:row>
      <xdr:rowOff>219075</xdr:rowOff>
    </xdr:to>
    <xdr:sp macro="" textlink="">
      <xdr:nvSpPr>
        <xdr:cNvPr id="46" name="Rectangle 18"/>
        <xdr:cNvSpPr>
          <a:spLocks noChangeArrowheads="1"/>
        </xdr:cNvSpPr>
      </xdr:nvSpPr>
      <xdr:spPr bwMode="auto">
        <a:xfrm>
          <a:off x="2381250" y="257651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185</xdr:row>
      <xdr:rowOff>47625</xdr:rowOff>
    </xdr:from>
    <xdr:to>
      <xdr:col>13</xdr:col>
      <xdr:colOff>228600</xdr:colOff>
      <xdr:row>185</xdr:row>
      <xdr:rowOff>209550</xdr:rowOff>
    </xdr:to>
    <xdr:sp macro="" textlink="">
      <xdr:nvSpPr>
        <xdr:cNvPr id="47" name="Rectangle 19"/>
        <xdr:cNvSpPr>
          <a:spLocks noChangeArrowheads="1"/>
        </xdr:cNvSpPr>
      </xdr:nvSpPr>
      <xdr:spPr bwMode="auto">
        <a:xfrm>
          <a:off x="4324350" y="257556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186</xdr:row>
      <xdr:rowOff>57150</xdr:rowOff>
    </xdr:from>
    <xdr:to>
      <xdr:col>6</xdr:col>
      <xdr:colOff>219075</xdr:colOff>
      <xdr:row>186</xdr:row>
      <xdr:rowOff>219075</xdr:rowOff>
    </xdr:to>
    <xdr:sp macro="" textlink="">
      <xdr:nvSpPr>
        <xdr:cNvPr id="48" name="Rectangle 20"/>
        <xdr:cNvSpPr>
          <a:spLocks noChangeArrowheads="1"/>
        </xdr:cNvSpPr>
      </xdr:nvSpPr>
      <xdr:spPr bwMode="auto">
        <a:xfrm>
          <a:off x="2381250" y="260127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186</xdr:row>
      <xdr:rowOff>47625</xdr:rowOff>
    </xdr:from>
    <xdr:to>
      <xdr:col>13</xdr:col>
      <xdr:colOff>228600</xdr:colOff>
      <xdr:row>186</xdr:row>
      <xdr:rowOff>209550</xdr:rowOff>
    </xdr:to>
    <xdr:sp macro="" textlink="">
      <xdr:nvSpPr>
        <xdr:cNvPr id="49" name="Rectangle 21"/>
        <xdr:cNvSpPr>
          <a:spLocks noChangeArrowheads="1"/>
        </xdr:cNvSpPr>
      </xdr:nvSpPr>
      <xdr:spPr bwMode="auto">
        <a:xfrm>
          <a:off x="4324350" y="260032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47625</xdr:colOff>
      <xdr:row>29</xdr:row>
      <xdr:rowOff>57150</xdr:rowOff>
    </xdr:from>
    <xdr:to>
      <xdr:col>6</xdr:col>
      <xdr:colOff>219075</xdr:colOff>
      <xdr:row>29</xdr:row>
      <xdr:rowOff>219075</xdr:rowOff>
    </xdr:to>
    <xdr:sp macro="" textlink="">
      <xdr:nvSpPr>
        <xdr:cNvPr id="2" name="Rectangle 9"/>
        <xdr:cNvSpPr>
          <a:spLocks noChangeArrowheads="1"/>
        </xdr:cNvSpPr>
      </xdr:nvSpPr>
      <xdr:spPr bwMode="auto">
        <a:xfrm>
          <a:off x="2381250" y="56864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29</xdr:row>
      <xdr:rowOff>47625</xdr:rowOff>
    </xdr:from>
    <xdr:to>
      <xdr:col>13</xdr:col>
      <xdr:colOff>228600</xdr:colOff>
      <xdr:row>29</xdr:row>
      <xdr:rowOff>209550</xdr:rowOff>
    </xdr:to>
    <xdr:sp macro="" textlink="">
      <xdr:nvSpPr>
        <xdr:cNvPr id="3" name="Rectangle 10"/>
        <xdr:cNvSpPr>
          <a:spLocks noChangeArrowheads="1"/>
        </xdr:cNvSpPr>
      </xdr:nvSpPr>
      <xdr:spPr bwMode="auto">
        <a:xfrm>
          <a:off x="4324350" y="56769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30</xdr:row>
      <xdr:rowOff>57150</xdr:rowOff>
    </xdr:from>
    <xdr:to>
      <xdr:col>6</xdr:col>
      <xdr:colOff>219075</xdr:colOff>
      <xdr:row>30</xdr:row>
      <xdr:rowOff>219075</xdr:rowOff>
    </xdr:to>
    <xdr:sp macro="" textlink="">
      <xdr:nvSpPr>
        <xdr:cNvPr id="4" name="Rectangle 12"/>
        <xdr:cNvSpPr>
          <a:spLocks noChangeArrowheads="1"/>
        </xdr:cNvSpPr>
      </xdr:nvSpPr>
      <xdr:spPr bwMode="auto">
        <a:xfrm>
          <a:off x="2381250" y="59340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30</xdr:row>
      <xdr:rowOff>47625</xdr:rowOff>
    </xdr:from>
    <xdr:to>
      <xdr:col>13</xdr:col>
      <xdr:colOff>228600</xdr:colOff>
      <xdr:row>30</xdr:row>
      <xdr:rowOff>209550</xdr:rowOff>
    </xdr:to>
    <xdr:sp macro="" textlink="">
      <xdr:nvSpPr>
        <xdr:cNvPr id="5" name="Rectangle 13"/>
        <xdr:cNvSpPr>
          <a:spLocks noChangeArrowheads="1"/>
        </xdr:cNvSpPr>
      </xdr:nvSpPr>
      <xdr:spPr bwMode="auto">
        <a:xfrm>
          <a:off x="4324350" y="59245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31</xdr:row>
      <xdr:rowOff>57150</xdr:rowOff>
    </xdr:from>
    <xdr:to>
      <xdr:col>6</xdr:col>
      <xdr:colOff>219075</xdr:colOff>
      <xdr:row>31</xdr:row>
      <xdr:rowOff>219075</xdr:rowOff>
    </xdr:to>
    <xdr:sp macro="" textlink="">
      <xdr:nvSpPr>
        <xdr:cNvPr id="6" name="Rectangle 14"/>
        <xdr:cNvSpPr>
          <a:spLocks noChangeArrowheads="1"/>
        </xdr:cNvSpPr>
      </xdr:nvSpPr>
      <xdr:spPr bwMode="auto">
        <a:xfrm>
          <a:off x="2381250" y="61817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31</xdr:row>
      <xdr:rowOff>47625</xdr:rowOff>
    </xdr:from>
    <xdr:to>
      <xdr:col>13</xdr:col>
      <xdr:colOff>228600</xdr:colOff>
      <xdr:row>31</xdr:row>
      <xdr:rowOff>209550</xdr:rowOff>
    </xdr:to>
    <xdr:sp macro="" textlink="">
      <xdr:nvSpPr>
        <xdr:cNvPr id="7" name="Rectangle 15"/>
        <xdr:cNvSpPr>
          <a:spLocks noChangeArrowheads="1"/>
        </xdr:cNvSpPr>
      </xdr:nvSpPr>
      <xdr:spPr bwMode="auto">
        <a:xfrm>
          <a:off x="4324350" y="61722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32</xdr:row>
      <xdr:rowOff>57150</xdr:rowOff>
    </xdr:from>
    <xdr:to>
      <xdr:col>6</xdr:col>
      <xdr:colOff>219075</xdr:colOff>
      <xdr:row>32</xdr:row>
      <xdr:rowOff>219075</xdr:rowOff>
    </xdr:to>
    <xdr:sp macro="" textlink="">
      <xdr:nvSpPr>
        <xdr:cNvPr id="8" name="Rectangle 16"/>
        <xdr:cNvSpPr>
          <a:spLocks noChangeArrowheads="1"/>
        </xdr:cNvSpPr>
      </xdr:nvSpPr>
      <xdr:spPr bwMode="auto">
        <a:xfrm>
          <a:off x="2381250" y="64293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32</xdr:row>
      <xdr:rowOff>47625</xdr:rowOff>
    </xdr:from>
    <xdr:to>
      <xdr:col>13</xdr:col>
      <xdr:colOff>228600</xdr:colOff>
      <xdr:row>32</xdr:row>
      <xdr:rowOff>209550</xdr:rowOff>
    </xdr:to>
    <xdr:sp macro="" textlink="">
      <xdr:nvSpPr>
        <xdr:cNvPr id="9" name="Rectangle 17"/>
        <xdr:cNvSpPr>
          <a:spLocks noChangeArrowheads="1"/>
        </xdr:cNvSpPr>
      </xdr:nvSpPr>
      <xdr:spPr bwMode="auto">
        <a:xfrm>
          <a:off x="4324350" y="64198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33</xdr:row>
      <xdr:rowOff>57150</xdr:rowOff>
    </xdr:from>
    <xdr:to>
      <xdr:col>6</xdr:col>
      <xdr:colOff>219075</xdr:colOff>
      <xdr:row>33</xdr:row>
      <xdr:rowOff>219075</xdr:rowOff>
    </xdr:to>
    <xdr:sp macro="" textlink="">
      <xdr:nvSpPr>
        <xdr:cNvPr id="10" name="Rectangle 18"/>
        <xdr:cNvSpPr>
          <a:spLocks noChangeArrowheads="1"/>
        </xdr:cNvSpPr>
      </xdr:nvSpPr>
      <xdr:spPr bwMode="auto">
        <a:xfrm>
          <a:off x="2381250" y="66770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33</xdr:row>
      <xdr:rowOff>47625</xdr:rowOff>
    </xdr:from>
    <xdr:to>
      <xdr:col>13</xdr:col>
      <xdr:colOff>228600</xdr:colOff>
      <xdr:row>33</xdr:row>
      <xdr:rowOff>209550</xdr:rowOff>
    </xdr:to>
    <xdr:sp macro="" textlink="">
      <xdr:nvSpPr>
        <xdr:cNvPr id="11" name="Rectangle 19"/>
        <xdr:cNvSpPr>
          <a:spLocks noChangeArrowheads="1"/>
        </xdr:cNvSpPr>
      </xdr:nvSpPr>
      <xdr:spPr bwMode="auto">
        <a:xfrm>
          <a:off x="4324350" y="66675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34</xdr:row>
      <xdr:rowOff>57150</xdr:rowOff>
    </xdr:from>
    <xdr:to>
      <xdr:col>6</xdr:col>
      <xdr:colOff>219075</xdr:colOff>
      <xdr:row>34</xdr:row>
      <xdr:rowOff>219075</xdr:rowOff>
    </xdr:to>
    <xdr:sp macro="" textlink="">
      <xdr:nvSpPr>
        <xdr:cNvPr id="12" name="Rectangle 20"/>
        <xdr:cNvSpPr>
          <a:spLocks noChangeArrowheads="1"/>
        </xdr:cNvSpPr>
      </xdr:nvSpPr>
      <xdr:spPr bwMode="auto">
        <a:xfrm>
          <a:off x="2381250" y="69246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34</xdr:row>
      <xdr:rowOff>47625</xdr:rowOff>
    </xdr:from>
    <xdr:to>
      <xdr:col>13</xdr:col>
      <xdr:colOff>228600</xdr:colOff>
      <xdr:row>34</xdr:row>
      <xdr:rowOff>209550</xdr:rowOff>
    </xdr:to>
    <xdr:sp macro="" textlink="">
      <xdr:nvSpPr>
        <xdr:cNvPr id="13" name="Rectangle 21"/>
        <xdr:cNvSpPr>
          <a:spLocks noChangeArrowheads="1"/>
        </xdr:cNvSpPr>
      </xdr:nvSpPr>
      <xdr:spPr bwMode="auto">
        <a:xfrm>
          <a:off x="4324350" y="69151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80</xdr:row>
      <xdr:rowOff>57150</xdr:rowOff>
    </xdr:from>
    <xdr:to>
      <xdr:col>6</xdr:col>
      <xdr:colOff>219075</xdr:colOff>
      <xdr:row>80</xdr:row>
      <xdr:rowOff>219075</xdr:rowOff>
    </xdr:to>
    <xdr:sp macro="" textlink="">
      <xdr:nvSpPr>
        <xdr:cNvPr id="14" name="Rectangle 9"/>
        <xdr:cNvSpPr>
          <a:spLocks noChangeArrowheads="1"/>
        </xdr:cNvSpPr>
      </xdr:nvSpPr>
      <xdr:spPr bwMode="auto">
        <a:xfrm>
          <a:off x="2381250" y="152304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80</xdr:row>
      <xdr:rowOff>47625</xdr:rowOff>
    </xdr:from>
    <xdr:to>
      <xdr:col>13</xdr:col>
      <xdr:colOff>228600</xdr:colOff>
      <xdr:row>80</xdr:row>
      <xdr:rowOff>209550</xdr:rowOff>
    </xdr:to>
    <xdr:sp macro="" textlink="">
      <xdr:nvSpPr>
        <xdr:cNvPr id="15" name="Rectangle 10"/>
        <xdr:cNvSpPr>
          <a:spLocks noChangeArrowheads="1"/>
        </xdr:cNvSpPr>
      </xdr:nvSpPr>
      <xdr:spPr bwMode="auto">
        <a:xfrm>
          <a:off x="4324350" y="152209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81</xdr:row>
      <xdr:rowOff>57150</xdr:rowOff>
    </xdr:from>
    <xdr:to>
      <xdr:col>6</xdr:col>
      <xdr:colOff>219075</xdr:colOff>
      <xdr:row>81</xdr:row>
      <xdr:rowOff>219075</xdr:rowOff>
    </xdr:to>
    <xdr:sp macro="" textlink="">
      <xdr:nvSpPr>
        <xdr:cNvPr id="16" name="Rectangle 12"/>
        <xdr:cNvSpPr>
          <a:spLocks noChangeArrowheads="1"/>
        </xdr:cNvSpPr>
      </xdr:nvSpPr>
      <xdr:spPr bwMode="auto">
        <a:xfrm>
          <a:off x="2381250" y="154781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81</xdr:row>
      <xdr:rowOff>47625</xdr:rowOff>
    </xdr:from>
    <xdr:to>
      <xdr:col>13</xdr:col>
      <xdr:colOff>228600</xdr:colOff>
      <xdr:row>81</xdr:row>
      <xdr:rowOff>209550</xdr:rowOff>
    </xdr:to>
    <xdr:sp macro="" textlink="">
      <xdr:nvSpPr>
        <xdr:cNvPr id="17" name="Rectangle 13"/>
        <xdr:cNvSpPr>
          <a:spLocks noChangeArrowheads="1"/>
        </xdr:cNvSpPr>
      </xdr:nvSpPr>
      <xdr:spPr bwMode="auto">
        <a:xfrm>
          <a:off x="4324350" y="154686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82</xdr:row>
      <xdr:rowOff>57150</xdr:rowOff>
    </xdr:from>
    <xdr:to>
      <xdr:col>6</xdr:col>
      <xdr:colOff>219075</xdr:colOff>
      <xdr:row>82</xdr:row>
      <xdr:rowOff>219075</xdr:rowOff>
    </xdr:to>
    <xdr:sp macro="" textlink="">
      <xdr:nvSpPr>
        <xdr:cNvPr id="18" name="Rectangle 14"/>
        <xdr:cNvSpPr>
          <a:spLocks noChangeArrowheads="1"/>
        </xdr:cNvSpPr>
      </xdr:nvSpPr>
      <xdr:spPr bwMode="auto">
        <a:xfrm>
          <a:off x="2381250" y="157257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82</xdr:row>
      <xdr:rowOff>47625</xdr:rowOff>
    </xdr:from>
    <xdr:to>
      <xdr:col>13</xdr:col>
      <xdr:colOff>228600</xdr:colOff>
      <xdr:row>82</xdr:row>
      <xdr:rowOff>209550</xdr:rowOff>
    </xdr:to>
    <xdr:sp macro="" textlink="">
      <xdr:nvSpPr>
        <xdr:cNvPr id="19" name="Rectangle 15"/>
        <xdr:cNvSpPr>
          <a:spLocks noChangeArrowheads="1"/>
        </xdr:cNvSpPr>
      </xdr:nvSpPr>
      <xdr:spPr bwMode="auto">
        <a:xfrm>
          <a:off x="4324350" y="157162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83</xdr:row>
      <xdr:rowOff>57150</xdr:rowOff>
    </xdr:from>
    <xdr:to>
      <xdr:col>6</xdr:col>
      <xdr:colOff>219075</xdr:colOff>
      <xdr:row>83</xdr:row>
      <xdr:rowOff>219075</xdr:rowOff>
    </xdr:to>
    <xdr:sp macro="" textlink="">
      <xdr:nvSpPr>
        <xdr:cNvPr id="20" name="Rectangle 16"/>
        <xdr:cNvSpPr>
          <a:spLocks noChangeArrowheads="1"/>
        </xdr:cNvSpPr>
      </xdr:nvSpPr>
      <xdr:spPr bwMode="auto">
        <a:xfrm>
          <a:off x="2381250" y="159734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83</xdr:row>
      <xdr:rowOff>47625</xdr:rowOff>
    </xdr:from>
    <xdr:to>
      <xdr:col>13</xdr:col>
      <xdr:colOff>228600</xdr:colOff>
      <xdr:row>83</xdr:row>
      <xdr:rowOff>209550</xdr:rowOff>
    </xdr:to>
    <xdr:sp macro="" textlink="">
      <xdr:nvSpPr>
        <xdr:cNvPr id="21" name="Rectangle 17"/>
        <xdr:cNvSpPr>
          <a:spLocks noChangeArrowheads="1"/>
        </xdr:cNvSpPr>
      </xdr:nvSpPr>
      <xdr:spPr bwMode="auto">
        <a:xfrm>
          <a:off x="4324350" y="159639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84</xdr:row>
      <xdr:rowOff>57150</xdr:rowOff>
    </xdr:from>
    <xdr:to>
      <xdr:col>6</xdr:col>
      <xdr:colOff>219075</xdr:colOff>
      <xdr:row>84</xdr:row>
      <xdr:rowOff>219075</xdr:rowOff>
    </xdr:to>
    <xdr:sp macro="" textlink="">
      <xdr:nvSpPr>
        <xdr:cNvPr id="22" name="Rectangle 18"/>
        <xdr:cNvSpPr>
          <a:spLocks noChangeArrowheads="1"/>
        </xdr:cNvSpPr>
      </xdr:nvSpPr>
      <xdr:spPr bwMode="auto">
        <a:xfrm>
          <a:off x="2381250" y="162210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84</xdr:row>
      <xdr:rowOff>47625</xdr:rowOff>
    </xdr:from>
    <xdr:to>
      <xdr:col>13</xdr:col>
      <xdr:colOff>228600</xdr:colOff>
      <xdr:row>84</xdr:row>
      <xdr:rowOff>209550</xdr:rowOff>
    </xdr:to>
    <xdr:sp macro="" textlink="">
      <xdr:nvSpPr>
        <xdr:cNvPr id="23" name="Rectangle 19"/>
        <xdr:cNvSpPr>
          <a:spLocks noChangeArrowheads="1"/>
        </xdr:cNvSpPr>
      </xdr:nvSpPr>
      <xdr:spPr bwMode="auto">
        <a:xfrm>
          <a:off x="4324350" y="162115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85</xdr:row>
      <xdr:rowOff>57150</xdr:rowOff>
    </xdr:from>
    <xdr:to>
      <xdr:col>6</xdr:col>
      <xdr:colOff>219075</xdr:colOff>
      <xdr:row>85</xdr:row>
      <xdr:rowOff>219075</xdr:rowOff>
    </xdr:to>
    <xdr:sp macro="" textlink="">
      <xdr:nvSpPr>
        <xdr:cNvPr id="24" name="Rectangle 20"/>
        <xdr:cNvSpPr>
          <a:spLocks noChangeArrowheads="1"/>
        </xdr:cNvSpPr>
      </xdr:nvSpPr>
      <xdr:spPr bwMode="auto">
        <a:xfrm>
          <a:off x="2381250" y="164687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85</xdr:row>
      <xdr:rowOff>47625</xdr:rowOff>
    </xdr:from>
    <xdr:to>
      <xdr:col>13</xdr:col>
      <xdr:colOff>228600</xdr:colOff>
      <xdr:row>85</xdr:row>
      <xdr:rowOff>209550</xdr:rowOff>
    </xdr:to>
    <xdr:sp macro="" textlink="">
      <xdr:nvSpPr>
        <xdr:cNvPr id="25" name="Rectangle 21"/>
        <xdr:cNvSpPr>
          <a:spLocks noChangeArrowheads="1"/>
        </xdr:cNvSpPr>
      </xdr:nvSpPr>
      <xdr:spPr bwMode="auto">
        <a:xfrm>
          <a:off x="4324350" y="164592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131</xdr:row>
      <xdr:rowOff>57150</xdr:rowOff>
    </xdr:from>
    <xdr:to>
      <xdr:col>6</xdr:col>
      <xdr:colOff>219075</xdr:colOff>
      <xdr:row>131</xdr:row>
      <xdr:rowOff>219075</xdr:rowOff>
    </xdr:to>
    <xdr:sp macro="" textlink="">
      <xdr:nvSpPr>
        <xdr:cNvPr id="26" name="Rectangle 9"/>
        <xdr:cNvSpPr>
          <a:spLocks noChangeArrowheads="1"/>
        </xdr:cNvSpPr>
      </xdr:nvSpPr>
      <xdr:spPr bwMode="auto">
        <a:xfrm>
          <a:off x="2381250" y="247745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131</xdr:row>
      <xdr:rowOff>47625</xdr:rowOff>
    </xdr:from>
    <xdr:to>
      <xdr:col>13</xdr:col>
      <xdr:colOff>228600</xdr:colOff>
      <xdr:row>131</xdr:row>
      <xdr:rowOff>209550</xdr:rowOff>
    </xdr:to>
    <xdr:sp macro="" textlink="">
      <xdr:nvSpPr>
        <xdr:cNvPr id="27" name="Rectangle 10"/>
        <xdr:cNvSpPr>
          <a:spLocks noChangeArrowheads="1"/>
        </xdr:cNvSpPr>
      </xdr:nvSpPr>
      <xdr:spPr bwMode="auto">
        <a:xfrm>
          <a:off x="4324350" y="247650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132</xdr:row>
      <xdr:rowOff>57150</xdr:rowOff>
    </xdr:from>
    <xdr:to>
      <xdr:col>6</xdr:col>
      <xdr:colOff>219075</xdr:colOff>
      <xdr:row>132</xdr:row>
      <xdr:rowOff>219075</xdr:rowOff>
    </xdr:to>
    <xdr:sp macro="" textlink="">
      <xdr:nvSpPr>
        <xdr:cNvPr id="28" name="Rectangle 12"/>
        <xdr:cNvSpPr>
          <a:spLocks noChangeArrowheads="1"/>
        </xdr:cNvSpPr>
      </xdr:nvSpPr>
      <xdr:spPr bwMode="auto">
        <a:xfrm>
          <a:off x="2381250" y="250221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132</xdr:row>
      <xdr:rowOff>47625</xdr:rowOff>
    </xdr:from>
    <xdr:to>
      <xdr:col>13</xdr:col>
      <xdr:colOff>228600</xdr:colOff>
      <xdr:row>132</xdr:row>
      <xdr:rowOff>209550</xdr:rowOff>
    </xdr:to>
    <xdr:sp macro="" textlink="">
      <xdr:nvSpPr>
        <xdr:cNvPr id="29" name="Rectangle 13"/>
        <xdr:cNvSpPr>
          <a:spLocks noChangeArrowheads="1"/>
        </xdr:cNvSpPr>
      </xdr:nvSpPr>
      <xdr:spPr bwMode="auto">
        <a:xfrm>
          <a:off x="4324350" y="250126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133</xdr:row>
      <xdr:rowOff>57150</xdr:rowOff>
    </xdr:from>
    <xdr:to>
      <xdr:col>6</xdr:col>
      <xdr:colOff>219075</xdr:colOff>
      <xdr:row>133</xdr:row>
      <xdr:rowOff>219075</xdr:rowOff>
    </xdr:to>
    <xdr:sp macro="" textlink="">
      <xdr:nvSpPr>
        <xdr:cNvPr id="30" name="Rectangle 14"/>
        <xdr:cNvSpPr>
          <a:spLocks noChangeArrowheads="1"/>
        </xdr:cNvSpPr>
      </xdr:nvSpPr>
      <xdr:spPr bwMode="auto">
        <a:xfrm>
          <a:off x="2381250" y="252698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133</xdr:row>
      <xdr:rowOff>47625</xdr:rowOff>
    </xdr:from>
    <xdr:to>
      <xdr:col>13</xdr:col>
      <xdr:colOff>228600</xdr:colOff>
      <xdr:row>133</xdr:row>
      <xdr:rowOff>209550</xdr:rowOff>
    </xdr:to>
    <xdr:sp macro="" textlink="">
      <xdr:nvSpPr>
        <xdr:cNvPr id="31" name="Rectangle 15"/>
        <xdr:cNvSpPr>
          <a:spLocks noChangeArrowheads="1"/>
        </xdr:cNvSpPr>
      </xdr:nvSpPr>
      <xdr:spPr bwMode="auto">
        <a:xfrm>
          <a:off x="4324350" y="252603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134</xdr:row>
      <xdr:rowOff>57150</xdr:rowOff>
    </xdr:from>
    <xdr:to>
      <xdr:col>6</xdr:col>
      <xdr:colOff>219075</xdr:colOff>
      <xdr:row>134</xdr:row>
      <xdr:rowOff>219075</xdr:rowOff>
    </xdr:to>
    <xdr:sp macro="" textlink="">
      <xdr:nvSpPr>
        <xdr:cNvPr id="32" name="Rectangle 16"/>
        <xdr:cNvSpPr>
          <a:spLocks noChangeArrowheads="1"/>
        </xdr:cNvSpPr>
      </xdr:nvSpPr>
      <xdr:spPr bwMode="auto">
        <a:xfrm>
          <a:off x="2381250" y="255174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134</xdr:row>
      <xdr:rowOff>47625</xdr:rowOff>
    </xdr:from>
    <xdr:to>
      <xdr:col>13</xdr:col>
      <xdr:colOff>228600</xdr:colOff>
      <xdr:row>134</xdr:row>
      <xdr:rowOff>209550</xdr:rowOff>
    </xdr:to>
    <xdr:sp macro="" textlink="">
      <xdr:nvSpPr>
        <xdr:cNvPr id="33" name="Rectangle 17"/>
        <xdr:cNvSpPr>
          <a:spLocks noChangeArrowheads="1"/>
        </xdr:cNvSpPr>
      </xdr:nvSpPr>
      <xdr:spPr bwMode="auto">
        <a:xfrm>
          <a:off x="4324350" y="255079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135</xdr:row>
      <xdr:rowOff>57150</xdr:rowOff>
    </xdr:from>
    <xdr:to>
      <xdr:col>6</xdr:col>
      <xdr:colOff>219075</xdr:colOff>
      <xdr:row>135</xdr:row>
      <xdr:rowOff>219075</xdr:rowOff>
    </xdr:to>
    <xdr:sp macro="" textlink="">
      <xdr:nvSpPr>
        <xdr:cNvPr id="34" name="Rectangle 18"/>
        <xdr:cNvSpPr>
          <a:spLocks noChangeArrowheads="1"/>
        </xdr:cNvSpPr>
      </xdr:nvSpPr>
      <xdr:spPr bwMode="auto">
        <a:xfrm>
          <a:off x="2381250" y="2576512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135</xdr:row>
      <xdr:rowOff>47625</xdr:rowOff>
    </xdr:from>
    <xdr:to>
      <xdr:col>13</xdr:col>
      <xdr:colOff>228600</xdr:colOff>
      <xdr:row>135</xdr:row>
      <xdr:rowOff>209550</xdr:rowOff>
    </xdr:to>
    <xdr:sp macro="" textlink="">
      <xdr:nvSpPr>
        <xdr:cNvPr id="35" name="Rectangle 19"/>
        <xdr:cNvSpPr>
          <a:spLocks noChangeArrowheads="1"/>
        </xdr:cNvSpPr>
      </xdr:nvSpPr>
      <xdr:spPr bwMode="auto">
        <a:xfrm>
          <a:off x="4324350" y="2575560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136</xdr:row>
      <xdr:rowOff>57150</xdr:rowOff>
    </xdr:from>
    <xdr:to>
      <xdr:col>6</xdr:col>
      <xdr:colOff>219075</xdr:colOff>
      <xdr:row>136</xdr:row>
      <xdr:rowOff>219075</xdr:rowOff>
    </xdr:to>
    <xdr:sp macro="" textlink="">
      <xdr:nvSpPr>
        <xdr:cNvPr id="36" name="Rectangle 20"/>
        <xdr:cNvSpPr>
          <a:spLocks noChangeArrowheads="1"/>
        </xdr:cNvSpPr>
      </xdr:nvSpPr>
      <xdr:spPr bwMode="auto">
        <a:xfrm>
          <a:off x="2381250" y="26012775"/>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136</xdr:row>
      <xdr:rowOff>47625</xdr:rowOff>
    </xdr:from>
    <xdr:to>
      <xdr:col>13</xdr:col>
      <xdr:colOff>228600</xdr:colOff>
      <xdr:row>136</xdr:row>
      <xdr:rowOff>209550</xdr:rowOff>
    </xdr:to>
    <xdr:sp macro="" textlink="">
      <xdr:nvSpPr>
        <xdr:cNvPr id="37" name="Rectangle 21"/>
        <xdr:cNvSpPr>
          <a:spLocks noChangeArrowheads="1"/>
        </xdr:cNvSpPr>
      </xdr:nvSpPr>
      <xdr:spPr bwMode="auto">
        <a:xfrm>
          <a:off x="4324350" y="26003250"/>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181</xdr:row>
      <xdr:rowOff>57150</xdr:rowOff>
    </xdr:from>
    <xdr:to>
      <xdr:col>6</xdr:col>
      <xdr:colOff>219075</xdr:colOff>
      <xdr:row>181</xdr:row>
      <xdr:rowOff>219075</xdr:rowOff>
    </xdr:to>
    <xdr:sp macro="" textlink="">
      <xdr:nvSpPr>
        <xdr:cNvPr id="38" name="Rectangle 9"/>
        <xdr:cNvSpPr>
          <a:spLocks noChangeArrowheads="1"/>
        </xdr:cNvSpPr>
      </xdr:nvSpPr>
      <xdr:spPr bwMode="auto">
        <a:xfrm>
          <a:off x="2381250" y="344233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181</xdr:row>
      <xdr:rowOff>47625</xdr:rowOff>
    </xdr:from>
    <xdr:to>
      <xdr:col>13</xdr:col>
      <xdr:colOff>228600</xdr:colOff>
      <xdr:row>181</xdr:row>
      <xdr:rowOff>209550</xdr:rowOff>
    </xdr:to>
    <xdr:sp macro="" textlink="">
      <xdr:nvSpPr>
        <xdr:cNvPr id="39" name="Rectangle 10"/>
        <xdr:cNvSpPr>
          <a:spLocks noChangeArrowheads="1"/>
        </xdr:cNvSpPr>
      </xdr:nvSpPr>
      <xdr:spPr bwMode="auto">
        <a:xfrm>
          <a:off x="4324350" y="344138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182</xdr:row>
      <xdr:rowOff>57150</xdr:rowOff>
    </xdr:from>
    <xdr:to>
      <xdr:col>6</xdr:col>
      <xdr:colOff>219075</xdr:colOff>
      <xdr:row>182</xdr:row>
      <xdr:rowOff>219075</xdr:rowOff>
    </xdr:to>
    <xdr:sp macro="" textlink="">
      <xdr:nvSpPr>
        <xdr:cNvPr id="40" name="Rectangle 12"/>
        <xdr:cNvSpPr>
          <a:spLocks noChangeArrowheads="1"/>
        </xdr:cNvSpPr>
      </xdr:nvSpPr>
      <xdr:spPr bwMode="auto">
        <a:xfrm>
          <a:off x="2381250" y="346710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182</xdr:row>
      <xdr:rowOff>47625</xdr:rowOff>
    </xdr:from>
    <xdr:to>
      <xdr:col>13</xdr:col>
      <xdr:colOff>228600</xdr:colOff>
      <xdr:row>182</xdr:row>
      <xdr:rowOff>209550</xdr:rowOff>
    </xdr:to>
    <xdr:sp macro="" textlink="">
      <xdr:nvSpPr>
        <xdr:cNvPr id="41" name="Rectangle 13"/>
        <xdr:cNvSpPr>
          <a:spLocks noChangeArrowheads="1"/>
        </xdr:cNvSpPr>
      </xdr:nvSpPr>
      <xdr:spPr bwMode="auto">
        <a:xfrm>
          <a:off x="4324350" y="346614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183</xdr:row>
      <xdr:rowOff>57150</xdr:rowOff>
    </xdr:from>
    <xdr:to>
      <xdr:col>6</xdr:col>
      <xdr:colOff>219075</xdr:colOff>
      <xdr:row>183</xdr:row>
      <xdr:rowOff>219075</xdr:rowOff>
    </xdr:to>
    <xdr:sp macro="" textlink="">
      <xdr:nvSpPr>
        <xdr:cNvPr id="42" name="Rectangle 14"/>
        <xdr:cNvSpPr>
          <a:spLocks noChangeArrowheads="1"/>
        </xdr:cNvSpPr>
      </xdr:nvSpPr>
      <xdr:spPr bwMode="auto">
        <a:xfrm>
          <a:off x="2381250" y="349186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183</xdr:row>
      <xdr:rowOff>47625</xdr:rowOff>
    </xdr:from>
    <xdr:to>
      <xdr:col>13</xdr:col>
      <xdr:colOff>228600</xdr:colOff>
      <xdr:row>183</xdr:row>
      <xdr:rowOff>209550</xdr:rowOff>
    </xdr:to>
    <xdr:sp macro="" textlink="">
      <xdr:nvSpPr>
        <xdr:cNvPr id="43" name="Rectangle 15"/>
        <xdr:cNvSpPr>
          <a:spLocks noChangeArrowheads="1"/>
        </xdr:cNvSpPr>
      </xdr:nvSpPr>
      <xdr:spPr bwMode="auto">
        <a:xfrm>
          <a:off x="4324350" y="349091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184</xdr:row>
      <xdr:rowOff>57150</xdr:rowOff>
    </xdr:from>
    <xdr:to>
      <xdr:col>6</xdr:col>
      <xdr:colOff>219075</xdr:colOff>
      <xdr:row>184</xdr:row>
      <xdr:rowOff>219075</xdr:rowOff>
    </xdr:to>
    <xdr:sp macro="" textlink="">
      <xdr:nvSpPr>
        <xdr:cNvPr id="44" name="Rectangle 16"/>
        <xdr:cNvSpPr>
          <a:spLocks noChangeArrowheads="1"/>
        </xdr:cNvSpPr>
      </xdr:nvSpPr>
      <xdr:spPr bwMode="auto">
        <a:xfrm>
          <a:off x="2381250" y="351663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184</xdr:row>
      <xdr:rowOff>47625</xdr:rowOff>
    </xdr:from>
    <xdr:to>
      <xdr:col>13</xdr:col>
      <xdr:colOff>228600</xdr:colOff>
      <xdr:row>184</xdr:row>
      <xdr:rowOff>209550</xdr:rowOff>
    </xdr:to>
    <xdr:sp macro="" textlink="">
      <xdr:nvSpPr>
        <xdr:cNvPr id="45" name="Rectangle 17"/>
        <xdr:cNvSpPr>
          <a:spLocks noChangeArrowheads="1"/>
        </xdr:cNvSpPr>
      </xdr:nvSpPr>
      <xdr:spPr bwMode="auto">
        <a:xfrm>
          <a:off x="4324350" y="351567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185</xdr:row>
      <xdr:rowOff>57150</xdr:rowOff>
    </xdr:from>
    <xdr:to>
      <xdr:col>6</xdr:col>
      <xdr:colOff>219075</xdr:colOff>
      <xdr:row>185</xdr:row>
      <xdr:rowOff>219075</xdr:rowOff>
    </xdr:to>
    <xdr:sp macro="" textlink="">
      <xdr:nvSpPr>
        <xdr:cNvPr id="46" name="Rectangle 18"/>
        <xdr:cNvSpPr>
          <a:spLocks noChangeArrowheads="1"/>
        </xdr:cNvSpPr>
      </xdr:nvSpPr>
      <xdr:spPr bwMode="auto">
        <a:xfrm>
          <a:off x="2381250" y="3541395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185</xdr:row>
      <xdr:rowOff>47625</xdr:rowOff>
    </xdr:from>
    <xdr:to>
      <xdr:col>13</xdr:col>
      <xdr:colOff>228600</xdr:colOff>
      <xdr:row>185</xdr:row>
      <xdr:rowOff>209550</xdr:rowOff>
    </xdr:to>
    <xdr:sp macro="" textlink="">
      <xdr:nvSpPr>
        <xdr:cNvPr id="47" name="Rectangle 19"/>
        <xdr:cNvSpPr>
          <a:spLocks noChangeArrowheads="1"/>
        </xdr:cNvSpPr>
      </xdr:nvSpPr>
      <xdr:spPr bwMode="auto">
        <a:xfrm>
          <a:off x="4324350" y="3540442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47625</xdr:colOff>
      <xdr:row>186</xdr:row>
      <xdr:rowOff>57150</xdr:rowOff>
    </xdr:from>
    <xdr:to>
      <xdr:col>6</xdr:col>
      <xdr:colOff>219075</xdr:colOff>
      <xdr:row>186</xdr:row>
      <xdr:rowOff>219075</xdr:rowOff>
    </xdr:to>
    <xdr:sp macro="" textlink="">
      <xdr:nvSpPr>
        <xdr:cNvPr id="48" name="Rectangle 20"/>
        <xdr:cNvSpPr>
          <a:spLocks noChangeArrowheads="1"/>
        </xdr:cNvSpPr>
      </xdr:nvSpPr>
      <xdr:spPr bwMode="auto">
        <a:xfrm>
          <a:off x="2381250" y="35661600"/>
          <a:ext cx="171450" cy="161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13</xdr:col>
      <xdr:colOff>57150</xdr:colOff>
      <xdr:row>186</xdr:row>
      <xdr:rowOff>47625</xdr:rowOff>
    </xdr:from>
    <xdr:to>
      <xdr:col>13</xdr:col>
      <xdr:colOff>228600</xdr:colOff>
      <xdr:row>186</xdr:row>
      <xdr:rowOff>209550</xdr:rowOff>
    </xdr:to>
    <xdr:sp macro="" textlink="">
      <xdr:nvSpPr>
        <xdr:cNvPr id="49" name="Rectangle 21"/>
        <xdr:cNvSpPr>
          <a:spLocks noChangeArrowheads="1"/>
        </xdr:cNvSpPr>
      </xdr:nvSpPr>
      <xdr:spPr bwMode="auto">
        <a:xfrm>
          <a:off x="4324350" y="35652075"/>
          <a:ext cx="171450" cy="161925"/>
        </a:xfrm>
        <a:prstGeom prst="rect">
          <a:avLst/>
        </a:prstGeom>
        <a:solidFill>
          <a:srgbClr val="C0504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19050</xdr:colOff>
      <xdr:row>7</xdr:row>
      <xdr:rowOff>38100</xdr:rowOff>
    </xdr:from>
    <xdr:to>
      <xdr:col>14</xdr:col>
      <xdr:colOff>314288</xdr:colOff>
      <xdr:row>7</xdr:row>
      <xdr:rowOff>323814</xdr:rowOff>
    </xdr:to>
    <xdr:pic>
      <xdr:nvPicPr>
        <xdr:cNvPr id="4" name="图片 3"/>
        <xdr:cNvPicPr>
          <a:picLocks noChangeAspect="1"/>
        </xdr:cNvPicPr>
      </xdr:nvPicPr>
      <xdr:blipFill>
        <a:blip xmlns:r="http://schemas.openxmlformats.org/officeDocument/2006/relationships" r:embed="rId1"/>
        <a:stretch>
          <a:fillRect/>
        </a:stretch>
      </xdr:blipFill>
      <xdr:spPr>
        <a:xfrm>
          <a:off x="9686925" y="1228725"/>
          <a:ext cx="295238" cy="285714"/>
        </a:xfrm>
        <a:prstGeom prst="rect">
          <a:avLst/>
        </a:prstGeom>
      </xdr:spPr>
    </xdr:pic>
    <xdr:clientData/>
  </xdr:twoCellAnchor>
  <xdr:twoCellAnchor editAs="oneCell">
    <xdr:from>
      <xdr:col>14</xdr:col>
      <xdr:colOff>28575</xdr:colOff>
      <xdr:row>10</xdr:row>
      <xdr:rowOff>9525</xdr:rowOff>
    </xdr:from>
    <xdr:to>
      <xdr:col>14</xdr:col>
      <xdr:colOff>295242</xdr:colOff>
      <xdr:row>10</xdr:row>
      <xdr:rowOff>285715</xdr:rowOff>
    </xdr:to>
    <xdr:pic>
      <xdr:nvPicPr>
        <xdr:cNvPr id="9" name="图片 8"/>
        <xdr:cNvPicPr>
          <a:picLocks noChangeAspect="1"/>
        </xdr:cNvPicPr>
      </xdr:nvPicPr>
      <xdr:blipFill>
        <a:blip xmlns:r="http://schemas.openxmlformats.org/officeDocument/2006/relationships" r:embed="rId2"/>
        <a:stretch>
          <a:fillRect/>
        </a:stretch>
      </xdr:blipFill>
      <xdr:spPr>
        <a:xfrm>
          <a:off x="9696450" y="1933575"/>
          <a:ext cx="266667" cy="2761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190500</xdr:colOff>
          <xdr:row>7</xdr:row>
          <xdr:rowOff>19050</xdr:rowOff>
        </xdr:from>
        <xdr:to>
          <xdr:col>0</xdr:col>
          <xdr:colOff>514350</xdr:colOff>
          <xdr:row>8</xdr:row>
          <xdr:rowOff>19050</xdr:rowOff>
        </xdr:to>
        <xdr:pic>
          <xdr:nvPicPr>
            <xdr:cNvPr id="19" name="图片 18"/>
            <xdr:cNvPicPr>
              <a:picLocks noChangeAspect="1"/>
              <a:extLst>
                <a:ext uri="{84589F7E-364E-4C9E-8A38-B11213B215E9}">
                  <a14:cameraTool cellRange="PNC" spid="_x0000_s131264"/>
                </a:ext>
              </a:extLst>
            </xdr:cNvPicPr>
          </xdr:nvPicPr>
          <xdr:blipFill>
            <a:blip xmlns:r="http://schemas.openxmlformats.org/officeDocument/2006/relationships" r:embed="rId3"/>
            <a:stretch>
              <a:fillRect/>
            </a:stretch>
          </xdr:blipFill>
          <xdr:spPr>
            <a:xfrm>
              <a:off x="190500" y="1209675"/>
              <a:ext cx="323850" cy="323850"/>
            </a:xfrm>
            <a:prstGeom prst="rect">
              <a:avLst/>
            </a:prstGeom>
          </xdr:spPr>
        </xdr:pic>
        <xdr:clientData/>
      </xdr:twoCellAnchor>
    </mc:Choice>
    <mc:Fallback/>
  </mc:AlternateContent>
  <xdr:twoCellAnchor editAs="oneCell">
    <xdr:from>
      <xdr:col>15</xdr:col>
      <xdr:colOff>28575</xdr:colOff>
      <xdr:row>7</xdr:row>
      <xdr:rowOff>28575</xdr:rowOff>
    </xdr:from>
    <xdr:to>
      <xdr:col>15</xdr:col>
      <xdr:colOff>295242</xdr:colOff>
      <xdr:row>7</xdr:row>
      <xdr:rowOff>304765</xdr:rowOff>
    </xdr:to>
    <xdr:pic>
      <xdr:nvPicPr>
        <xdr:cNvPr id="20" name="图片 19"/>
        <xdr:cNvPicPr>
          <a:picLocks noChangeAspect="1"/>
        </xdr:cNvPicPr>
      </xdr:nvPicPr>
      <xdr:blipFill>
        <a:blip xmlns:r="http://schemas.openxmlformats.org/officeDocument/2006/relationships" r:embed="rId2"/>
        <a:stretch>
          <a:fillRect/>
        </a:stretch>
      </xdr:blipFill>
      <xdr:spPr>
        <a:xfrm>
          <a:off x="10020300" y="1219200"/>
          <a:ext cx="266667" cy="276190"/>
        </a:xfrm>
        <a:prstGeom prst="rect">
          <a:avLst/>
        </a:prstGeom>
      </xdr:spPr>
    </xdr:pic>
    <xdr:clientData/>
  </xdr:twoCellAnchor>
  <xdr:twoCellAnchor editAs="oneCell">
    <xdr:from>
      <xdr:col>15</xdr:col>
      <xdr:colOff>0</xdr:colOff>
      <xdr:row>10</xdr:row>
      <xdr:rowOff>9525</xdr:rowOff>
    </xdr:from>
    <xdr:to>
      <xdr:col>15</xdr:col>
      <xdr:colOff>295238</xdr:colOff>
      <xdr:row>10</xdr:row>
      <xdr:rowOff>295239</xdr:rowOff>
    </xdr:to>
    <xdr:pic>
      <xdr:nvPicPr>
        <xdr:cNvPr id="21" name="图片 20"/>
        <xdr:cNvPicPr>
          <a:picLocks noChangeAspect="1"/>
        </xdr:cNvPicPr>
      </xdr:nvPicPr>
      <xdr:blipFill>
        <a:blip xmlns:r="http://schemas.openxmlformats.org/officeDocument/2006/relationships" r:embed="rId1"/>
        <a:stretch>
          <a:fillRect/>
        </a:stretch>
      </xdr:blipFill>
      <xdr:spPr>
        <a:xfrm>
          <a:off x="9991725" y="1933575"/>
          <a:ext cx="295238" cy="2857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200025</xdr:colOff>
          <xdr:row>10</xdr:row>
          <xdr:rowOff>0</xdr:rowOff>
        </xdr:from>
        <xdr:to>
          <xdr:col>0</xdr:col>
          <xdr:colOff>523875</xdr:colOff>
          <xdr:row>11</xdr:row>
          <xdr:rowOff>28575</xdr:rowOff>
        </xdr:to>
        <xdr:pic>
          <xdr:nvPicPr>
            <xdr:cNvPr id="22" name="图片 21"/>
            <xdr:cNvPicPr>
              <a:picLocks noChangeAspect="1"/>
              <a:extLst>
                <a:ext uri="{84589F7E-364E-4C9E-8A38-B11213B215E9}">
                  <a14:cameraTool cellRange="NPC" spid="_x0000_s131265"/>
                </a:ext>
              </a:extLst>
            </xdr:cNvPicPr>
          </xdr:nvPicPr>
          <xdr:blipFill>
            <a:blip xmlns:r="http://schemas.openxmlformats.org/officeDocument/2006/relationships" r:embed="rId4"/>
            <a:stretch>
              <a:fillRect/>
            </a:stretch>
          </xdr:blipFill>
          <xdr:spPr>
            <a:xfrm>
              <a:off x="200025" y="1924050"/>
              <a:ext cx="323850" cy="3238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47</xdr:row>
          <xdr:rowOff>19050</xdr:rowOff>
        </xdr:from>
        <xdr:to>
          <xdr:col>0</xdr:col>
          <xdr:colOff>552450</xdr:colOff>
          <xdr:row>48</xdr:row>
          <xdr:rowOff>19050</xdr:rowOff>
        </xdr:to>
        <xdr:pic>
          <xdr:nvPicPr>
            <xdr:cNvPr id="23" name="图片 22"/>
            <xdr:cNvPicPr>
              <a:picLocks noChangeAspect="1"/>
              <a:extLst>
                <a:ext uri="{84589F7E-364E-4C9E-8A38-B11213B215E9}">
                  <a14:cameraTool cellRange="PNC" spid="_x0000_s131266"/>
                </a:ext>
              </a:extLst>
            </xdr:cNvPicPr>
          </xdr:nvPicPr>
          <xdr:blipFill>
            <a:blip xmlns:r="http://schemas.openxmlformats.org/officeDocument/2006/relationships" r:embed="rId3"/>
            <a:stretch>
              <a:fillRect/>
            </a:stretch>
          </xdr:blipFill>
          <xdr:spPr>
            <a:xfrm>
              <a:off x="228600" y="10658475"/>
              <a:ext cx="323850" cy="3238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50</xdr:row>
          <xdr:rowOff>0</xdr:rowOff>
        </xdr:from>
        <xdr:to>
          <xdr:col>0</xdr:col>
          <xdr:colOff>552450</xdr:colOff>
          <xdr:row>51</xdr:row>
          <xdr:rowOff>28575</xdr:rowOff>
        </xdr:to>
        <xdr:pic>
          <xdr:nvPicPr>
            <xdr:cNvPr id="24" name="图片 23"/>
            <xdr:cNvPicPr>
              <a:picLocks noChangeAspect="1"/>
              <a:extLst>
                <a:ext uri="{84589F7E-364E-4C9E-8A38-B11213B215E9}">
                  <a14:cameraTool cellRange="NPC" spid="_x0000_s131267"/>
                </a:ext>
              </a:extLst>
            </xdr:cNvPicPr>
          </xdr:nvPicPr>
          <xdr:blipFill>
            <a:blip xmlns:r="http://schemas.openxmlformats.org/officeDocument/2006/relationships" r:embed="rId4"/>
            <a:stretch>
              <a:fillRect/>
            </a:stretch>
          </xdr:blipFill>
          <xdr:spPr>
            <a:xfrm>
              <a:off x="228600" y="11372850"/>
              <a:ext cx="323850" cy="3238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87</xdr:row>
          <xdr:rowOff>19050</xdr:rowOff>
        </xdr:from>
        <xdr:to>
          <xdr:col>0</xdr:col>
          <xdr:colOff>533400</xdr:colOff>
          <xdr:row>88</xdr:row>
          <xdr:rowOff>19050</xdr:rowOff>
        </xdr:to>
        <xdr:pic>
          <xdr:nvPicPr>
            <xdr:cNvPr id="25" name="图片 24"/>
            <xdr:cNvPicPr>
              <a:picLocks noChangeAspect="1"/>
              <a:extLst>
                <a:ext uri="{84589F7E-364E-4C9E-8A38-B11213B215E9}">
                  <a14:cameraTool cellRange="PNC" spid="_x0000_s131268"/>
                </a:ext>
              </a:extLst>
            </xdr:cNvPicPr>
          </xdr:nvPicPr>
          <xdr:blipFill>
            <a:blip xmlns:r="http://schemas.openxmlformats.org/officeDocument/2006/relationships" r:embed="rId3"/>
            <a:stretch>
              <a:fillRect/>
            </a:stretch>
          </xdr:blipFill>
          <xdr:spPr>
            <a:xfrm>
              <a:off x="209550" y="20183475"/>
              <a:ext cx="323850" cy="3238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90</xdr:row>
          <xdr:rowOff>9525</xdr:rowOff>
        </xdr:from>
        <xdr:to>
          <xdr:col>0</xdr:col>
          <xdr:colOff>533400</xdr:colOff>
          <xdr:row>91</xdr:row>
          <xdr:rowOff>38100</xdr:rowOff>
        </xdr:to>
        <xdr:pic>
          <xdr:nvPicPr>
            <xdr:cNvPr id="26" name="图片 25"/>
            <xdr:cNvPicPr>
              <a:picLocks noChangeAspect="1"/>
              <a:extLst>
                <a:ext uri="{84589F7E-364E-4C9E-8A38-B11213B215E9}">
                  <a14:cameraTool cellRange="NPC" spid="_x0000_s131269"/>
                </a:ext>
              </a:extLst>
            </xdr:cNvPicPr>
          </xdr:nvPicPr>
          <xdr:blipFill>
            <a:blip xmlns:r="http://schemas.openxmlformats.org/officeDocument/2006/relationships" r:embed="rId4"/>
            <a:stretch>
              <a:fillRect/>
            </a:stretch>
          </xdr:blipFill>
          <xdr:spPr>
            <a:xfrm>
              <a:off x="209550" y="20907375"/>
              <a:ext cx="323850" cy="3238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127</xdr:row>
          <xdr:rowOff>28575</xdr:rowOff>
        </xdr:from>
        <xdr:to>
          <xdr:col>0</xdr:col>
          <xdr:colOff>523875</xdr:colOff>
          <xdr:row>128</xdr:row>
          <xdr:rowOff>28575</xdr:rowOff>
        </xdr:to>
        <xdr:pic>
          <xdr:nvPicPr>
            <xdr:cNvPr id="27" name="图片 26"/>
            <xdr:cNvPicPr>
              <a:picLocks noChangeAspect="1"/>
              <a:extLst>
                <a:ext uri="{84589F7E-364E-4C9E-8A38-B11213B215E9}">
                  <a14:cameraTool cellRange="PNC" spid="_x0000_s131270"/>
                </a:ext>
              </a:extLst>
            </xdr:cNvPicPr>
          </xdr:nvPicPr>
          <xdr:blipFill>
            <a:blip xmlns:r="http://schemas.openxmlformats.org/officeDocument/2006/relationships" r:embed="rId3"/>
            <a:stretch>
              <a:fillRect/>
            </a:stretch>
          </xdr:blipFill>
          <xdr:spPr>
            <a:xfrm>
              <a:off x="200025" y="29584650"/>
              <a:ext cx="323850" cy="3238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130</xdr:row>
          <xdr:rowOff>9525</xdr:rowOff>
        </xdr:from>
        <xdr:to>
          <xdr:col>0</xdr:col>
          <xdr:colOff>533400</xdr:colOff>
          <xdr:row>131</xdr:row>
          <xdr:rowOff>38100</xdr:rowOff>
        </xdr:to>
        <xdr:pic>
          <xdr:nvPicPr>
            <xdr:cNvPr id="28" name="图片 27"/>
            <xdr:cNvPicPr>
              <a:picLocks noChangeAspect="1"/>
              <a:extLst>
                <a:ext uri="{84589F7E-364E-4C9E-8A38-B11213B215E9}">
                  <a14:cameraTool cellRange="NPC" spid="_x0000_s131271"/>
                </a:ext>
              </a:extLst>
            </xdr:cNvPicPr>
          </xdr:nvPicPr>
          <xdr:blipFill>
            <a:blip xmlns:r="http://schemas.openxmlformats.org/officeDocument/2006/relationships" r:embed="rId4"/>
            <a:stretch>
              <a:fillRect/>
            </a:stretch>
          </xdr:blipFill>
          <xdr:spPr>
            <a:xfrm>
              <a:off x="209550" y="30299025"/>
              <a:ext cx="323850" cy="323850"/>
            </a:xfrm>
            <a:prstGeom prst="rect">
              <a:avLst/>
            </a:prstGeom>
          </xdr:spPr>
        </xdr:pic>
        <xdr:clientData/>
      </xdr:twoCellAnchor>
    </mc:Choice>
    <mc:Fallback/>
  </mc:AlternateContent>
  <xdr:twoCellAnchor editAs="oneCell">
    <xdr:from>
      <xdr:col>12</xdr:col>
      <xdr:colOff>28575</xdr:colOff>
      <xdr:row>12</xdr:row>
      <xdr:rowOff>38100</xdr:rowOff>
    </xdr:from>
    <xdr:to>
      <xdr:col>12</xdr:col>
      <xdr:colOff>1019175</xdr:colOff>
      <xdr:row>12</xdr:row>
      <xdr:rowOff>342900</xdr:rowOff>
    </xdr:to>
    <xdr:pic>
      <xdr:nvPicPr>
        <xdr:cNvPr id="18" name="图片 17"/>
        <xdr:cNvPicPr>
          <a:picLocks noChangeAspect="1"/>
        </xdr:cNvPicPr>
      </xdr:nvPicPr>
      <xdr:blipFill>
        <a:blip xmlns:r="http://schemas.openxmlformats.org/officeDocument/2006/relationships" r:embed="rId5"/>
        <a:stretch>
          <a:fillRect/>
        </a:stretch>
      </xdr:blipFill>
      <xdr:spPr>
        <a:xfrm>
          <a:off x="8582025" y="2486025"/>
          <a:ext cx="990600" cy="304800"/>
        </a:xfrm>
        <a:prstGeom prst="rect">
          <a:avLst/>
        </a:prstGeom>
      </xdr:spPr>
    </xdr:pic>
    <xdr:clientData/>
  </xdr:twoCellAnchor>
  <xdr:twoCellAnchor editAs="oneCell">
    <xdr:from>
      <xdr:col>12</xdr:col>
      <xdr:colOff>47625</xdr:colOff>
      <xdr:row>13</xdr:row>
      <xdr:rowOff>38100</xdr:rowOff>
    </xdr:from>
    <xdr:to>
      <xdr:col>12</xdr:col>
      <xdr:colOff>990600</xdr:colOff>
      <xdr:row>13</xdr:row>
      <xdr:rowOff>338818</xdr:rowOff>
    </xdr:to>
    <xdr:pic>
      <xdr:nvPicPr>
        <xdr:cNvPr id="29" name="图片 28"/>
        <xdr:cNvPicPr>
          <a:picLocks noChangeAspect="1"/>
        </xdr:cNvPicPr>
      </xdr:nvPicPr>
      <xdr:blipFill>
        <a:blip xmlns:r="http://schemas.openxmlformats.org/officeDocument/2006/relationships" r:embed="rId6"/>
        <a:stretch>
          <a:fillRect/>
        </a:stretch>
      </xdr:blipFill>
      <xdr:spPr>
        <a:xfrm>
          <a:off x="8601075" y="2847975"/>
          <a:ext cx="942975" cy="3007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695325</xdr:colOff>
          <xdr:row>32</xdr:row>
          <xdr:rowOff>0</xdr:rowOff>
        </xdr:from>
        <xdr:to>
          <xdr:col>3</xdr:col>
          <xdr:colOff>304800</xdr:colOff>
          <xdr:row>34</xdr:row>
          <xdr:rowOff>38100</xdr:rowOff>
        </xdr:to>
        <xdr:pic>
          <xdr:nvPicPr>
            <xdr:cNvPr id="30" name="图片 29"/>
            <xdr:cNvPicPr>
              <a:picLocks noChangeAspect="1"/>
              <a:extLst>
                <a:ext uri="{84589F7E-364E-4C9E-8A38-B11213B215E9}">
                  <a14:cameraTool cellRange="sigz" spid="_x0000_s131272"/>
                </a:ext>
              </a:extLst>
            </xdr:cNvPicPr>
          </xdr:nvPicPr>
          <xdr:blipFill>
            <a:blip xmlns:r="http://schemas.openxmlformats.org/officeDocument/2006/relationships" r:embed="rId7"/>
            <a:stretch>
              <a:fillRect/>
            </a:stretch>
          </xdr:blipFill>
          <xdr:spPr>
            <a:xfrm>
              <a:off x="1381125" y="8181975"/>
              <a:ext cx="1028700" cy="3619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72</xdr:row>
          <xdr:rowOff>0</xdr:rowOff>
        </xdr:from>
        <xdr:to>
          <xdr:col>3</xdr:col>
          <xdr:colOff>352425</xdr:colOff>
          <xdr:row>74</xdr:row>
          <xdr:rowOff>38100</xdr:rowOff>
        </xdr:to>
        <xdr:pic>
          <xdr:nvPicPr>
            <xdr:cNvPr id="31" name="图片 30"/>
            <xdr:cNvPicPr>
              <a:picLocks noChangeAspect="1"/>
              <a:extLst>
                <a:ext uri="{84589F7E-364E-4C9E-8A38-B11213B215E9}">
                  <a14:cameraTool cellRange="sigz" spid="_x0000_s131273"/>
                </a:ext>
              </a:extLst>
            </xdr:cNvPicPr>
          </xdr:nvPicPr>
          <xdr:blipFill>
            <a:blip xmlns:r="http://schemas.openxmlformats.org/officeDocument/2006/relationships" r:embed="rId7"/>
            <a:stretch>
              <a:fillRect/>
            </a:stretch>
          </xdr:blipFill>
          <xdr:spPr>
            <a:xfrm>
              <a:off x="1428750" y="17630775"/>
              <a:ext cx="1028700" cy="3619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112</xdr:row>
          <xdr:rowOff>9525</xdr:rowOff>
        </xdr:from>
        <xdr:to>
          <xdr:col>3</xdr:col>
          <xdr:colOff>419100</xdr:colOff>
          <xdr:row>114</xdr:row>
          <xdr:rowOff>47625</xdr:rowOff>
        </xdr:to>
        <xdr:pic>
          <xdr:nvPicPr>
            <xdr:cNvPr id="32" name="图片 31"/>
            <xdr:cNvPicPr>
              <a:picLocks noChangeAspect="1"/>
              <a:extLst>
                <a:ext uri="{84589F7E-364E-4C9E-8A38-B11213B215E9}">
                  <a14:cameraTool cellRange="sigz" spid="_x0000_s131274"/>
                </a:ext>
              </a:extLst>
            </xdr:cNvPicPr>
          </xdr:nvPicPr>
          <xdr:blipFill>
            <a:blip xmlns:r="http://schemas.openxmlformats.org/officeDocument/2006/relationships" r:embed="rId7"/>
            <a:stretch>
              <a:fillRect/>
            </a:stretch>
          </xdr:blipFill>
          <xdr:spPr>
            <a:xfrm>
              <a:off x="1495425" y="27165300"/>
              <a:ext cx="1028700" cy="3619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152</xdr:row>
          <xdr:rowOff>9525</xdr:rowOff>
        </xdr:from>
        <xdr:to>
          <xdr:col>3</xdr:col>
          <xdr:colOff>304800</xdr:colOff>
          <xdr:row>154</xdr:row>
          <xdr:rowOff>47625</xdr:rowOff>
        </xdr:to>
        <xdr:pic>
          <xdr:nvPicPr>
            <xdr:cNvPr id="33" name="图片 32"/>
            <xdr:cNvPicPr>
              <a:picLocks noChangeAspect="1"/>
              <a:extLst>
                <a:ext uri="{84589F7E-364E-4C9E-8A38-B11213B215E9}">
                  <a14:cameraTool cellRange="sigz" spid="_x0000_s131275"/>
                </a:ext>
              </a:extLst>
            </xdr:cNvPicPr>
          </xdr:nvPicPr>
          <xdr:blipFill>
            <a:blip xmlns:r="http://schemas.openxmlformats.org/officeDocument/2006/relationships" r:embed="rId7"/>
            <a:stretch>
              <a:fillRect/>
            </a:stretch>
          </xdr:blipFill>
          <xdr:spPr>
            <a:xfrm>
              <a:off x="1381125" y="36556950"/>
              <a:ext cx="1028700" cy="361950"/>
            </a:xfrm>
            <a:prstGeom prst="rect">
              <a:avLst/>
            </a:prstGeom>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57149</xdr:colOff>
      <xdr:row>0</xdr:row>
      <xdr:rowOff>104775</xdr:rowOff>
    </xdr:from>
    <xdr:to>
      <xdr:col>4</xdr:col>
      <xdr:colOff>428625</xdr:colOff>
      <xdr:row>5</xdr:row>
      <xdr:rowOff>95250</xdr:rowOff>
    </xdr:to>
    <xdr:sp macro="" textlink="">
      <xdr:nvSpPr>
        <xdr:cNvPr id="9" name="LT"/>
        <xdr:cNvSpPr txBox="1">
          <a:spLocks noChangeArrowheads="1"/>
        </xdr:cNvSpPr>
      </xdr:nvSpPr>
      <xdr:spPr bwMode="auto">
        <a:xfrm>
          <a:off x="57149" y="104775"/>
          <a:ext cx="3371851" cy="895350"/>
        </a:xfrm>
        <a:prstGeom prst="rect">
          <a:avLst/>
        </a:prstGeom>
        <a:solidFill>
          <a:srgbClr val="FFFFFF"/>
        </a:solidFill>
        <a:ln w="1">
          <a:noFill/>
          <a:miter lim="800000"/>
          <a:headEnd/>
          <a:tailEnd/>
        </a:ln>
      </xdr:spPr>
      <xdr:txBody>
        <a:bodyPr vertOverflow="clip" wrap="square" lIns="91440" tIns="45720" rIns="91440" bIns="45720" anchor="t" upright="1"/>
        <a:lstStyle/>
        <a:p>
          <a:pPr rtl="0"/>
          <a:r>
            <a:rPr lang="en-US" altLang="zh-CN" sz="1100" b="1" i="0" baseline="0">
              <a:effectLst/>
              <a:latin typeface="+mn-lt"/>
              <a:ea typeface="+mn-ea"/>
              <a:cs typeface="+mn-cs"/>
            </a:rPr>
            <a:t>BLD Pharmatech Ltd.                                                     </a:t>
          </a:r>
          <a:endParaRPr lang="zh-CN" altLang="zh-CN">
            <a:effectLst/>
          </a:endParaRPr>
        </a:p>
        <a:p>
          <a:pPr rtl="0"/>
          <a:r>
            <a:rPr lang="en-US" altLang="zh-CN" sz="1100" b="0" i="0">
              <a:effectLst/>
              <a:latin typeface="+mn-lt"/>
              <a:ea typeface="+mn-ea"/>
              <a:cs typeface="+mn-cs"/>
            </a:rPr>
            <a:t>488 Taoqiao Road, Building 5 </a:t>
          </a:r>
          <a:r>
            <a:rPr lang="zh-CN" altLang="zh-CN" sz="1100" b="0" i="0">
              <a:effectLst/>
              <a:latin typeface="+mn-lt"/>
              <a:ea typeface="+mn-ea"/>
              <a:cs typeface="+mn-cs"/>
            </a:rPr>
            <a:t>，</a:t>
          </a:r>
          <a:r>
            <a:rPr lang="en-US" altLang="zh-CN" sz="1100" b="0" i="0">
              <a:effectLst/>
              <a:latin typeface="+mn-lt"/>
              <a:ea typeface="+mn-ea"/>
              <a:cs typeface="+mn-cs"/>
            </a:rPr>
            <a:t>5F, HuiNan Town, Pud</a:t>
          </a:r>
          <a:r>
            <a:rPr lang="en-US" altLang="zh-CN" sz="1100">
              <a:effectLst/>
              <a:latin typeface="+mn-lt"/>
              <a:ea typeface="+mn-ea"/>
              <a:cs typeface="+mn-cs"/>
            </a:rPr>
            <a:t> </a:t>
          </a:r>
          <a:r>
            <a:rPr lang="en-US" altLang="zh-CN" sz="1100" b="0" i="0">
              <a:effectLst/>
              <a:latin typeface="+mn-lt"/>
              <a:ea typeface="+mn-ea"/>
              <a:cs typeface="+mn-cs"/>
            </a:rPr>
            <a:t>HuiNan Town, Pud ong New Area, Shanghai 201203, China</a:t>
          </a:r>
          <a:r>
            <a:rPr lang="en-US" altLang="zh-CN" sz="1100">
              <a:effectLst/>
              <a:latin typeface="+mn-lt"/>
              <a:ea typeface="+mn-ea"/>
              <a:cs typeface="+mn-cs"/>
            </a:rPr>
            <a:t> </a:t>
          </a:r>
          <a:r>
            <a:rPr lang="en-US" altLang="zh-CN" sz="1100" b="0" i="0">
              <a:effectLst/>
              <a:latin typeface="+mn-lt"/>
              <a:ea typeface="+mn-ea"/>
              <a:cs typeface="+mn-cs"/>
            </a:rPr>
            <a:t>201203, China</a:t>
          </a:r>
          <a:r>
            <a:rPr lang="en-US" altLang="zh-CN" sz="1100">
              <a:effectLst/>
              <a:latin typeface="+mn-lt"/>
              <a:ea typeface="+mn-ea"/>
              <a:cs typeface="+mn-cs"/>
            </a:rPr>
            <a:t> </a:t>
          </a:r>
          <a:r>
            <a:rPr lang="en-US" altLang="zh-CN" sz="1100" b="0" i="0" u="sng">
              <a:effectLst/>
              <a:latin typeface="+mn-lt"/>
              <a:ea typeface="+mn-ea"/>
              <a:cs typeface="+mn-cs"/>
            </a:rPr>
            <a:t>TEL:021-58255690</a:t>
          </a:r>
          <a:r>
            <a:rPr lang="en-US" altLang="zh-CN" sz="1100">
              <a:effectLst/>
              <a:latin typeface="+mn-lt"/>
              <a:ea typeface="+mn-ea"/>
              <a:cs typeface="+mn-cs"/>
            </a:rPr>
            <a:t> </a:t>
          </a:r>
          <a:endParaRPr lang="zh-CN" altLang="zh-CN">
            <a:effectLst/>
          </a:endParaRPr>
        </a:p>
      </xdr:txBody>
    </xdr:sp>
    <xdr:clientData/>
  </xdr:twoCellAnchor>
  <xdr:twoCellAnchor>
    <xdr:from>
      <xdr:col>0</xdr:col>
      <xdr:colOff>1</xdr:colOff>
      <xdr:row>6</xdr:row>
      <xdr:rowOff>9522</xdr:rowOff>
    </xdr:from>
    <xdr:to>
      <xdr:col>7</xdr:col>
      <xdr:colOff>0</xdr:colOff>
      <xdr:row>6</xdr:row>
      <xdr:rowOff>9524</xdr:rowOff>
    </xdr:to>
    <xdr:sp macro="" textlink="">
      <xdr:nvSpPr>
        <xdr:cNvPr id="1477" name="Line 1"/>
        <xdr:cNvSpPr>
          <a:spLocks noChangeShapeType="1"/>
        </xdr:cNvSpPr>
      </xdr:nvSpPr>
      <xdr:spPr bwMode="auto">
        <a:xfrm>
          <a:off x="1" y="1095372"/>
          <a:ext cx="7134224" cy="2"/>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xdr:col>
      <xdr:colOff>323850</xdr:colOff>
      <xdr:row>33</xdr:row>
      <xdr:rowOff>66675</xdr:rowOff>
    </xdr:from>
    <xdr:to>
      <xdr:col>4</xdr:col>
      <xdr:colOff>797512</xdr:colOff>
      <xdr:row>34</xdr:row>
      <xdr:rowOff>133350</xdr:rowOff>
    </xdr:to>
    <xdr:pic>
      <xdr:nvPicPr>
        <xdr:cNvPr id="6" name="图片 5"/>
        <xdr:cNvPicPr>
          <a:picLocks noChangeAspect="1"/>
        </xdr:cNvPicPr>
      </xdr:nvPicPr>
      <xdr:blipFill>
        <a:blip xmlns:r="http://schemas.openxmlformats.org/officeDocument/2006/relationships" r:embed="rId1"/>
        <a:stretch>
          <a:fillRect/>
        </a:stretch>
      </xdr:blipFill>
      <xdr:spPr>
        <a:xfrm>
          <a:off x="2543175" y="7353300"/>
          <a:ext cx="1254712" cy="2952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19050</xdr:colOff>
      <xdr:row>3</xdr:row>
      <xdr:rowOff>161925</xdr:rowOff>
    </xdr:to>
    <xdr:sp macro="" textlink="">
      <xdr:nvSpPr>
        <xdr:cNvPr id="3584" name="AutoShape 2"/>
        <xdr:cNvSpPr>
          <a:spLocks noChangeAspect="1" noChangeArrowheads="1"/>
        </xdr:cNvSpPr>
      </xdr:nvSpPr>
      <xdr:spPr bwMode="auto">
        <a:xfrm>
          <a:off x="0" y="0"/>
          <a:ext cx="10858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9525</xdr:colOff>
      <xdr:row>5</xdr:row>
      <xdr:rowOff>57150</xdr:rowOff>
    </xdr:from>
    <xdr:to>
      <xdr:col>6</xdr:col>
      <xdr:colOff>0</xdr:colOff>
      <xdr:row>5</xdr:row>
      <xdr:rowOff>57150</xdr:rowOff>
    </xdr:to>
    <xdr:sp macro="" textlink="">
      <xdr:nvSpPr>
        <xdr:cNvPr id="3585" name="Line 5"/>
        <xdr:cNvSpPr>
          <a:spLocks noChangeShapeType="1"/>
        </xdr:cNvSpPr>
      </xdr:nvSpPr>
      <xdr:spPr bwMode="auto">
        <a:xfrm>
          <a:off x="9525" y="914400"/>
          <a:ext cx="5753100"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3</xdr:col>
      <xdr:colOff>647700</xdr:colOff>
      <xdr:row>4</xdr:row>
      <xdr:rowOff>161925</xdr:rowOff>
    </xdr:to>
    <xdr:sp macro="" textlink="">
      <xdr:nvSpPr>
        <xdr:cNvPr id="6" name="LT"/>
        <xdr:cNvSpPr txBox="1">
          <a:spLocks noChangeArrowheads="1"/>
        </xdr:cNvSpPr>
      </xdr:nvSpPr>
      <xdr:spPr bwMode="auto">
        <a:xfrm>
          <a:off x="0" y="0"/>
          <a:ext cx="3581400" cy="885825"/>
        </a:xfrm>
        <a:prstGeom prst="rect">
          <a:avLst/>
        </a:prstGeom>
        <a:solidFill>
          <a:srgbClr val="FFFFFF"/>
        </a:solidFill>
        <a:ln w="1">
          <a:noFill/>
          <a:miter lim="800000"/>
          <a:headEnd/>
          <a:tailEnd/>
        </a:ln>
      </xdr:spPr>
      <xdr:txBody>
        <a:bodyPr vertOverflow="clip" wrap="square" lIns="91440" tIns="45720" rIns="91440" bIns="45720" anchor="t" upright="1"/>
        <a:lstStyle/>
        <a:p>
          <a:pPr rtl="0"/>
          <a:r>
            <a:rPr lang="en-US" altLang="zh-CN" sz="1100" b="1" i="0" baseline="0">
              <a:effectLst/>
              <a:latin typeface="+mn-lt"/>
              <a:ea typeface="+mn-ea"/>
              <a:cs typeface="+mn-cs"/>
            </a:rPr>
            <a:t>BLD Pharmatech Ltd.                                                     </a:t>
          </a:r>
          <a:endParaRPr lang="zh-CN" altLang="zh-CN">
            <a:effectLst/>
          </a:endParaRPr>
        </a:p>
        <a:p>
          <a:pPr rtl="0"/>
          <a:r>
            <a:rPr lang="en-US" altLang="zh-CN" sz="1100" b="0" i="0">
              <a:effectLst/>
              <a:latin typeface="+mn-lt"/>
              <a:ea typeface="+mn-ea"/>
              <a:cs typeface="+mn-cs"/>
            </a:rPr>
            <a:t>488 Taoqiao Road, Building 5 </a:t>
          </a:r>
          <a:r>
            <a:rPr lang="zh-CN" altLang="zh-CN" sz="1100" b="0" i="0">
              <a:effectLst/>
              <a:latin typeface="+mn-lt"/>
              <a:ea typeface="+mn-ea"/>
              <a:cs typeface="+mn-cs"/>
            </a:rPr>
            <a:t>，</a:t>
          </a:r>
          <a:r>
            <a:rPr lang="en-US" altLang="zh-CN" sz="1100" b="0" i="0">
              <a:effectLst/>
              <a:latin typeface="+mn-lt"/>
              <a:ea typeface="+mn-ea"/>
              <a:cs typeface="+mn-cs"/>
            </a:rPr>
            <a:t>5F, HuiNan Town, Pud</a:t>
          </a:r>
          <a:r>
            <a:rPr lang="en-US" altLang="zh-CN" sz="1100">
              <a:effectLst/>
              <a:latin typeface="+mn-lt"/>
              <a:ea typeface="+mn-ea"/>
              <a:cs typeface="+mn-cs"/>
            </a:rPr>
            <a:t> </a:t>
          </a:r>
          <a:r>
            <a:rPr lang="en-US" altLang="zh-CN" sz="1100" b="0" i="0">
              <a:effectLst/>
              <a:latin typeface="+mn-lt"/>
              <a:ea typeface="+mn-ea"/>
              <a:cs typeface="+mn-cs"/>
            </a:rPr>
            <a:t>HuiNan Town, Pud ong New Area, Shanghai 201203, China</a:t>
          </a:r>
          <a:r>
            <a:rPr lang="en-US" altLang="zh-CN" sz="1100">
              <a:effectLst/>
              <a:latin typeface="+mn-lt"/>
              <a:ea typeface="+mn-ea"/>
              <a:cs typeface="+mn-cs"/>
            </a:rPr>
            <a:t> </a:t>
          </a:r>
          <a:r>
            <a:rPr lang="en-US" altLang="zh-CN" sz="1100" b="0" i="0">
              <a:effectLst/>
              <a:latin typeface="+mn-lt"/>
              <a:ea typeface="+mn-ea"/>
              <a:cs typeface="+mn-cs"/>
            </a:rPr>
            <a:t>201203, China</a:t>
          </a:r>
          <a:r>
            <a:rPr lang="en-US" altLang="zh-CN" sz="1100">
              <a:effectLst/>
              <a:latin typeface="+mn-lt"/>
              <a:ea typeface="+mn-ea"/>
              <a:cs typeface="+mn-cs"/>
            </a:rPr>
            <a:t> </a:t>
          </a:r>
          <a:r>
            <a:rPr lang="en-US" altLang="zh-CN" sz="1100" b="0" i="0" u="sng">
              <a:effectLst/>
              <a:latin typeface="+mn-lt"/>
              <a:ea typeface="+mn-ea"/>
              <a:cs typeface="+mn-cs"/>
            </a:rPr>
            <a:t>TEL:021-58255690</a:t>
          </a:r>
          <a:r>
            <a:rPr lang="en-US" altLang="zh-CN" sz="1100">
              <a:effectLst/>
              <a:latin typeface="+mn-lt"/>
              <a:ea typeface="+mn-ea"/>
              <a:cs typeface="+mn-cs"/>
            </a:rPr>
            <a:t> </a:t>
          </a:r>
          <a:endParaRPr lang="zh-CN" altLang="zh-CN">
            <a:effectLst/>
          </a:endParaRPr>
        </a:p>
      </xdr:txBody>
    </xdr:sp>
    <xdr:clientData/>
  </xdr:twoCellAnchor>
  <xdr:twoCellAnchor editAs="oneCell">
    <xdr:from>
      <xdr:col>2</xdr:col>
      <xdr:colOff>581025</xdr:colOff>
      <xdr:row>30</xdr:row>
      <xdr:rowOff>95250</xdr:rowOff>
    </xdr:from>
    <xdr:to>
      <xdr:col>3</xdr:col>
      <xdr:colOff>76200</xdr:colOff>
      <xdr:row>32</xdr:row>
      <xdr:rowOff>120340</xdr:rowOff>
    </xdr:to>
    <xdr:pic>
      <xdr:nvPicPr>
        <xdr:cNvPr id="7" name="图片 6"/>
        <xdr:cNvPicPr>
          <a:picLocks noChangeAspect="1"/>
        </xdr:cNvPicPr>
      </xdr:nvPicPr>
      <xdr:blipFill>
        <a:blip xmlns:r="http://schemas.openxmlformats.org/officeDocument/2006/relationships" r:embed="rId1"/>
        <a:stretch>
          <a:fillRect/>
        </a:stretch>
      </xdr:blipFill>
      <xdr:spPr>
        <a:xfrm>
          <a:off x="2552700" y="5286375"/>
          <a:ext cx="628650" cy="367990"/>
        </a:xfrm>
        <a:prstGeom prst="rect">
          <a:avLst/>
        </a:prstGeom>
      </xdr:spPr>
    </xdr:pic>
    <xdr:clientData/>
  </xdr:twoCellAnchor>
  <xdr:twoCellAnchor editAs="oneCell">
    <xdr:from>
      <xdr:col>2</xdr:col>
      <xdr:colOff>581025</xdr:colOff>
      <xdr:row>30</xdr:row>
      <xdr:rowOff>133350</xdr:rowOff>
    </xdr:from>
    <xdr:to>
      <xdr:col>3</xdr:col>
      <xdr:colOff>702262</xdr:colOff>
      <xdr:row>32</xdr:row>
      <xdr:rowOff>85725</xdr:rowOff>
    </xdr:to>
    <xdr:pic>
      <xdr:nvPicPr>
        <xdr:cNvPr id="8" name="图片 7"/>
        <xdr:cNvPicPr>
          <a:picLocks noChangeAspect="1"/>
        </xdr:cNvPicPr>
      </xdr:nvPicPr>
      <xdr:blipFill>
        <a:blip xmlns:r="http://schemas.openxmlformats.org/officeDocument/2006/relationships" r:embed="rId2"/>
        <a:stretch>
          <a:fillRect/>
        </a:stretch>
      </xdr:blipFill>
      <xdr:spPr>
        <a:xfrm>
          <a:off x="2552700" y="5324475"/>
          <a:ext cx="1254712" cy="295275"/>
        </a:xfrm>
        <a:prstGeom prst="rect">
          <a:avLst/>
        </a:prstGeom>
      </xdr:spPr>
    </xdr:pic>
    <xdr:clientData/>
  </xdr:twoCellAnchor>
  <xdr:twoCellAnchor>
    <xdr:from>
      <xdr:col>5</xdr:col>
      <xdr:colOff>352425</xdr:colOff>
      <xdr:row>33</xdr:row>
      <xdr:rowOff>161925</xdr:rowOff>
    </xdr:from>
    <xdr:to>
      <xdr:col>6</xdr:col>
      <xdr:colOff>352425</xdr:colOff>
      <xdr:row>35</xdr:row>
      <xdr:rowOff>152400</xdr:rowOff>
    </xdr:to>
    <xdr:sp macro="" textlink="">
      <xdr:nvSpPr>
        <xdr:cNvPr id="9" name="AutoShape 2"/>
        <xdr:cNvSpPr>
          <a:spLocks noChangeAspect="1" noChangeArrowheads="1"/>
        </xdr:cNvSpPr>
      </xdr:nvSpPr>
      <xdr:spPr bwMode="auto">
        <a:xfrm>
          <a:off x="5467350" y="5867400"/>
          <a:ext cx="10858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114301</xdr:colOff>
      <xdr:row>6</xdr:row>
      <xdr:rowOff>190498</xdr:rowOff>
    </xdr:from>
    <xdr:to>
      <xdr:col>3</xdr:col>
      <xdr:colOff>990600</xdr:colOff>
      <xdr:row>7</xdr:row>
      <xdr:rowOff>19049</xdr:rowOff>
    </xdr:to>
    <xdr:sp macro="" textlink="">
      <xdr:nvSpPr>
        <xdr:cNvPr id="2" name="Line 1"/>
        <xdr:cNvSpPr>
          <a:spLocks noChangeShapeType="1"/>
        </xdr:cNvSpPr>
      </xdr:nvSpPr>
      <xdr:spPr bwMode="auto">
        <a:xfrm>
          <a:off x="114301" y="1333498"/>
          <a:ext cx="5019674" cy="19051"/>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76200</xdr:colOff>
      <xdr:row>0</xdr:row>
      <xdr:rowOff>180975</xdr:rowOff>
    </xdr:from>
    <xdr:to>
      <xdr:col>2</xdr:col>
      <xdr:colOff>1438275</xdr:colOff>
      <xdr:row>5</xdr:row>
      <xdr:rowOff>114300</xdr:rowOff>
    </xdr:to>
    <xdr:sp macro="" textlink="">
      <xdr:nvSpPr>
        <xdr:cNvPr id="3" name="LT"/>
        <xdr:cNvSpPr txBox="1">
          <a:spLocks noChangeArrowheads="1"/>
        </xdr:cNvSpPr>
      </xdr:nvSpPr>
      <xdr:spPr bwMode="auto">
        <a:xfrm>
          <a:off x="76200" y="180975"/>
          <a:ext cx="3581400" cy="885825"/>
        </a:xfrm>
        <a:prstGeom prst="rect">
          <a:avLst/>
        </a:prstGeom>
        <a:solidFill>
          <a:srgbClr val="FFFFFF"/>
        </a:solidFill>
        <a:ln w="1">
          <a:noFill/>
          <a:miter lim="800000"/>
          <a:headEnd/>
          <a:tailEnd/>
        </a:ln>
      </xdr:spPr>
      <xdr:txBody>
        <a:bodyPr vertOverflow="clip" wrap="square" lIns="91440" tIns="45720" rIns="91440" bIns="45720" anchor="t" upright="1"/>
        <a:lstStyle/>
        <a:p>
          <a:pPr rtl="0"/>
          <a:r>
            <a:rPr lang="en-US" altLang="zh-CN" sz="1100" b="1" i="0" baseline="0">
              <a:effectLst/>
              <a:latin typeface="+mn-lt"/>
              <a:ea typeface="+mn-ea"/>
              <a:cs typeface="+mn-cs"/>
            </a:rPr>
            <a:t>BLD Pharmatech Ltd.                                                                   </a:t>
          </a:r>
          <a:r>
            <a:rPr lang="en-US" altLang="zh-CN" sz="1100" b="0" i="0">
              <a:effectLst/>
              <a:latin typeface="+mn-lt"/>
              <a:ea typeface="+mn-ea"/>
              <a:cs typeface="+mn-cs"/>
            </a:rPr>
            <a:t>Room 3501, 1077 Zuchongzhi Road,Zhangjiang </a:t>
          </a:r>
          <a:r>
            <a:rPr lang="en-US" altLang="zh-CN" sz="1100">
              <a:effectLst/>
              <a:latin typeface="+mn-lt"/>
              <a:ea typeface="+mn-ea"/>
              <a:cs typeface="+mn-cs"/>
            </a:rPr>
            <a:t> </a:t>
          </a:r>
          <a:r>
            <a:rPr lang="en-US" altLang="zh-CN" sz="1100" b="0" i="0">
              <a:effectLst/>
              <a:latin typeface="+mn-lt"/>
              <a:ea typeface="+mn-ea"/>
              <a:cs typeface="+mn-cs"/>
            </a:rPr>
            <a:t>Hi-Tech Park, Pudong New Area, Shanghai </a:t>
          </a:r>
          <a:r>
            <a:rPr lang="en-US" altLang="zh-CN" sz="1100">
              <a:effectLst/>
              <a:latin typeface="+mn-lt"/>
              <a:ea typeface="+mn-ea"/>
              <a:cs typeface="+mn-cs"/>
            </a:rPr>
            <a:t> </a:t>
          </a:r>
          <a:r>
            <a:rPr lang="en-US" altLang="zh-CN" sz="1100" b="0" i="0">
              <a:effectLst/>
              <a:latin typeface="+mn-lt"/>
              <a:ea typeface="+mn-ea"/>
              <a:cs typeface="+mn-cs"/>
            </a:rPr>
            <a:t>201203, China </a:t>
          </a:r>
          <a:r>
            <a:rPr lang="en-US" altLang="zh-CN" sz="1100">
              <a:effectLst/>
              <a:latin typeface="+mn-lt"/>
              <a:ea typeface="+mn-ea"/>
              <a:cs typeface="+mn-cs"/>
            </a:rPr>
            <a:t>     TEL:021-61052180</a:t>
          </a:r>
          <a:endParaRPr lang="zh-CN" altLang="zh-CN" sz="1400">
            <a:effectLst/>
          </a:endParaRPr>
        </a:p>
      </xdr:txBody>
    </xdr:sp>
    <xdr:clientData/>
  </xdr:twoCellAnchor>
  <xdr:twoCellAnchor>
    <xdr:from>
      <xdr:col>0</xdr:col>
      <xdr:colOff>76200</xdr:colOff>
      <xdr:row>0</xdr:row>
      <xdr:rowOff>180975</xdr:rowOff>
    </xdr:from>
    <xdr:to>
      <xdr:col>2</xdr:col>
      <xdr:colOff>1438275</xdr:colOff>
      <xdr:row>5</xdr:row>
      <xdr:rowOff>114300</xdr:rowOff>
    </xdr:to>
    <xdr:sp macro="" textlink="">
      <xdr:nvSpPr>
        <xdr:cNvPr id="4" name="LT"/>
        <xdr:cNvSpPr txBox="1">
          <a:spLocks noChangeArrowheads="1"/>
        </xdr:cNvSpPr>
      </xdr:nvSpPr>
      <xdr:spPr bwMode="auto">
        <a:xfrm>
          <a:off x="76200" y="180975"/>
          <a:ext cx="3581400" cy="885825"/>
        </a:xfrm>
        <a:prstGeom prst="rect">
          <a:avLst/>
        </a:prstGeom>
        <a:solidFill>
          <a:srgbClr val="FFFFFF"/>
        </a:solidFill>
        <a:ln w="1">
          <a:noFill/>
          <a:miter lim="800000"/>
          <a:headEnd/>
          <a:tailEnd/>
        </a:ln>
      </xdr:spPr>
      <xdr:txBody>
        <a:bodyPr vertOverflow="clip" wrap="square" lIns="91440" tIns="45720" rIns="91440" bIns="45720" anchor="t" upright="1"/>
        <a:lstStyle/>
        <a:p>
          <a:pPr rtl="0"/>
          <a:r>
            <a:rPr lang="en-US" altLang="zh-CN" sz="1100" b="1" i="0" baseline="0">
              <a:effectLst/>
              <a:latin typeface="+mn-lt"/>
              <a:ea typeface="+mn-ea"/>
              <a:cs typeface="+mn-cs"/>
            </a:rPr>
            <a:t>BLD Pharmatech Ltd.                                                     </a:t>
          </a:r>
          <a:endParaRPr lang="zh-CN" altLang="zh-CN">
            <a:effectLst/>
          </a:endParaRPr>
        </a:p>
        <a:p>
          <a:pPr rtl="0"/>
          <a:r>
            <a:rPr lang="en-US" altLang="zh-CN" sz="1100" b="0" i="0">
              <a:effectLst/>
              <a:latin typeface="+mn-lt"/>
              <a:ea typeface="+mn-ea"/>
              <a:cs typeface="+mn-cs"/>
            </a:rPr>
            <a:t>488 Taoqiao Road, Building 5 </a:t>
          </a:r>
          <a:r>
            <a:rPr lang="zh-CN" altLang="zh-CN" sz="1100" b="0" i="0">
              <a:effectLst/>
              <a:latin typeface="+mn-lt"/>
              <a:ea typeface="+mn-ea"/>
              <a:cs typeface="+mn-cs"/>
            </a:rPr>
            <a:t>，</a:t>
          </a:r>
          <a:r>
            <a:rPr lang="en-US" altLang="zh-CN" sz="1100" b="0" i="0">
              <a:effectLst/>
              <a:latin typeface="+mn-lt"/>
              <a:ea typeface="+mn-ea"/>
              <a:cs typeface="+mn-cs"/>
            </a:rPr>
            <a:t>5F, HuiNan Town, Pud</a:t>
          </a:r>
          <a:r>
            <a:rPr lang="en-US" altLang="zh-CN" sz="1100">
              <a:effectLst/>
              <a:latin typeface="+mn-lt"/>
              <a:ea typeface="+mn-ea"/>
              <a:cs typeface="+mn-cs"/>
            </a:rPr>
            <a:t> </a:t>
          </a:r>
          <a:r>
            <a:rPr lang="en-US" altLang="zh-CN" sz="1100" b="0" i="0">
              <a:effectLst/>
              <a:latin typeface="+mn-lt"/>
              <a:ea typeface="+mn-ea"/>
              <a:cs typeface="+mn-cs"/>
            </a:rPr>
            <a:t>HuiNan Town, Pud ong New Area, Shanghai 201203, China</a:t>
          </a:r>
          <a:r>
            <a:rPr lang="en-US" altLang="zh-CN" sz="1100">
              <a:effectLst/>
              <a:latin typeface="+mn-lt"/>
              <a:ea typeface="+mn-ea"/>
              <a:cs typeface="+mn-cs"/>
            </a:rPr>
            <a:t> </a:t>
          </a:r>
          <a:r>
            <a:rPr lang="en-US" altLang="zh-CN" sz="1100" b="0" i="0">
              <a:effectLst/>
              <a:latin typeface="+mn-lt"/>
              <a:ea typeface="+mn-ea"/>
              <a:cs typeface="+mn-cs"/>
            </a:rPr>
            <a:t>201203, China</a:t>
          </a:r>
          <a:r>
            <a:rPr lang="en-US" altLang="zh-CN" sz="1100">
              <a:effectLst/>
              <a:latin typeface="+mn-lt"/>
              <a:ea typeface="+mn-ea"/>
              <a:cs typeface="+mn-cs"/>
            </a:rPr>
            <a:t> </a:t>
          </a:r>
          <a:r>
            <a:rPr lang="en-US" altLang="zh-CN" sz="1100" b="0" i="0" u="sng">
              <a:effectLst/>
              <a:latin typeface="+mn-lt"/>
              <a:ea typeface="+mn-ea"/>
              <a:cs typeface="+mn-cs"/>
            </a:rPr>
            <a:t>TEL:021-58255690</a:t>
          </a:r>
          <a:r>
            <a:rPr lang="en-US" altLang="zh-CN" sz="1100">
              <a:effectLst/>
              <a:latin typeface="+mn-lt"/>
              <a:ea typeface="+mn-ea"/>
              <a:cs typeface="+mn-cs"/>
            </a:rPr>
            <a:t> </a:t>
          </a:r>
          <a:endParaRPr lang="zh-CN" altLang="zh-CN">
            <a:effectLst/>
          </a:endParaRPr>
        </a:p>
      </xdr:txBody>
    </xdr:sp>
    <xdr:clientData/>
  </xdr:twoCellAnchor>
  <xdr:twoCellAnchor editAs="oneCell">
    <xdr:from>
      <xdr:col>2</xdr:col>
      <xdr:colOff>190500</xdr:colOff>
      <xdr:row>18</xdr:row>
      <xdr:rowOff>57150</xdr:rowOff>
    </xdr:from>
    <xdr:to>
      <xdr:col>2</xdr:col>
      <xdr:colOff>1445212</xdr:colOff>
      <xdr:row>19</xdr:row>
      <xdr:rowOff>152400</xdr:rowOff>
    </xdr:to>
    <xdr:pic>
      <xdr:nvPicPr>
        <xdr:cNvPr id="6" name="图片 5"/>
        <xdr:cNvPicPr>
          <a:picLocks noChangeAspect="1"/>
        </xdr:cNvPicPr>
      </xdr:nvPicPr>
      <xdr:blipFill>
        <a:blip xmlns:r="http://schemas.openxmlformats.org/officeDocument/2006/relationships" r:embed="rId1"/>
        <a:stretch>
          <a:fillRect/>
        </a:stretch>
      </xdr:blipFill>
      <xdr:spPr>
        <a:xfrm>
          <a:off x="2409825" y="3638550"/>
          <a:ext cx="1254712" cy="2952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2</xdr:col>
      <xdr:colOff>353060</xdr:colOff>
      <xdr:row>39</xdr:row>
      <xdr:rowOff>100330</xdr:rowOff>
    </xdr:to>
    <xdr:pic>
      <xdr:nvPicPr>
        <xdr:cNvPr id="2" name="Picture 5" descr="BLD LOGO-横版"/>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696075"/>
          <a:ext cx="1724660" cy="462280"/>
        </a:xfrm>
        <a:prstGeom prst="rect">
          <a:avLst/>
        </a:prstGeom>
        <a:noFill/>
        <a:ln>
          <a:noFill/>
        </a:ln>
      </xdr:spPr>
    </xdr:pic>
    <xdr:clientData/>
  </xdr:twoCellAnchor>
  <xdr:twoCellAnchor editAs="oneCell">
    <xdr:from>
      <xdr:col>0</xdr:col>
      <xdr:colOff>0</xdr:colOff>
      <xdr:row>44</xdr:row>
      <xdr:rowOff>0</xdr:rowOff>
    </xdr:from>
    <xdr:to>
      <xdr:col>7</xdr:col>
      <xdr:colOff>614045</xdr:colOff>
      <xdr:row>46</xdr:row>
      <xdr:rowOff>42545</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7962900"/>
          <a:ext cx="6205220" cy="404495"/>
        </a:xfrm>
        <a:prstGeom prst="rect">
          <a:avLst/>
        </a:prstGeom>
      </xdr:spPr>
    </xdr:pic>
    <xdr:clientData/>
  </xdr:twoCellAnchor>
  <xdr:twoCellAnchor editAs="oneCell">
    <xdr:from>
      <xdr:col>0</xdr:col>
      <xdr:colOff>0</xdr:colOff>
      <xdr:row>0</xdr:row>
      <xdr:rowOff>0</xdr:rowOff>
    </xdr:from>
    <xdr:to>
      <xdr:col>7</xdr:col>
      <xdr:colOff>638175</xdr:colOff>
      <xdr:row>2</xdr:row>
      <xdr:rowOff>22860</xdr:rowOff>
    </xdr:to>
    <xdr:pic>
      <xdr:nvPicPr>
        <xdr:cNvPr id="4" name="图片 3"/>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6229350" cy="38481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5105;&#30340;&#25991;&#20214;/FC&#21457;&#36135;&#25991;&#20214;/2019/11&#26376;/&#21457;&#36135;&#34920;/FC&#21457;&#36135;&#34920;11.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C&#27169;&#29256;/2020/1&#26376;/&#21457;&#36135;&#34920;/FC&#21457;&#36135;&#349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操作页"/>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操作页"/>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info@ambeed.com" TargetMode="External"/><Relationship Id="rId2" Type="http://schemas.openxmlformats.org/officeDocument/2006/relationships/hyperlink" Target="tel:+371%2067790398" TargetMode="External"/><Relationship Id="rId1" Type="http://schemas.openxmlformats.org/officeDocument/2006/relationships/hyperlink" Target="tel:82-31-265-1112" TargetMode="External"/><Relationship Id="rId5" Type="http://schemas.openxmlformats.org/officeDocument/2006/relationships/printerSettings" Target="../printerSettings/printerSettings5.bin"/><Relationship Id="rId4" Type="http://schemas.openxmlformats.org/officeDocument/2006/relationships/hyperlink" Target="mailto:info@arkpharminc.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hyperlink" Target="tel:021-58255690" TargetMode="External"/><Relationship Id="rId2" Type="http://schemas.openxmlformats.org/officeDocument/2006/relationships/hyperlink" Target="tel:021-58255690" TargetMode="External"/><Relationship Id="rId1" Type="http://schemas.openxmlformats.org/officeDocument/2006/relationships/hyperlink" Target="tel:021-58255690" TargetMode="External"/><Relationship Id="rId4"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5.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34.bin"/><Relationship Id="rId1" Type="http://schemas.openxmlformats.org/officeDocument/2006/relationships/hyperlink" Target="tel:86-21-61052180" TargetMode="Externa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N106"/>
  <sheetViews>
    <sheetView topLeftCell="A19" workbookViewId="0">
      <selection activeCell="C36" sqref="C36"/>
    </sheetView>
  </sheetViews>
  <sheetFormatPr defaultRowHeight="14.25"/>
  <cols>
    <col min="1" max="1" width="5.25" customWidth="1"/>
    <col min="2" max="2" width="6.5" customWidth="1"/>
    <col min="3" max="3" width="26.125" customWidth="1"/>
    <col min="4" max="4" width="8.625" customWidth="1"/>
    <col min="5" max="5" width="8.5" customWidth="1"/>
    <col min="6" max="6" width="6" style="406" customWidth="1"/>
    <col min="7" max="7" width="7.5" customWidth="1"/>
    <col min="8" max="8" width="10.875" customWidth="1"/>
    <col min="9" max="9" width="13.5" customWidth="1"/>
    <col min="12" max="12" width="39.5" customWidth="1"/>
  </cols>
  <sheetData>
    <row r="1" spans="1:14" ht="4.5" customHeight="1">
      <c r="A1" s="17"/>
      <c r="B1" s="17"/>
      <c r="C1" s="17"/>
      <c r="D1" s="17"/>
      <c r="E1" s="17"/>
      <c r="F1" s="397"/>
      <c r="G1" s="17"/>
      <c r="H1" s="17"/>
      <c r="I1" s="17"/>
    </row>
    <row r="2" spans="1:14" ht="22.5">
      <c r="A2" s="470" t="s">
        <v>1206</v>
      </c>
      <c r="B2" s="470"/>
      <c r="C2" s="470"/>
      <c r="D2" s="470"/>
      <c r="E2" s="470"/>
      <c r="F2" s="470"/>
      <c r="G2" s="470"/>
      <c r="H2" s="470"/>
      <c r="I2" s="470"/>
    </row>
    <row r="3" spans="1:14" ht="3.75" customHeight="1">
      <c r="A3" s="17"/>
      <c r="B3" s="17"/>
      <c r="C3" s="17"/>
      <c r="D3" s="17"/>
      <c r="E3" s="17"/>
      <c r="F3" s="397"/>
      <c r="G3" s="17"/>
      <c r="H3" s="34"/>
      <c r="I3" s="48"/>
    </row>
    <row r="4" spans="1:14" ht="3.75" customHeight="1">
      <c r="A4" s="17"/>
      <c r="B4" s="17"/>
      <c r="C4" s="17"/>
      <c r="D4" s="17"/>
      <c r="E4" s="17"/>
      <c r="F4" s="397"/>
      <c r="G4" s="17"/>
      <c r="H4" s="17"/>
      <c r="I4" s="17"/>
    </row>
    <row r="5" spans="1:14" ht="15.75">
      <c r="A5" s="35" t="s">
        <v>43</v>
      </c>
      <c r="B5" s="36"/>
      <c r="C5" s="36"/>
      <c r="D5" s="37"/>
      <c r="E5" s="61"/>
      <c r="F5" s="398" t="s">
        <v>42</v>
      </c>
      <c r="G5" s="71"/>
      <c r="H5" s="36"/>
      <c r="I5" s="37"/>
    </row>
    <row r="6" spans="1:14" ht="15.75">
      <c r="A6" s="103" t="s">
        <v>229</v>
      </c>
      <c r="B6" s="58"/>
      <c r="C6" s="58"/>
      <c r="D6" s="59"/>
      <c r="E6" s="58"/>
      <c r="F6" s="399" t="str">
        <f>VLOOKUP(LEFT(发货清单!$R$2,8)&amp;"-"&amp;ROW(A1),地址数据库!A:B,2,0)</f>
        <v xml:space="preserve"> Fluorochem Limited</v>
      </c>
      <c r="G6" s="422"/>
      <c r="H6" s="423"/>
      <c r="I6" s="424"/>
    </row>
    <row r="7" spans="1:14" ht="15" customHeight="1">
      <c r="A7" s="104" t="s">
        <v>527</v>
      </c>
      <c r="B7" s="60"/>
      <c r="C7" s="60"/>
      <c r="D7" s="59"/>
      <c r="E7" s="61"/>
      <c r="F7" s="432" t="str">
        <f>VLOOKUP(LEFT(发货清单!$R$2,8)&amp;"-"&amp;ROW(A2),地址数据库!A:B,2,0)</f>
        <v>Unit 14 Graphite Way</v>
      </c>
      <c r="G7" s="425"/>
      <c r="H7" s="426"/>
      <c r="I7" s="424"/>
      <c r="J7" s="16"/>
    </row>
    <row r="8" spans="1:14" ht="15" customHeight="1">
      <c r="A8" s="104" t="s">
        <v>529</v>
      </c>
      <c r="B8" s="60"/>
      <c r="C8" s="60"/>
      <c r="D8" s="59"/>
      <c r="E8" s="61"/>
      <c r="F8" s="431" t="str">
        <f>VLOOKUP(LEFT(发货清单!$R$2,8)&amp;"-"&amp;ROW(A3),地址数据库!A:B,2,0)</f>
        <v>Hadfield  Derbyshire</v>
      </c>
      <c r="G8" s="425"/>
      <c r="H8" s="426"/>
      <c r="I8" s="424"/>
      <c r="J8" s="16"/>
    </row>
    <row r="9" spans="1:14" ht="15" customHeight="1">
      <c r="A9" s="105" t="s">
        <v>232</v>
      </c>
      <c r="B9" s="60"/>
      <c r="C9" s="60"/>
      <c r="D9" s="59"/>
      <c r="E9" s="61"/>
      <c r="F9" s="431" t="str">
        <f>VLOOKUP(LEFT(发货清单!$R$2,8)&amp;"-"&amp;ROW(A4),地址数据库!A:B,2,0)</f>
        <v>SK13 1QH UK</v>
      </c>
      <c r="G9" s="427"/>
      <c r="H9" s="426"/>
      <c r="I9" s="424"/>
      <c r="J9" s="14"/>
    </row>
    <row r="10" spans="1:14" ht="15.75">
      <c r="A10" s="106" t="s">
        <v>233</v>
      </c>
      <c r="B10" s="62"/>
      <c r="C10" s="62"/>
      <c r="D10" s="63"/>
      <c r="E10" s="61"/>
      <c r="F10" s="431" t="str">
        <f>VLOOKUP(LEFT(发货清单!$R$2,8)&amp;"-"&amp;ROW(A5),地址数据库!A:B,2,0)</f>
        <v>TEL:4401457860111</v>
      </c>
      <c r="G10" s="428"/>
      <c r="H10" s="429"/>
      <c r="I10" s="430"/>
      <c r="J10" s="14"/>
    </row>
    <row r="11" spans="1:14" ht="5.25" customHeight="1">
      <c r="A11" s="17"/>
      <c r="B11" s="17"/>
      <c r="C11" s="17"/>
      <c r="D11" s="17"/>
      <c r="E11" s="17"/>
      <c r="F11" s="397"/>
      <c r="G11" s="17"/>
      <c r="H11" s="17"/>
      <c r="I11" s="17"/>
      <c r="J11" s="14"/>
    </row>
    <row r="12" spans="1:14" s="68" customFormat="1">
      <c r="A12" s="471" t="s">
        <v>17</v>
      </c>
      <c r="B12" s="472"/>
      <c r="C12" s="235" t="s">
        <v>633</v>
      </c>
      <c r="D12" s="67" t="s">
        <v>369</v>
      </c>
      <c r="E12" s="67" t="s">
        <v>21</v>
      </c>
      <c r="F12" s="400" t="s">
        <v>19</v>
      </c>
      <c r="G12" s="276" t="s">
        <v>20</v>
      </c>
      <c r="H12" s="471" t="s">
        <v>30</v>
      </c>
      <c r="I12" s="472"/>
    </row>
    <row r="13" spans="1:14" s="68" customFormat="1" ht="12.75">
      <c r="A13" s="471"/>
      <c r="B13" s="472"/>
      <c r="C13" s="67" t="str">
        <f>发货清单!S2</f>
        <v>P100426</v>
      </c>
      <c r="D13" s="67"/>
      <c r="E13" s="67"/>
      <c r="F13" s="401" t="s">
        <v>38</v>
      </c>
      <c r="G13" s="67"/>
      <c r="H13" s="471" t="s">
        <v>386</v>
      </c>
      <c r="I13" s="472"/>
      <c r="J13" s="30"/>
    </row>
    <row r="14" spans="1:14" s="68" customFormat="1" ht="12.75">
      <c r="A14" s="471" t="s">
        <v>22</v>
      </c>
      <c r="B14" s="473"/>
      <c r="C14" s="472"/>
      <c r="D14" s="263" t="s">
        <v>70</v>
      </c>
      <c r="E14" s="471" t="s">
        <v>23</v>
      </c>
      <c r="F14" s="472"/>
      <c r="G14" s="277" t="s">
        <v>29</v>
      </c>
      <c r="H14" s="471" t="s">
        <v>18</v>
      </c>
      <c r="I14" s="472"/>
      <c r="J14" s="30"/>
    </row>
    <row r="15" spans="1:14" s="28" customFormat="1" ht="15.75">
      <c r="A15" s="476" t="s">
        <v>39</v>
      </c>
      <c r="B15" s="477"/>
      <c r="C15" s="478"/>
      <c r="D15" s="27"/>
      <c r="E15" s="476" t="str">
        <f>VLOOKUP(LEFT(发货清单!R2,8)&amp;"-"&amp;ROW(A1),地址数据库!A:E,5,0)</f>
        <v>UK</v>
      </c>
      <c r="F15" s="478"/>
      <c r="G15" s="79">
        <f ca="1">TODAY()</f>
        <v>43839</v>
      </c>
      <c r="H15" s="479" t="str">
        <f>发货清单!$AA$2</f>
        <v>20200109-607</v>
      </c>
      <c r="I15" s="480"/>
      <c r="J15" s="30"/>
    </row>
    <row r="16" spans="1:14" s="26" customFormat="1" ht="23.25" customHeight="1">
      <c r="A16" s="66" t="s">
        <v>24</v>
      </c>
      <c r="B16" s="481" t="s">
        <v>25</v>
      </c>
      <c r="C16" s="482"/>
      <c r="D16" s="483"/>
      <c r="E16" s="55" t="s">
        <v>28</v>
      </c>
      <c r="F16" s="482" t="str">
        <f>IF(E15="USA","HTS code","HS code")</f>
        <v>HS code</v>
      </c>
      <c r="G16" s="483"/>
      <c r="H16" s="455" t="s">
        <v>26</v>
      </c>
      <c r="I16" s="455" t="s">
        <v>27</v>
      </c>
      <c r="N16" s="47"/>
    </row>
    <row r="17" spans="1:12" s="44" customFormat="1" ht="30" customHeight="1">
      <c r="A17" s="176">
        <f>辅助!N2</f>
        <v>600</v>
      </c>
      <c r="B17" s="474" t="str">
        <f>IFERROR(辅助!P2&amp;CHAR(10)&amp;VLOOKUP(辅助!P2,数据库!C:G,5,0),"")</f>
        <v>Carboxylic acid compound category (AB-04)1
White powder</v>
      </c>
      <c r="C17" s="474"/>
      <c r="D17" s="474"/>
      <c r="E17" s="309" t="str">
        <f>IF(A17=0,"","Glass/Plastic bottle")</f>
        <v>Glass/Plastic bottle</v>
      </c>
      <c r="F17" s="475">
        <f>IFERROR(IF($E$15="USA",VLOOKUP(辅助!R2,数据库!D:E,2,0),辅助!R2),"")</f>
        <v>2917190090</v>
      </c>
      <c r="G17" s="475"/>
      <c r="H17" s="275">
        <f>I17/A17</f>
        <v>0.36399999999999999</v>
      </c>
      <c r="I17" s="177">
        <f>辅助!O2</f>
        <v>218.4</v>
      </c>
      <c r="L17" s="384" t="str">
        <f>辅助!P2&amp;"/"&amp;辅助!N2&amp;"g"&amp;IF(辅助!P3="",,CHAR(10)&amp;辅助!P3&amp;"/"&amp;辅助!N3&amp;"g")&amp;IF(辅助!P4="",,CHAR(10)&amp;辅助!P4&amp;"/"&amp;辅助!N4&amp;"g")&amp;IF(辅助!P5="",,CHAR(10)&amp;辅助!P5&amp;"/"&amp;辅助!N5&amp;"g")&amp;IF(辅助!P6="",,CHAR(10)&amp;辅助!P6&amp;"/"&amp;辅助!N6&amp;"g")</f>
        <v>Carboxylic acid compound category (AB-04)1/600g
Carboxylic acid compound category (AB-04)6/10g
Sulfonamide compound category(AB-08)1/1000g
Heterocyclic with single or more oxygen atoms compound category （AB-15）4/205g
Acyclic hydrocarbon compound category （AB-02）11/500g</v>
      </c>
    </row>
    <row r="18" spans="1:12" s="44" customFormat="1" ht="30" customHeight="1">
      <c r="A18" s="176">
        <f>辅助!N3</f>
        <v>10</v>
      </c>
      <c r="B18" s="474" t="str">
        <f>IFERROR(辅助!P3&amp;CHAR(10)&amp;VLOOKUP(辅助!P3,数据库!C:G,5,0),"")</f>
        <v>Carboxylic acid compound category (AB-04)6
White Solid</v>
      </c>
      <c r="C18" s="474"/>
      <c r="D18" s="474"/>
      <c r="E18" s="309" t="str">
        <f t="shared" ref="E18:E28" si="0">IF(A18=0,"","Glass/Plastic bottle")</f>
        <v>Glass/Plastic bottle</v>
      </c>
      <c r="F18" s="475">
        <f>IFERROR(IF($E$15="USA",VLOOKUP(辅助!R3,数据库!D:E,2,0),辅助!R3),"")</f>
        <v>2917190090</v>
      </c>
      <c r="G18" s="475"/>
      <c r="H18" s="275">
        <f>IF(A18=0,0,I18/A18)</f>
        <v>15.680000000000001</v>
      </c>
      <c r="I18" s="177">
        <f>辅助!O3</f>
        <v>156.80000000000001</v>
      </c>
      <c r="L18" s="44">
        <f>COUNTA(发货清单!H:H)-1</f>
        <v>29</v>
      </c>
    </row>
    <row r="19" spans="1:12" s="44" customFormat="1" ht="30" customHeight="1">
      <c r="A19" s="176">
        <f>辅助!N4</f>
        <v>1000</v>
      </c>
      <c r="B19" s="474" t="str">
        <f>IFERROR(辅助!P4&amp;CHAR(10)&amp;VLOOKUP(辅助!P4,数据库!C:G,5,0),"")</f>
        <v>Sulfonamide compound category(AB-08)1
White Solid</v>
      </c>
      <c r="C19" s="474"/>
      <c r="D19" s="474"/>
      <c r="E19" s="309" t="str">
        <f t="shared" si="0"/>
        <v>Glass/Plastic bottle</v>
      </c>
      <c r="F19" s="475">
        <f>IFERROR(IF($E$15="USA",VLOOKUP(辅助!R4,数据库!D:E,2,0),辅助!R4),"")</f>
        <v>2935900090</v>
      </c>
      <c r="G19" s="475"/>
      <c r="H19" s="275">
        <f t="shared" ref="H19:H28" si="1">IF(A19=0,0,I19/A19)</f>
        <v>5.5299999999999995E-2</v>
      </c>
      <c r="I19" s="177">
        <f>辅助!O4</f>
        <v>55.3</v>
      </c>
      <c r="L19" s="44">
        <f>SUM(辅助!N:N)/1000</f>
        <v>3.266</v>
      </c>
    </row>
    <row r="20" spans="1:12" s="44" customFormat="1" ht="30" customHeight="1">
      <c r="A20" s="176">
        <f>辅助!N5</f>
        <v>205</v>
      </c>
      <c r="B20" s="474" t="str">
        <f>IFERROR(辅助!P5&amp;CHAR(10)&amp;VLOOKUP(辅助!P5,数据库!C:G,5,0),"")</f>
        <v>Heterocyclic with single or more oxygen atoms compound category （AB-15）4
White crystal</v>
      </c>
      <c r="C20" s="474"/>
      <c r="D20" s="474"/>
      <c r="E20" s="309" t="str">
        <f t="shared" si="0"/>
        <v>Glass/Plastic bottle</v>
      </c>
      <c r="F20" s="475">
        <f>IFERROR(IF($E$15="USA",VLOOKUP(辅助!R5,数据库!D:E,2,0),辅助!R5),"")</f>
        <v>2932999099</v>
      </c>
      <c r="G20" s="475"/>
      <c r="H20" s="275">
        <f t="shared" si="1"/>
        <v>0.48829268292682926</v>
      </c>
      <c r="I20" s="177">
        <f>辅助!O5</f>
        <v>100.1</v>
      </c>
      <c r="L20" s="385">
        <f>I29</f>
        <v>3532.9</v>
      </c>
    </row>
    <row r="21" spans="1:12" s="44" customFormat="1" ht="30" customHeight="1">
      <c r="A21" s="176">
        <f>辅助!N6</f>
        <v>500</v>
      </c>
      <c r="B21" s="474" t="str">
        <f>IFERROR(辅助!P6&amp;CHAR(10)&amp;VLOOKUP(辅助!P6,数据库!C:G,5,0),"")</f>
        <v>Acyclic hydrocarbon compound category （AB-02）11
Colorless Transparent Liquid</v>
      </c>
      <c r="C21" s="474"/>
      <c r="D21" s="474"/>
      <c r="E21" s="309" t="str">
        <f t="shared" si="0"/>
        <v>Glass/Plastic bottle</v>
      </c>
      <c r="F21" s="475">
        <f>IFERROR(IF($E$15="USA",VLOOKUP(辅助!R6,数据库!D:E,2,0),辅助!R6),"")</f>
        <v>2903399090</v>
      </c>
      <c r="G21" s="475"/>
      <c r="H21" s="275">
        <f t="shared" si="1"/>
        <v>0.2044</v>
      </c>
      <c r="I21" s="177">
        <f>辅助!O6</f>
        <v>102.2</v>
      </c>
    </row>
    <row r="22" spans="1:12" s="44" customFormat="1" ht="30" customHeight="1">
      <c r="A22" s="176">
        <f>辅助!N7</f>
        <v>26</v>
      </c>
      <c r="B22" s="474" t="str">
        <f>IFERROR(辅助!P7&amp;CHAR(10)&amp;VLOOKUP(辅助!P7,数据库!C:G,5,0),"")</f>
        <v>Acyclic hydrocarbon compound category （AB-02）13
brown liquid</v>
      </c>
      <c r="C22" s="474"/>
      <c r="D22" s="474"/>
      <c r="E22" s="309" t="str">
        <f t="shared" si="0"/>
        <v>Glass/Plastic bottle</v>
      </c>
      <c r="F22" s="475">
        <f>IFERROR(IF($E$15="USA",VLOOKUP(辅助!R7,数据库!D:E,2,0),辅助!R7),"")</f>
        <v>2903399090</v>
      </c>
      <c r="G22" s="475"/>
      <c r="H22" s="275">
        <f t="shared" si="1"/>
        <v>5.3307692307692314</v>
      </c>
      <c r="I22" s="177">
        <f>辅助!O7</f>
        <v>138.60000000000002</v>
      </c>
    </row>
    <row r="23" spans="1:12" s="44" customFormat="1" ht="30" customHeight="1">
      <c r="A23" s="176">
        <f>辅助!N8</f>
        <v>25</v>
      </c>
      <c r="B23" s="474" t="str">
        <f>IFERROR(辅助!P8&amp;CHAR(10)&amp;VLOOKUP(辅助!P8,数据库!C:G,5,0),"")</f>
        <v>Heterocyclic with nitrogen compound category (AB-06)46
Yellow powder</v>
      </c>
      <c r="C23" s="474"/>
      <c r="D23" s="474"/>
      <c r="E23" s="309" t="str">
        <f t="shared" si="0"/>
        <v>Glass/Plastic bottle</v>
      </c>
      <c r="F23" s="475">
        <f>IFERROR(IF($E$15="USA",VLOOKUP(辅助!R8,数据库!D:E,2,0),辅助!R8),"")</f>
        <v>2933990099</v>
      </c>
      <c r="G23" s="475"/>
      <c r="H23" s="275">
        <f t="shared" si="1"/>
        <v>2.4079999999999999</v>
      </c>
      <c r="I23" s="177">
        <f>辅助!O8</f>
        <v>60.2</v>
      </c>
    </row>
    <row r="24" spans="1:12" s="44" customFormat="1" ht="30" customHeight="1">
      <c r="A24" s="176">
        <f>辅助!N9</f>
        <v>50</v>
      </c>
      <c r="B24" s="474" t="str">
        <f>IFERROR(辅助!P9&amp;CHAR(10)&amp;VLOOKUP(辅助!P9,数据库!C:G,5,0),"")</f>
        <v>Heterocyclic with nitrogen compound category (AB-06)53
Brown solid</v>
      </c>
      <c r="C24" s="474"/>
      <c r="D24" s="474"/>
      <c r="E24" s="309" t="str">
        <f t="shared" si="0"/>
        <v>Glass/Plastic bottle</v>
      </c>
      <c r="F24" s="475">
        <f>IFERROR(IF($E$15="USA",VLOOKUP(辅助!R9,数据库!D:E,2,0),辅助!R9),"")</f>
        <v>2933990099</v>
      </c>
      <c r="G24" s="475"/>
      <c r="H24" s="275">
        <f t="shared" si="1"/>
        <v>42.798000000000002</v>
      </c>
      <c r="I24" s="177">
        <f>辅助!O9</f>
        <v>2139.9</v>
      </c>
    </row>
    <row r="25" spans="1:12" s="44" customFormat="1" ht="30" customHeight="1">
      <c r="A25" s="176">
        <f>辅助!N10</f>
        <v>700</v>
      </c>
      <c r="B25" s="474" t="str">
        <f>IFERROR(辅助!P10&amp;CHAR(10)&amp;VLOOKUP(辅助!P10,数据库!C:G,5,0),"")</f>
        <v>Aromatic ring products without heteroatoms category （AB-16）33
Light yellow-green granular crystals</v>
      </c>
      <c r="C25" s="474"/>
      <c r="D25" s="474"/>
      <c r="E25" s="309" t="str">
        <f t="shared" si="0"/>
        <v>Glass/Plastic bottle</v>
      </c>
      <c r="F25" s="475">
        <f>IFERROR(IF($E$15="USA",VLOOKUP(辅助!R10,数据库!D:E,2,0),辅助!R10),"")</f>
        <v>2903999090</v>
      </c>
      <c r="G25" s="475"/>
      <c r="H25" s="275">
        <f t="shared" si="1"/>
        <v>0.39799999999999996</v>
      </c>
      <c r="I25" s="177">
        <f>辅助!O10</f>
        <v>278.59999999999997</v>
      </c>
    </row>
    <row r="26" spans="1:12" s="44" customFormat="1" ht="30" customHeight="1">
      <c r="A26" s="176">
        <f>辅助!N11</f>
        <v>150</v>
      </c>
      <c r="B26" s="474" t="str">
        <f>IFERROR(辅助!P11&amp;CHAR(10)&amp;VLOOKUP(辅助!P11,数据库!C:G,5,0),"")</f>
        <v>Aromatic ring products without heteroatoms category （AB-16）36
White powder</v>
      </c>
      <c r="C26" s="474"/>
      <c r="D26" s="474"/>
      <c r="E26" s="309" t="str">
        <f t="shared" si="0"/>
        <v>Glass/Plastic bottle</v>
      </c>
      <c r="F26" s="475">
        <f>IFERROR(IF($E$15="USA",VLOOKUP(辅助!R11,数据库!D:E,2,0),辅助!R11),"")</f>
        <v>2916399090</v>
      </c>
      <c r="G26" s="475"/>
      <c r="H26" s="275">
        <f t="shared" si="1"/>
        <v>1.8853333333333333</v>
      </c>
      <c r="I26" s="177">
        <f>辅助!O11</f>
        <v>282.8</v>
      </c>
    </row>
    <row r="27" spans="1:12" s="44" customFormat="1" ht="30" customHeight="1">
      <c r="A27" s="176">
        <f>辅助!N12</f>
        <v>0</v>
      </c>
      <c r="B27" s="474" t="str">
        <f>IFERROR(辅助!P12&amp;CHAR(10)&amp;VLOOKUP(辅助!P12,数据库!C:G,5,0),"")</f>
        <v/>
      </c>
      <c r="C27" s="474"/>
      <c r="D27" s="474"/>
      <c r="E27" s="309" t="str">
        <f t="shared" si="0"/>
        <v/>
      </c>
      <c r="F27" s="475" t="str">
        <f>IFERROR(IF($E$15="USA",VLOOKUP(辅助!R12,数据库!D:E,2,0),辅助!R12),"")</f>
        <v/>
      </c>
      <c r="G27" s="475"/>
      <c r="H27" s="275">
        <f t="shared" si="1"/>
        <v>0</v>
      </c>
      <c r="I27" s="177">
        <f>辅助!O12</f>
        <v>0</v>
      </c>
    </row>
    <row r="28" spans="1:12" s="44" customFormat="1" ht="30" customHeight="1">
      <c r="A28" s="176">
        <f>辅助!N13</f>
        <v>0</v>
      </c>
      <c r="B28" s="474" t="str">
        <f>IFERROR(辅助!P13&amp;CHAR(10)&amp;VLOOKUP(辅助!P13,数据库!C:G,5,0),"")</f>
        <v/>
      </c>
      <c r="C28" s="474"/>
      <c r="D28" s="474"/>
      <c r="E28" s="309" t="str">
        <f t="shared" si="0"/>
        <v/>
      </c>
      <c r="F28" s="475" t="str">
        <f>IFERROR(IF($E$15="USA",VLOOKUP(辅助!R13,数据库!D:E,2,0),辅助!R13),"")</f>
        <v/>
      </c>
      <c r="G28" s="475"/>
      <c r="H28" s="275">
        <f t="shared" si="1"/>
        <v>0</v>
      </c>
      <c r="I28" s="177">
        <f>辅助!O13</f>
        <v>0</v>
      </c>
    </row>
    <row r="29" spans="1:12" s="44" customFormat="1" ht="33.75" customHeight="1" thickBot="1">
      <c r="A29" s="176"/>
      <c r="B29" s="510" t="str">
        <f>IF(COUNTIF(辅助!N:N,"&gt;0")&lt;=12,"Total Net Weight（g）:   "&amp;SUM(辅助!N:N)," ")&amp;CHAR(10)&amp;IF(COUNTIF(辅助!N:N,"&gt;0")&lt;=12,"Gross Weight(kg):   "&amp;发货清单!Y2," ")</f>
        <v>Total Net Weight（g）:   3266
Gross Weight(kg):   10</v>
      </c>
      <c r="C29" s="511"/>
      <c r="D29" s="512"/>
      <c r="E29" s="66"/>
      <c r="F29" s="475"/>
      <c r="G29" s="475"/>
      <c r="H29" s="278" t="str">
        <f>IF(COUNTIF(辅助!O:O,"&gt;0")&lt;=12,"TOTAL:"," ")</f>
        <v>TOTAL:</v>
      </c>
      <c r="I29" s="274">
        <f>IF(COUNTIF(辅助!O:O,"&gt;0")&lt;=12,SUM(辅助!O:O)," ")</f>
        <v>3532.9</v>
      </c>
    </row>
    <row r="30" spans="1:12" ht="15.75">
      <c r="A30" s="169" t="s">
        <v>31</v>
      </c>
      <c r="B30" s="170"/>
      <c r="C30" s="170"/>
      <c r="D30" s="171"/>
      <c r="E30" s="41"/>
      <c r="F30" s="484"/>
      <c r="G30" s="484"/>
      <c r="H30" s="484"/>
      <c r="I30" s="485"/>
    </row>
    <row r="31" spans="1:12" ht="15" customHeight="1">
      <c r="A31" s="486" t="str">
        <f>IF(LEFT(发货清单!R2,8)="WB000178","I certify that all chemicals in this shipment are subject to TSCA.","I certify that all chemicals in this shipment are not subject to TSCA.")</f>
        <v>I certify that all chemicals in this shipment are not subject to TSCA.</v>
      </c>
      <c r="B31" s="487"/>
      <c r="C31" s="488"/>
      <c r="D31" s="39"/>
      <c r="E31" s="492" t="s">
        <v>73</v>
      </c>
      <c r="F31" s="493"/>
      <c r="G31" s="493"/>
      <c r="H31" s="493"/>
      <c r="I31" s="494"/>
    </row>
    <row r="32" spans="1:12" ht="11.25" customHeight="1" thickBot="1">
      <c r="A32" s="489"/>
      <c r="B32" s="490"/>
      <c r="C32" s="491"/>
      <c r="D32" s="39"/>
      <c r="E32" s="495"/>
      <c r="F32" s="496"/>
      <c r="G32" s="496"/>
      <c r="H32" s="496"/>
      <c r="I32" s="497"/>
    </row>
    <row r="33" spans="1:10" ht="16.5" customHeight="1" thickBot="1">
      <c r="A33" s="498" t="s">
        <v>525</v>
      </c>
      <c r="B33" s="499"/>
      <c r="C33" s="500"/>
      <c r="D33" s="39"/>
      <c r="E33" s="42" t="s">
        <v>71</v>
      </c>
      <c r="F33" s="402"/>
      <c r="G33" s="507" t="str">
        <f>发货清单!F2</f>
        <v>2786337676</v>
      </c>
      <c r="H33" s="508"/>
      <c r="I33" s="509"/>
    </row>
    <row r="34" spans="1:10" ht="32.25" customHeight="1" thickBot="1">
      <c r="A34" s="501"/>
      <c r="B34" s="502"/>
      <c r="C34" s="503"/>
      <c r="D34" s="39"/>
      <c r="E34" s="42" t="s">
        <v>34</v>
      </c>
      <c r="F34" s="402"/>
      <c r="G34" s="43"/>
      <c r="H34" s="43"/>
      <c r="I34" s="172"/>
    </row>
    <row r="35" spans="1:10" ht="15" thickBot="1">
      <c r="A35" s="504"/>
      <c r="B35" s="505"/>
      <c r="C35" s="506"/>
      <c r="D35" s="43"/>
      <c r="E35" s="43"/>
      <c r="F35" s="403"/>
      <c r="G35" s="43"/>
      <c r="H35" s="43"/>
      <c r="I35" s="172"/>
    </row>
    <row r="36" spans="1:10" ht="21.75" customHeight="1">
      <c r="A36" s="17"/>
      <c r="B36" s="17"/>
      <c r="C36" s="17"/>
      <c r="D36" s="17"/>
      <c r="E36" s="310" t="str">
        <f>"page 1/"&amp;IF(COUNTIF(辅助!K:K,"&gt;0")&lt;13,1,IF(COUNTIF(辅助!K:K,"&gt;0")&lt;25,2,3))</f>
        <v>page 1/1</v>
      </c>
      <c r="F36" s="397"/>
      <c r="G36" s="17"/>
      <c r="H36" s="17"/>
      <c r="I36" s="17"/>
    </row>
    <row r="37" spans="1:10" ht="22.5">
      <c r="A37" s="470" t="s">
        <v>44</v>
      </c>
      <c r="B37" s="470"/>
      <c r="C37" s="470"/>
      <c r="D37" s="470"/>
      <c r="E37" s="470"/>
      <c r="F37" s="470"/>
      <c r="G37" s="470"/>
      <c r="H37" s="470"/>
      <c r="I37" s="470"/>
    </row>
    <row r="38" spans="1:10" ht="3.75" customHeight="1">
      <c r="A38" s="17"/>
      <c r="B38" s="17"/>
      <c r="C38" s="17"/>
      <c r="D38" s="17"/>
      <c r="E38" s="17"/>
      <c r="F38" s="397"/>
      <c r="G38" s="17"/>
      <c r="H38" s="34"/>
      <c r="I38" s="48"/>
    </row>
    <row r="39" spans="1:10" ht="3.75" customHeight="1">
      <c r="A39" s="17"/>
      <c r="B39" s="17"/>
      <c r="C39" s="17"/>
      <c r="D39" s="17"/>
      <c r="E39" s="17"/>
      <c r="F39" s="397"/>
      <c r="G39" s="17"/>
      <c r="H39" s="17"/>
      <c r="I39" s="17"/>
    </row>
    <row r="40" spans="1:10" ht="15.75">
      <c r="A40" s="35" t="s">
        <v>43</v>
      </c>
      <c r="B40" s="36"/>
      <c r="C40" s="36"/>
      <c r="D40" s="37"/>
      <c r="E40" s="61"/>
      <c r="F40" s="398" t="s">
        <v>42</v>
      </c>
      <c r="G40" s="71"/>
      <c r="H40" s="36"/>
      <c r="I40" s="37"/>
    </row>
    <row r="41" spans="1:10" ht="15.75">
      <c r="A41" s="103" t="s">
        <v>75</v>
      </c>
      <c r="B41" s="58"/>
      <c r="C41" s="58"/>
      <c r="D41" s="59"/>
      <c r="E41" s="58"/>
      <c r="F41" s="399" t="str">
        <f>F6</f>
        <v xml:space="preserve"> Fluorochem Limited</v>
      </c>
      <c r="G41" s="192"/>
      <c r="H41" s="15"/>
      <c r="I41" s="38"/>
    </row>
    <row r="42" spans="1:10" ht="15" customHeight="1">
      <c r="A42" s="104" t="s">
        <v>527</v>
      </c>
      <c r="B42" s="60"/>
      <c r="C42" s="60"/>
      <c r="D42" s="59"/>
      <c r="E42" s="61"/>
      <c r="F42" s="404" t="str">
        <f t="shared" ref="F42:F45" si="2">F7</f>
        <v>Unit 14 Graphite Way</v>
      </c>
      <c r="G42" s="7"/>
      <c r="H42" s="39"/>
      <c r="I42" s="38"/>
      <c r="J42" s="16"/>
    </row>
    <row r="43" spans="1:10" ht="15" customHeight="1">
      <c r="A43" s="104" t="s">
        <v>529</v>
      </c>
      <c r="B43" s="60"/>
      <c r="C43" s="60"/>
      <c r="D43" s="59"/>
      <c r="E43" s="61"/>
      <c r="F43" s="404" t="str">
        <f t="shared" si="2"/>
        <v>Hadfield  Derbyshire</v>
      </c>
      <c r="G43" s="7"/>
      <c r="H43" s="39"/>
      <c r="I43" s="38"/>
      <c r="J43" s="16"/>
    </row>
    <row r="44" spans="1:10" ht="15" customHeight="1">
      <c r="A44" s="105" t="s">
        <v>232</v>
      </c>
      <c r="B44" s="60"/>
      <c r="C44" s="60"/>
      <c r="D44" s="59"/>
      <c r="E44" s="61"/>
      <c r="F44" s="404" t="str">
        <f t="shared" si="2"/>
        <v>SK13 1QH UK</v>
      </c>
      <c r="G44" s="193"/>
      <c r="H44" s="39"/>
      <c r="I44" s="38"/>
      <c r="J44" s="14"/>
    </row>
    <row r="45" spans="1:10" ht="15">
      <c r="A45" s="106" t="s">
        <v>233</v>
      </c>
      <c r="B45" s="62"/>
      <c r="C45" s="62"/>
      <c r="D45" s="63"/>
      <c r="E45" s="61"/>
      <c r="F45" s="404" t="str">
        <f t="shared" si="2"/>
        <v>TEL:4401457860111</v>
      </c>
      <c r="G45" s="6"/>
      <c r="H45" s="18"/>
      <c r="I45" s="40"/>
      <c r="J45" s="14"/>
    </row>
    <row r="46" spans="1:10" ht="5.25" customHeight="1">
      <c r="A46" s="17"/>
      <c r="B46" s="17"/>
      <c r="C46" s="17"/>
      <c r="D46" s="17"/>
      <c r="E46" s="17"/>
      <c r="F46" s="397"/>
      <c r="G46" s="17"/>
      <c r="H46" s="17"/>
      <c r="I46" s="17"/>
      <c r="J46" s="14"/>
    </row>
    <row r="47" spans="1:10" s="68" customFormat="1">
      <c r="A47" s="471" t="s">
        <v>17</v>
      </c>
      <c r="B47" s="472"/>
      <c r="C47" s="67" t="s">
        <v>632</v>
      </c>
      <c r="D47" s="263" t="s">
        <v>369</v>
      </c>
      <c r="E47" s="67" t="s">
        <v>21</v>
      </c>
      <c r="F47" s="400" t="s">
        <v>19</v>
      </c>
      <c r="G47" s="276" t="s">
        <v>20</v>
      </c>
      <c r="H47" s="471" t="s">
        <v>30</v>
      </c>
      <c r="I47" s="472"/>
    </row>
    <row r="48" spans="1:10" s="68" customFormat="1" ht="12.75">
      <c r="A48" s="471"/>
      <c r="B48" s="472"/>
      <c r="C48" s="67" t="str">
        <f>C13</f>
        <v>P100426</v>
      </c>
      <c r="D48" s="67"/>
      <c r="E48" s="67"/>
      <c r="F48" s="401" t="s">
        <v>38</v>
      </c>
      <c r="G48" s="67"/>
      <c r="H48" s="471" t="s">
        <v>386</v>
      </c>
      <c r="I48" s="472"/>
      <c r="J48" s="30"/>
    </row>
    <row r="49" spans="1:14" s="68" customFormat="1" ht="12.75">
      <c r="A49" s="471" t="s">
        <v>22</v>
      </c>
      <c r="B49" s="473"/>
      <c r="C49" s="472"/>
      <c r="D49" s="263" t="s">
        <v>70</v>
      </c>
      <c r="E49" s="471" t="s">
        <v>23</v>
      </c>
      <c r="F49" s="472"/>
      <c r="G49" s="277" t="s">
        <v>29</v>
      </c>
      <c r="H49" s="471" t="s">
        <v>18</v>
      </c>
      <c r="I49" s="472"/>
      <c r="J49" s="30"/>
    </row>
    <row r="50" spans="1:14" s="28" customFormat="1" ht="15.75">
      <c r="A50" s="476" t="s">
        <v>39</v>
      </c>
      <c r="B50" s="477"/>
      <c r="C50" s="478"/>
      <c r="D50" s="27"/>
      <c r="E50" s="476" t="str">
        <f>E15</f>
        <v>UK</v>
      </c>
      <c r="F50" s="478"/>
      <c r="G50" s="79">
        <f ca="1">TODAY()</f>
        <v>43839</v>
      </c>
      <c r="H50" s="479" t="str">
        <f>发货清单!$AA$2</f>
        <v>20200109-607</v>
      </c>
      <c r="I50" s="480"/>
      <c r="J50" s="30"/>
    </row>
    <row r="51" spans="1:14" s="26" customFormat="1" ht="23.25" customHeight="1">
      <c r="A51" s="66" t="s">
        <v>24</v>
      </c>
      <c r="B51" s="481" t="s">
        <v>25</v>
      </c>
      <c r="C51" s="482"/>
      <c r="D51" s="483"/>
      <c r="E51" s="55" t="s">
        <v>28</v>
      </c>
      <c r="F51" s="482" t="str">
        <f>F16</f>
        <v>HS code</v>
      </c>
      <c r="G51" s="483"/>
      <c r="H51" s="455" t="s">
        <v>26</v>
      </c>
      <c r="I51" s="455" t="s">
        <v>27</v>
      </c>
      <c r="N51" s="47"/>
    </row>
    <row r="52" spans="1:14" s="44" customFormat="1" ht="30" customHeight="1">
      <c r="A52" s="176">
        <f>辅助!N14</f>
        <v>0</v>
      </c>
      <c r="B52" s="474" t="str">
        <f>IFERROR(辅助!P14&amp;CHAR(10)&amp;VLOOKUP(辅助!P14,数据库!C:G,5,0),"")</f>
        <v/>
      </c>
      <c r="C52" s="474"/>
      <c r="D52" s="474"/>
      <c r="E52" s="309" t="str">
        <f t="shared" ref="E52:E63" si="3">IF(A52=0,"","Glass/Plastic bottle")</f>
        <v/>
      </c>
      <c r="F52" s="475" t="str">
        <f>IFERROR(IF($E$15="USA",VLOOKUP(辅助!R14,数据库!D:E,2,0),辅助!R14),"")</f>
        <v/>
      </c>
      <c r="G52" s="475"/>
      <c r="H52" s="275">
        <f>IF(A52=0,0,I52/A52)</f>
        <v>0</v>
      </c>
      <c r="I52" s="177">
        <f>辅助!O14</f>
        <v>0</v>
      </c>
    </row>
    <row r="53" spans="1:14" s="44" customFormat="1" ht="30" customHeight="1">
      <c r="A53" s="176">
        <f>辅助!N15</f>
        <v>0</v>
      </c>
      <c r="B53" s="474" t="str">
        <f>IFERROR(辅助!P15&amp;CHAR(10)&amp;VLOOKUP(辅助!P15,数据库!C:G,5,0),"")</f>
        <v/>
      </c>
      <c r="C53" s="474"/>
      <c r="D53" s="474"/>
      <c r="E53" s="309" t="str">
        <f t="shared" si="3"/>
        <v/>
      </c>
      <c r="F53" s="475" t="str">
        <f>IFERROR(IF($E$15="USA",VLOOKUP(辅助!R15,数据库!D:E,2,0),辅助!R15),"")</f>
        <v/>
      </c>
      <c r="G53" s="475"/>
      <c r="H53" s="275">
        <f>IF(A53=0,0,I53/A53)</f>
        <v>0</v>
      </c>
      <c r="I53" s="177">
        <f>辅助!O15</f>
        <v>0</v>
      </c>
    </row>
    <row r="54" spans="1:14" s="44" customFormat="1" ht="30" customHeight="1">
      <c r="A54" s="176">
        <f>辅助!N16</f>
        <v>0</v>
      </c>
      <c r="B54" s="474" t="str">
        <f>IFERROR(辅助!P16&amp;CHAR(10)&amp;VLOOKUP(辅助!P16,数据库!C:G,5,0),"")</f>
        <v/>
      </c>
      <c r="C54" s="474"/>
      <c r="D54" s="474"/>
      <c r="E54" s="309" t="str">
        <f t="shared" si="3"/>
        <v/>
      </c>
      <c r="F54" s="475" t="str">
        <f>IFERROR(IF($E$15="USA",VLOOKUP(辅助!R16,数据库!D:E,2,0),辅助!R16),"")</f>
        <v/>
      </c>
      <c r="G54" s="475"/>
      <c r="H54" s="275">
        <f t="shared" ref="H54:H63" si="4">IF(A54=0,0,I54/A54)</f>
        <v>0</v>
      </c>
      <c r="I54" s="177">
        <f>辅助!O16</f>
        <v>0</v>
      </c>
    </row>
    <row r="55" spans="1:14" s="44" customFormat="1" ht="30" customHeight="1">
      <c r="A55" s="176">
        <f>辅助!N17</f>
        <v>0</v>
      </c>
      <c r="B55" s="474" t="str">
        <f>IFERROR(辅助!P17&amp;CHAR(10)&amp;VLOOKUP(辅助!P17,数据库!C:G,5,0),"")</f>
        <v/>
      </c>
      <c r="C55" s="474"/>
      <c r="D55" s="474"/>
      <c r="E55" s="309" t="str">
        <f t="shared" si="3"/>
        <v/>
      </c>
      <c r="F55" s="475" t="str">
        <f>IFERROR(IF($E$15="USA",VLOOKUP(辅助!R17,数据库!D:E,2,0),辅助!R17),"")</f>
        <v/>
      </c>
      <c r="G55" s="475"/>
      <c r="H55" s="275">
        <f t="shared" si="4"/>
        <v>0</v>
      </c>
      <c r="I55" s="177">
        <f>辅助!O17</f>
        <v>0</v>
      </c>
    </row>
    <row r="56" spans="1:14" s="44" customFormat="1" ht="30" customHeight="1">
      <c r="A56" s="176">
        <f>辅助!N18</f>
        <v>0</v>
      </c>
      <c r="B56" s="474" t="str">
        <f>IFERROR(辅助!P18&amp;CHAR(10)&amp;VLOOKUP(辅助!P18,数据库!C:G,5,0),"")</f>
        <v/>
      </c>
      <c r="C56" s="474"/>
      <c r="D56" s="474"/>
      <c r="E56" s="309" t="str">
        <f t="shared" si="3"/>
        <v/>
      </c>
      <c r="F56" s="475" t="str">
        <f>IFERROR(IF($E$15="USA",VLOOKUP(辅助!R18,数据库!D:E,2,0),辅助!R18),"")</f>
        <v/>
      </c>
      <c r="G56" s="475"/>
      <c r="H56" s="275">
        <f t="shared" si="4"/>
        <v>0</v>
      </c>
      <c r="I56" s="177">
        <f>辅助!O18</f>
        <v>0</v>
      </c>
    </row>
    <row r="57" spans="1:14" s="44" customFormat="1" ht="30" customHeight="1">
      <c r="A57" s="176">
        <f>辅助!N19</f>
        <v>0</v>
      </c>
      <c r="B57" s="474" t="str">
        <f>IFERROR(辅助!P19&amp;CHAR(10)&amp;VLOOKUP(辅助!P19,数据库!C:G,5,0),"")</f>
        <v/>
      </c>
      <c r="C57" s="474"/>
      <c r="D57" s="474"/>
      <c r="E57" s="309" t="str">
        <f t="shared" si="3"/>
        <v/>
      </c>
      <c r="F57" s="475" t="str">
        <f>IFERROR(IF($E$15="USA",VLOOKUP(辅助!R19,数据库!D:E,2,0),辅助!R19),"")</f>
        <v/>
      </c>
      <c r="G57" s="475"/>
      <c r="H57" s="275">
        <f t="shared" si="4"/>
        <v>0</v>
      </c>
      <c r="I57" s="177">
        <f>辅助!O19</f>
        <v>0</v>
      </c>
    </row>
    <row r="58" spans="1:14" s="44" customFormat="1" ht="30" customHeight="1">
      <c r="A58" s="176">
        <f>辅助!N20</f>
        <v>0</v>
      </c>
      <c r="B58" s="474" t="str">
        <f>IFERROR(辅助!P20&amp;CHAR(10)&amp;VLOOKUP(辅助!P20,数据库!C:G,5,0),"")</f>
        <v/>
      </c>
      <c r="C58" s="474"/>
      <c r="D58" s="474"/>
      <c r="E58" s="309" t="str">
        <f t="shared" si="3"/>
        <v/>
      </c>
      <c r="F58" s="475" t="str">
        <f>IFERROR(IF($E$15="USA",VLOOKUP(辅助!R20,数据库!D:E,2,0),辅助!R20),"")</f>
        <v/>
      </c>
      <c r="G58" s="475"/>
      <c r="H58" s="275">
        <f t="shared" si="4"/>
        <v>0</v>
      </c>
      <c r="I58" s="177">
        <f>辅助!O20</f>
        <v>0</v>
      </c>
    </row>
    <row r="59" spans="1:14" s="44" customFormat="1" ht="30" customHeight="1">
      <c r="A59" s="176">
        <f>辅助!N21</f>
        <v>0</v>
      </c>
      <c r="B59" s="474" t="str">
        <f>IFERROR(辅助!P21&amp;CHAR(10)&amp;VLOOKUP(辅助!P21,数据库!C:G,5,0),"")</f>
        <v/>
      </c>
      <c r="C59" s="474"/>
      <c r="D59" s="474"/>
      <c r="E59" s="309" t="str">
        <f t="shared" si="3"/>
        <v/>
      </c>
      <c r="F59" s="475" t="str">
        <f>IFERROR(IF($E$15="USA",VLOOKUP(辅助!R21,数据库!D:E,2,0),辅助!R21),"")</f>
        <v/>
      </c>
      <c r="G59" s="475"/>
      <c r="H59" s="275">
        <f t="shared" si="4"/>
        <v>0</v>
      </c>
      <c r="I59" s="177">
        <f>辅助!O21</f>
        <v>0</v>
      </c>
    </row>
    <row r="60" spans="1:14" s="44" customFormat="1" ht="30" customHeight="1">
      <c r="A60" s="176">
        <f>辅助!N22</f>
        <v>0</v>
      </c>
      <c r="B60" s="474" t="str">
        <f>IFERROR(辅助!P22&amp;CHAR(10)&amp;VLOOKUP(辅助!P22,数据库!C:G,5,0),"")</f>
        <v/>
      </c>
      <c r="C60" s="474"/>
      <c r="D60" s="474"/>
      <c r="E60" s="309" t="str">
        <f t="shared" si="3"/>
        <v/>
      </c>
      <c r="F60" s="475" t="str">
        <f>IFERROR(IF($E$15="USA",VLOOKUP(辅助!R22,数据库!D:E,2,0),辅助!R22),"")</f>
        <v/>
      </c>
      <c r="G60" s="475"/>
      <c r="H60" s="275">
        <f t="shared" si="4"/>
        <v>0</v>
      </c>
      <c r="I60" s="177">
        <f>辅助!O22</f>
        <v>0</v>
      </c>
    </row>
    <row r="61" spans="1:14" s="44" customFormat="1" ht="30" customHeight="1">
      <c r="A61" s="176">
        <f>辅助!N23</f>
        <v>0</v>
      </c>
      <c r="B61" s="474" t="str">
        <f>IFERROR(辅助!P23&amp;CHAR(10)&amp;VLOOKUP(辅助!P23,数据库!C:G,5,0),"")</f>
        <v/>
      </c>
      <c r="C61" s="474"/>
      <c r="D61" s="474"/>
      <c r="E61" s="309" t="str">
        <f t="shared" si="3"/>
        <v/>
      </c>
      <c r="F61" s="475" t="str">
        <f>IFERROR(IF($E$15="USA",VLOOKUP(辅助!R23,数据库!D:E,2,0),辅助!R23),"")</f>
        <v/>
      </c>
      <c r="G61" s="475"/>
      <c r="H61" s="275">
        <f t="shared" si="4"/>
        <v>0</v>
      </c>
      <c r="I61" s="177">
        <f>辅助!O23</f>
        <v>0</v>
      </c>
    </row>
    <row r="62" spans="1:14" s="44" customFormat="1" ht="30" customHeight="1">
      <c r="A62" s="176">
        <f>辅助!N24</f>
        <v>0</v>
      </c>
      <c r="B62" s="474" t="str">
        <f>IFERROR(辅助!P24&amp;CHAR(10)&amp;VLOOKUP(辅助!P24,数据库!C:G,5,0),"")</f>
        <v/>
      </c>
      <c r="C62" s="474"/>
      <c r="D62" s="474"/>
      <c r="E62" s="309" t="str">
        <f t="shared" si="3"/>
        <v/>
      </c>
      <c r="F62" s="475" t="str">
        <f>IFERROR(IF($E$15="USA",VLOOKUP(辅助!R24,数据库!D:E,2,0),辅助!R24),"")</f>
        <v/>
      </c>
      <c r="G62" s="475"/>
      <c r="H62" s="275">
        <f t="shared" si="4"/>
        <v>0</v>
      </c>
      <c r="I62" s="177">
        <f>辅助!O24</f>
        <v>0</v>
      </c>
    </row>
    <row r="63" spans="1:14" s="44" customFormat="1" ht="30" customHeight="1">
      <c r="A63" s="176">
        <f>辅助!N25</f>
        <v>0</v>
      </c>
      <c r="B63" s="474" t="str">
        <f>IFERROR(辅助!P25&amp;CHAR(10)&amp;VLOOKUP(辅助!P25,数据库!C:G,5,0),"")</f>
        <v/>
      </c>
      <c r="C63" s="474"/>
      <c r="D63" s="474"/>
      <c r="E63" s="309" t="str">
        <f t="shared" si="3"/>
        <v/>
      </c>
      <c r="F63" s="475" t="str">
        <f>IFERROR(IF($E$15="USA",VLOOKUP(辅助!R25,数据库!D:E,2,0),辅助!R25),"")</f>
        <v/>
      </c>
      <c r="G63" s="475"/>
      <c r="H63" s="275">
        <f t="shared" si="4"/>
        <v>0</v>
      </c>
      <c r="I63" s="177">
        <f>辅助!O25</f>
        <v>0</v>
      </c>
    </row>
    <row r="64" spans="1:14" s="44" customFormat="1" ht="37.5" customHeight="1" thickBot="1">
      <c r="A64" s="176"/>
      <c r="B64" s="510" t="str">
        <f>IF(COUNTIF(辅助!N:N,"&gt;0")&lt;=24,"Total Net Weight（g）:   "&amp;SUM(辅助!N2:N999)," ")&amp;CHAR(10)&amp;IF(COUNTIF(辅助!N:N,"&gt;0")&lt;=24,"Gross Weight(kg):   "&amp;发货清单!Y2," ")</f>
        <v>Total Net Weight（g）:   3266
Gross Weight(kg):   10</v>
      </c>
      <c r="C64" s="511"/>
      <c r="D64" s="512"/>
      <c r="E64" s="66"/>
      <c r="F64" s="475"/>
      <c r="G64" s="475"/>
      <c r="H64" s="278" t="str">
        <f>IF(COUNTIF(辅助!O:O,"&gt;0")&lt;=24,"TOTAL:"," ")</f>
        <v>TOTAL:</v>
      </c>
      <c r="I64" s="274">
        <f>IF(COUNTIF(辅助!O:O,"&gt;0")&lt;=24,SUM(辅助!O:O)," ")</f>
        <v>3532.9</v>
      </c>
    </row>
    <row r="65" spans="1:10" ht="15.75">
      <c r="A65" s="169" t="s">
        <v>31</v>
      </c>
      <c r="B65" s="170"/>
      <c r="C65" s="170"/>
      <c r="D65" s="171"/>
      <c r="E65" s="41"/>
      <c r="F65" s="484"/>
      <c r="G65" s="484"/>
      <c r="H65" s="484"/>
      <c r="I65" s="485"/>
    </row>
    <row r="66" spans="1:10" ht="15" customHeight="1">
      <c r="A66" s="486" t="str">
        <f>A31</f>
        <v>I certify that all chemicals in this shipment are not subject to TSCA.</v>
      </c>
      <c r="B66" s="487"/>
      <c r="C66" s="488"/>
      <c r="D66" s="39"/>
      <c r="E66" s="492" t="s">
        <v>73</v>
      </c>
      <c r="F66" s="493"/>
      <c r="G66" s="493"/>
      <c r="H66" s="493"/>
      <c r="I66" s="494"/>
    </row>
    <row r="67" spans="1:10" ht="12.75" customHeight="1" thickBot="1">
      <c r="A67" s="489"/>
      <c r="B67" s="490"/>
      <c r="C67" s="491"/>
      <c r="D67" s="39"/>
      <c r="E67" s="495"/>
      <c r="F67" s="496"/>
      <c r="G67" s="496"/>
      <c r="H67" s="496"/>
      <c r="I67" s="497"/>
    </row>
    <row r="68" spans="1:10" ht="16.5" customHeight="1" thickBot="1">
      <c r="A68" s="498" t="s">
        <v>525</v>
      </c>
      <c r="B68" s="499"/>
      <c r="C68" s="500"/>
      <c r="D68" s="39"/>
      <c r="E68" s="42" t="s">
        <v>71</v>
      </c>
      <c r="F68" s="402"/>
      <c r="G68" s="507" t="str">
        <f>G33</f>
        <v>2786337676</v>
      </c>
      <c r="H68" s="508"/>
      <c r="I68" s="509"/>
    </row>
    <row r="69" spans="1:10" ht="32.25" customHeight="1" thickBot="1">
      <c r="A69" s="501"/>
      <c r="B69" s="502"/>
      <c r="C69" s="503"/>
      <c r="D69" s="39"/>
      <c r="E69" s="42" t="s">
        <v>34</v>
      </c>
      <c r="F69" s="402"/>
      <c r="G69" s="43"/>
      <c r="H69" s="43"/>
      <c r="I69" s="172"/>
    </row>
    <row r="70" spans="1:10" ht="15" thickBot="1">
      <c r="A70" s="504"/>
      <c r="B70" s="505"/>
      <c r="C70" s="506"/>
      <c r="D70" s="43"/>
      <c r="E70" s="43"/>
      <c r="F70" s="403"/>
      <c r="G70" s="43"/>
      <c r="H70" s="43"/>
      <c r="I70" s="172"/>
    </row>
    <row r="71" spans="1:10" ht="17.25" customHeight="1">
      <c r="A71" s="17"/>
      <c r="B71" s="17"/>
      <c r="C71" s="17"/>
      <c r="D71" s="17"/>
      <c r="E71" s="310" t="str">
        <f>"page 2/"&amp;IF(COUNTIF(辅助!K:K,"&gt;0")&lt;25,2,3)</f>
        <v>page 2/2</v>
      </c>
      <c r="F71" s="397"/>
      <c r="G71" s="17"/>
      <c r="H71" s="17"/>
      <c r="I71" s="17"/>
    </row>
    <row r="72" spans="1:10" ht="22.5">
      <c r="A72" s="470" t="s">
        <v>44</v>
      </c>
      <c r="B72" s="470"/>
      <c r="C72" s="470"/>
      <c r="D72" s="470"/>
      <c r="E72" s="470"/>
      <c r="F72" s="470"/>
      <c r="G72" s="470"/>
      <c r="H72" s="470"/>
      <c r="I72" s="470"/>
    </row>
    <row r="73" spans="1:10" ht="3.75" customHeight="1">
      <c r="A73" s="17"/>
      <c r="B73" s="17"/>
      <c r="C73" s="17"/>
      <c r="D73" s="17"/>
      <c r="E73" s="17"/>
      <c r="F73" s="397"/>
      <c r="G73" s="17"/>
      <c r="H73" s="34"/>
      <c r="I73" s="48"/>
    </row>
    <row r="74" spans="1:10" ht="3.75" customHeight="1">
      <c r="A74" s="17"/>
      <c r="B74" s="17"/>
      <c r="C74" s="17"/>
      <c r="D74" s="17"/>
      <c r="E74" s="17"/>
      <c r="F74" s="397"/>
      <c r="G74" s="17"/>
      <c r="H74" s="17"/>
      <c r="I74" s="17"/>
    </row>
    <row r="75" spans="1:10" ht="15.75">
      <c r="A75" s="35" t="s">
        <v>43</v>
      </c>
      <c r="B75" s="36"/>
      <c r="C75" s="36"/>
      <c r="D75" s="37"/>
      <c r="E75" s="61"/>
      <c r="F75" s="398" t="s">
        <v>42</v>
      </c>
      <c r="G75" s="71"/>
      <c r="H75" s="36"/>
      <c r="I75" s="37"/>
    </row>
    <row r="76" spans="1:10" ht="15.75">
      <c r="A76" s="103" t="s">
        <v>75</v>
      </c>
      <c r="B76" s="58"/>
      <c r="C76" s="58"/>
      <c r="D76" s="59"/>
      <c r="E76" s="58"/>
      <c r="F76" s="399" t="str">
        <f>F41</f>
        <v xml:space="preserve"> Fluorochem Limited</v>
      </c>
      <c r="G76" s="192"/>
      <c r="H76" s="15"/>
      <c r="I76" s="38"/>
    </row>
    <row r="77" spans="1:10" ht="15" customHeight="1">
      <c r="A77" s="104" t="s">
        <v>527</v>
      </c>
      <c r="B77" s="60"/>
      <c r="C77" s="60"/>
      <c r="D77" s="59"/>
      <c r="E77" s="61"/>
      <c r="F77" s="404" t="str">
        <f>F42</f>
        <v>Unit 14 Graphite Way</v>
      </c>
      <c r="G77" s="7"/>
      <c r="H77" s="39"/>
      <c r="I77" s="38"/>
      <c r="J77" s="16"/>
    </row>
    <row r="78" spans="1:10" ht="15" customHeight="1">
      <c r="A78" s="104" t="s">
        <v>529</v>
      </c>
      <c r="B78" s="60"/>
      <c r="C78" s="60"/>
      <c r="D78" s="59"/>
      <c r="E78" s="61"/>
      <c r="F78" s="404" t="str">
        <f>F43</f>
        <v>Hadfield  Derbyshire</v>
      </c>
      <c r="G78" s="7"/>
      <c r="H78" s="39"/>
      <c r="I78" s="38"/>
      <c r="J78" s="16"/>
    </row>
    <row r="79" spans="1:10" ht="15" customHeight="1">
      <c r="A79" s="105" t="s">
        <v>232</v>
      </c>
      <c r="B79" s="60"/>
      <c r="C79" s="60"/>
      <c r="D79" s="59"/>
      <c r="E79" s="61"/>
      <c r="F79" s="404" t="str">
        <f>F44</f>
        <v>SK13 1QH UK</v>
      </c>
      <c r="G79" s="193"/>
      <c r="H79" s="39"/>
      <c r="I79" s="38"/>
      <c r="J79" s="14"/>
    </row>
    <row r="80" spans="1:10" ht="15">
      <c r="A80" s="106" t="s">
        <v>233</v>
      </c>
      <c r="B80" s="62"/>
      <c r="C80" s="62"/>
      <c r="D80" s="63"/>
      <c r="E80" s="61"/>
      <c r="F80" s="405" t="str">
        <f>F45</f>
        <v>TEL:4401457860111</v>
      </c>
      <c r="G80" s="6"/>
      <c r="H80" s="18"/>
      <c r="I80" s="40"/>
      <c r="J80" s="14"/>
    </row>
    <row r="81" spans="1:14" ht="3.75" customHeight="1">
      <c r="A81" s="17"/>
      <c r="B81" s="17"/>
      <c r="C81" s="17"/>
      <c r="D81" s="17"/>
      <c r="E81" s="17"/>
      <c r="F81" s="397"/>
      <c r="G81" s="17"/>
      <c r="H81" s="17"/>
      <c r="I81" s="17"/>
      <c r="J81" s="14"/>
    </row>
    <row r="82" spans="1:14" s="68" customFormat="1">
      <c r="A82" s="471" t="s">
        <v>17</v>
      </c>
      <c r="B82" s="472"/>
      <c r="C82" s="67" t="s">
        <v>632</v>
      </c>
      <c r="D82" s="263" t="s">
        <v>369</v>
      </c>
      <c r="E82" s="67" t="s">
        <v>21</v>
      </c>
      <c r="F82" s="400" t="s">
        <v>19</v>
      </c>
      <c r="G82" s="276" t="s">
        <v>20</v>
      </c>
      <c r="H82" s="471" t="s">
        <v>30</v>
      </c>
      <c r="I82" s="472"/>
    </row>
    <row r="83" spans="1:14" s="68" customFormat="1" ht="12.75">
      <c r="A83" s="471"/>
      <c r="B83" s="472"/>
      <c r="C83" s="67" t="str">
        <f>C48</f>
        <v>P100426</v>
      </c>
      <c r="D83" s="67"/>
      <c r="E83" s="67"/>
      <c r="F83" s="401" t="s">
        <v>38</v>
      </c>
      <c r="G83" s="67"/>
      <c r="H83" s="471" t="s">
        <v>386</v>
      </c>
      <c r="I83" s="472"/>
      <c r="J83" s="30"/>
    </row>
    <row r="84" spans="1:14" s="68" customFormat="1" ht="12.75">
      <c r="A84" s="471" t="s">
        <v>22</v>
      </c>
      <c r="B84" s="473"/>
      <c r="C84" s="472"/>
      <c r="D84" s="263" t="s">
        <v>70</v>
      </c>
      <c r="E84" s="471" t="s">
        <v>23</v>
      </c>
      <c r="F84" s="472"/>
      <c r="G84" s="277" t="s">
        <v>29</v>
      </c>
      <c r="H84" s="471" t="s">
        <v>18</v>
      </c>
      <c r="I84" s="472"/>
      <c r="J84" s="30"/>
    </row>
    <row r="85" spans="1:14" s="28" customFormat="1" ht="15.75">
      <c r="A85" s="476" t="s">
        <v>39</v>
      </c>
      <c r="B85" s="477"/>
      <c r="C85" s="478"/>
      <c r="D85" s="27"/>
      <c r="E85" s="476" t="str">
        <f>E50</f>
        <v>UK</v>
      </c>
      <c r="F85" s="478"/>
      <c r="G85" s="79">
        <f ca="1">TODAY()</f>
        <v>43839</v>
      </c>
      <c r="H85" s="479" t="str">
        <f>发货清单!$AA$2</f>
        <v>20200109-607</v>
      </c>
      <c r="I85" s="480"/>
      <c r="J85" s="30"/>
    </row>
    <row r="86" spans="1:14" s="26" customFormat="1" ht="23.25" customHeight="1">
      <c r="A86" s="66" t="s">
        <v>24</v>
      </c>
      <c r="B86" s="481" t="s">
        <v>25</v>
      </c>
      <c r="C86" s="482"/>
      <c r="D86" s="483"/>
      <c r="E86" s="55" t="s">
        <v>28</v>
      </c>
      <c r="F86" s="482" t="str">
        <f>F16</f>
        <v>HS code</v>
      </c>
      <c r="G86" s="483"/>
      <c r="H86" s="455" t="s">
        <v>26</v>
      </c>
      <c r="I86" s="455" t="s">
        <v>27</v>
      </c>
      <c r="N86" s="47"/>
    </row>
    <row r="87" spans="1:14" s="44" customFormat="1" ht="30" customHeight="1">
      <c r="A87" s="176">
        <f>辅助!N26</f>
        <v>0</v>
      </c>
      <c r="B87" s="474" t="str">
        <f>IFERROR(辅助!P26&amp;CHAR(10)&amp;VLOOKUP(辅助!P26,数据库!C:G,5,0),"")</f>
        <v/>
      </c>
      <c r="C87" s="474"/>
      <c r="D87" s="474"/>
      <c r="E87" s="309" t="str">
        <f t="shared" ref="E87:E98" si="5">IF(A87=0,"","Glass/Plastic bottle")</f>
        <v/>
      </c>
      <c r="F87" s="475" t="str">
        <f>IFERROR(IF($E$15="USA",VLOOKUP(辅助!R26,数据库!D:E,2,0),辅助!R26),"")</f>
        <v/>
      </c>
      <c r="G87" s="475"/>
      <c r="H87" s="275">
        <f>IF(A87=0,0,I87/A87)</f>
        <v>0</v>
      </c>
      <c r="I87" s="177">
        <f>辅助!O26</f>
        <v>0</v>
      </c>
    </row>
    <row r="88" spans="1:14" s="44" customFormat="1" ht="30" customHeight="1">
      <c r="A88" s="176">
        <f>辅助!N27</f>
        <v>0</v>
      </c>
      <c r="B88" s="474" t="str">
        <f>IFERROR(辅助!P27&amp;CHAR(10)&amp;VLOOKUP(辅助!P27,数据库!C:G,5,0),"")</f>
        <v/>
      </c>
      <c r="C88" s="474"/>
      <c r="D88" s="474"/>
      <c r="E88" s="309" t="str">
        <f t="shared" si="5"/>
        <v/>
      </c>
      <c r="F88" s="475" t="str">
        <f>IFERROR(IF($E$15="USA",VLOOKUP(辅助!R27,数据库!D:E,2,0),辅助!R27),"")</f>
        <v/>
      </c>
      <c r="G88" s="475"/>
      <c r="H88" s="275">
        <f>IF(A88=0,0,I88/A88)</f>
        <v>0</v>
      </c>
      <c r="I88" s="177">
        <f>辅助!O27</f>
        <v>0</v>
      </c>
    </row>
    <row r="89" spans="1:14" s="44" customFormat="1" ht="30" customHeight="1">
      <c r="A89" s="176">
        <f>辅助!N28</f>
        <v>0</v>
      </c>
      <c r="B89" s="474" t="str">
        <f>IFERROR(辅助!P28&amp;CHAR(10)&amp;VLOOKUP(辅助!P28,数据库!C:G,5,0),"")</f>
        <v/>
      </c>
      <c r="C89" s="474"/>
      <c r="D89" s="474"/>
      <c r="E89" s="309" t="str">
        <f t="shared" si="5"/>
        <v/>
      </c>
      <c r="F89" s="475" t="str">
        <f>IFERROR(IF($E$15="USA",VLOOKUP(辅助!R28,数据库!D:E,2,0),辅助!R28),"")</f>
        <v/>
      </c>
      <c r="G89" s="475"/>
      <c r="H89" s="275">
        <f t="shared" ref="H89:H98" si="6">IF(A89=0,0,I89/A89)</f>
        <v>0</v>
      </c>
      <c r="I89" s="177">
        <f>辅助!O28</f>
        <v>0</v>
      </c>
    </row>
    <row r="90" spans="1:14" s="44" customFormat="1" ht="30" customHeight="1">
      <c r="A90" s="176">
        <f>辅助!N29</f>
        <v>0</v>
      </c>
      <c r="B90" s="474" t="str">
        <f>IFERROR(辅助!P29&amp;CHAR(10)&amp;VLOOKUP(辅助!P29,数据库!C:G,5,0),"")</f>
        <v/>
      </c>
      <c r="C90" s="474"/>
      <c r="D90" s="474"/>
      <c r="E90" s="309" t="str">
        <f t="shared" si="5"/>
        <v/>
      </c>
      <c r="F90" s="475" t="str">
        <f>IFERROR(IF($E$15="USA",VLOOKUP(辅助!R29,数据库!D:E,2,0),辅助!R29),"")</f>
        <v/>
      </c>
      <c r="G90" s="475"/>
      <c r="H90" s="275">
        <f t="shared" si="6"/>
        <v>0</v>
      </c>
      <c r="I90" s="177">
        <f>辅助!O29</f>
        <v>0</v>
      </c>
    </row>
    <row r="91" spans="1:14" s="44" customFormat="1" ht="30" customHeight="1">
      <c r="A91" s="176">
        <f>辅助!N30</f>
        <v>0</v>
      </c>
      <c r="B91" s="474" t="str">
        <f>IFERROR(辅助!P30&amp;CHAR(10)&amp;VLOOKUP(辅助!P30,数据库!C:G,5,0),"")</f>
        <v/>
      </c>
      <c r="C91" s="474"/>
      <c r="D91" s="474"/>
      <c r="E91" s="309" t="str">
        <f t="shared" si="5"/>
        <v/>
      </c>
      <c r="F91" s="475" t="str">
        <f>IFERROR(IF($E$15="USA",VLOOKUP(辅助!R30,数据库!D:E,2,0),辅助!R30),"")</f>
        <v/>
      </c>
      <c r="G91" s="475"/>
      <c r="H91" s="275">
        <f t="shared" si="6"/>
        <v>0</v>
      </c>
      <c r="I91" s="177">
        <f>辅助!O30</f>
        <v>0</v>
      </c>
    </row>
    <row r="92" spans="1:14" s="44" customFormat="1" ht="30" customHeight="1">
      <c r="A92" s="176">
        <f>辅助!N31</f>
        <v>0</v>
      </c>
      <c r="B92" s="474" t="str">
        <f>IFERROR(辅助!P31&amp;CHAR(10)&amp;VLOOKUP(辅助!P31,数据库!C:G,5,0),"")</f>
        <v/>
      </c>
      <c r="C92" s="474"/>
      <c r="D92" s="474"/>
      <c r="E92" s="309" t="str">
        <f t="shared" si="5"/>
        <v/>
      </c>
      <c r="F92" s="475" t="str">
        <f>IFERROR(IF($E$15="USA",VLOOKUP(辅助!R31,数据库!D:E,2,0),辅助!R31),"")</f>
        <v/>
      </c>
      <c r="G92" s="475"/>
      <c r="H92" s="275">
        <f t="shared" si="6"/>
        <v>0</v>
      </c>
      <c r="I92" s="177">
        <f>辅助!O31</f>
        <v>0</v>
      </c>
    </row>
    <row r="93" spans="1:14" s="44" customFormat="1" ht="30" customHeight="1">
      <c r="A93" s="176">
        <f>辅助!N32</f>
        <v>0</v>
      </c>
      <c r="B93" s="474" t="str">
        <f>IFERROR(辅助!P32&amp;CHAR(10)&amp;VLOOKUP(辅助!P32,数据库!C:G,5,0),"")</f>
        <v/>
      </c>
      <c r="C93" s="474"/>
      <c r="D93" s="474"/>
      <c r="E93" s="309" t="str">
        <f t="shared" si="5"/>
        <v/>
      </c>
      <c r="F93" s="475" t="str">
        <f>IFERROR(IF($E$15="USA",VLOOKUP(辅助!R32,数据库!D:E,2,0),辅助!R32),"")</f>
        <v/>
      </c>
      <c r="G93" s="475"/>
      <c r="H93" s="275">
        <f t="shared" si="6"/>
        <v>0</v>
      </c>
      <c r="I93" s="177">
        <f>辅助!O32</f>
        <v>0</v>
      </c>
    </row>
    <row r="94" spans="1:14" s="44" customFormat="1" ht="30" customHeight="1">
      <c r="A94" s="176">
        <f>辅助!N33</f>
        <v>0</v>
      </c>
      <c r="B94" s="474" t="str">
        <f>IFERROR(辅助!P33&amp;CHAR(10)&amp;VLOOKUP(辅助!P33,数据库!C:G,5,0),"")</f>
        <v/>
      </c>
      <c r="C94" s="474"/>
      <c r="D94" s="474"/>
      <c r="E94" s="309" t="str">
        <f t="shared" si="5"/>
        <v/>
      </c>
      <c r="F94" s="475" t="str">
        <f>IFERROR(IF($E$15="USA",VLOOKUP(辅助!R33,数据库!D:E,2,0),辅助!R33),"")</f>
        <v/>
      </c>
      <c r="G94" s="475"/>
      <c r="H94" s="275">
        <f t="shared" si="6"/>
        <v>0</v>
      </c>
      <c r="I94" s="177">
        <f>辅助!O33</f>
        <v>0</v>
      </c>
    </row>
    <row r="95" spans="1:14" s="44" customFormat="1" ht="30" customHeight="1">
      <c r="A95" s="176">
        <f>辅助!N34</f>
        <v>0</v>
      </c>
      <c r="B95" s="474" t="str">
        <f>IFERROR(辅助!P34&amp;CHAR(10)&amp;VLOOKUP(辅助!P34,数据库!C:G,5,0),"")</f>
        <v/>
      </c>
      <c r="C95" s="474"/>
      <c r="D95" s="474"/>
      <c r="E95" s="309" t="str">
        <f t="shared" si="5"/>
        <v/>
      </c>
      <c r="F95" s="475" t="str">
        <f>IFERROR(IF($E$15="USA",VLOOKUP(辅助!R34,数据库!D:E,2,0),辅助!R34),"")</f>
        <v/>
      </c>
      <c r="G95" s="475"/>
      <c r="H95" s="275">
        <f t="shared" si="6"/>
        <v>0</v>
      </c>
      <c r="I95" s="177">
        <f>辅助!O34</f>
        <v>0</v>
      </c>
    </row>
    <row r="96" spans="1:14" s="44" customFormat="1" ht="30" customHeight="1">
      <c r="A96" s="176">
        <f>辅助!N35</f>
        <v>0</v>
      </c>
      <c r="B96" s="474" t="str">
        <f>IFERROR(辅助!P35&amp;CHAR(10)&amp;VLOOKUP(辅助!P35,数据库!C:G,5,0),"")</f>
        <v/>
      </c>
      <c r="C96" s="474"/>
      <c r="D96" s="474"/>
      <c r="E96" s="309" t="str">
        <f t="shared" si="5"/>
        <v/>
      </c>
      <c r="F96" s="475" t="str">
        <f>IFERROR(IF($E$15="USA",VLOOKUP(辅助!R35,数据库!D:E,2,0),辅助!R35),"")</f>
        <v/>
      </c>
      <c r="G96" s="475"/>
      <c r="H96" s="275">
        <f t="shared" si="6"/>
        <v>0</v>
      </c>
      <c r="I96" s="177">
        <f>辅助!O35</f>
        <v>0</v>
      </c>
    </row>
    <row r="97" spans="1:9" s="44" customFormat="1" ht="30" customHeight="1">
      <c r="A97" s="176">
        <f>辅助!N36</f>
        <v>0</v>
      </c>
      <c r="B97" s="474" t="str">
        <f>IFERROR(辅助!P36&amp;CHAR(10)&amp;VLOOKUP(辅助!P36,数据库!C:G,5,0),"")</f>
        <v/>
      </c>
      <c r="C97" s="474"/>
      <c r="D97" s="474"/>
      <c r="E97" s="309" t="str">
        <f t="shared" si="5"/>
        <v/>
      </c>
      <c r="F97" s="475" t="str">
        <f>IFERROR(IF($E$15="USA",VLOOKUP(辅助!R36,数据库!D:E,2,0),辅助!R36),"")</f>
        <v/>
      </c>
      <c r="G97" s="475"/>
      <c r="H97" s="275">
        <f t="shared" si="6"/>
        <v>0</v>
      </c>
      <c r="I97" s="177">
        <f>辅助!O36</f>
        <v>0</v>
      </c>
    </row>
    <row r="98" spans="1:9" s="44" customFormat="1" ht="30" customHeight="1">
      <c r="A98" s="176">
        <f>辅助!N37</f>
        <v>0</v>
      </c>
      <c r="B98" s="474" t="str">
        <f>IFERROR(辅助!P37&amp;CHAR(10)&amp;VLOOKUP(辅助!P37,数据库!C:G,5,0),"")</f>
        <v/>
      </c>
      <c r="C98" s="474"/>
      <c r="D98" s="474"/>
      <c r="E98" s="309" t="str">
        <f t="shared" si="5"/>
        <v/>
      </c>
      <c r="F98" s="475" t="str">
        <f>IFERROR(IF($E$15="USA",VLOOKUP(辅助!R37,数据库!D:E,2,0),辅助!R37),"")</f>
        <v/>
      </c>
      <c r="G98" s="475"/>
      <c r="H98" s="275">
        <f t="shared" si="6"/>
        <v>0</v>
      </c>
      <c r="I98" s="177">
        <f>辅助!O37</f>
        <v>0</v>
      </c>
    </row>
    <row r="99" spans="1:9" s="44" customFormat="1" ht="37.5" customHeight="1" thickBot="1">
      <c r="A99" s="176"/>
      <c r="B99" s="510" t="str">
        <f>IF(COUNTIF(辅助!N:N,"&gt;0")&lt;=36,"Total Net Weight（g）:   "&amp;SUM(辅助!N:N)," ")&amp;CHAR(10)&amp;IF(COUNTIF(辅助!N:N,"&gt;0")&lt;=36,"Gross Weight(kg):   "&amp;发货清单!Y2," ")</f>
        <v>Total Net Weight（g）:   3266
Gross Weight(kg):   10</v>
      </c>
      <c r="C99" s="511"/>
      <c r="D99" s="512"/>
      <c r="E99" s="66"/>
      <c r="F99" s="475"/>
      <c r="G99" s="475"/>
      <c r="H99" s="278" t="str">
        <f>IF(COUNTIF(辅助!O:O,"&gt;0")&lt;=36,"TOTAL:"," ")</f>
        <v>TOTAL:</v>
      </c>
      <c r="I99" s="274">
        <f>IF(COUNTIF(辅助!O:O,"&gt;0")&lt;=36,SUM(辅助!O:O)," ")</f>
        <v>3532.9</v>
      </c>
    </row>
    <row r="100" spans="1:9" ht="15.75">
      <c r="A100" s="169" t="s">
        <v>31</v>
      </c>
      <c r="B100" s="170"/>
      <c r="C100" s="170"/>
      <c r="D100" s="171"/>
      <c r="E100" s="41"/>
      <c r="F100" s="484"/>
      <c r="G100" s="484"/>
      <c r="H100" s="484"/>
      <c r="I100" s="485"/>
    </row>
    <row r="101" spans="1:9" ht="15" customHeight="1">
      <c r="A101" s="486" t="str">
        <f>A66</f>
        <v>I certify that all chemicals in this shipment are not subject to TSCA.</v>
      </c>
      <c r="B101" s="487"/>
      <c r="C101" s="488"/>
      <c r="D101" s="39"/>
      <c r="E101" s="492" t="s">
        <v>73</v>
      </c>
      <c r="F101" s="493"/>
      <c r="G101" s="493"/>
      <c r="H101" s="493"/>
      <c r="I101" s="494"/>
    </row>
    <row r="102" spans="1:9" ht="10.5" customHeight="1" thickBot="1">
      <c r="A102" s="489"/>
      <c r="B102" s="490"/>
      <c r="C102" s="491"/>
      <c r="D102" s="39"/>
      <c r="E102" s="495"/>
      <c r="F102" s="496"/>
      <c r="G102" s="496"/>
      <c r="H102" s="496"/>
      <c r="I102" s="497"/>
    </row>
    <row r="103" spans="1:9" ht="16.5" customHeight="1" thickBot="1">
      <c r="A103" s="498" t="s">
        <v>525</v>
      </c>
      <c r="B103" s="499"/>
      <c r="C103" s="500"/>
      <c r="D103" s="39"/>
      <c r="E103" s="42" t="s">
        <v>71</v>
      </c>
      <c r="F103" s="402"/>
      <c r="G103" s="507" t="str">
        <f>G33</f>
        <v>2786337676</v>
      </c>
      <c r="H103" s="508"/>
      <c r="I103" s="509"/>
    </row>
    <row r="104" spans="1:9" ht="32.25" customHeight="1" thickBot="1">
      <c r="A104" s="501"/>
      <c r="B104" s="502"/>
      <c r="C104" s="503"/>
      <c r="D104" s="39"/>
      <c r="E104" s="42" t="s">
        <v>34</v>
      </c>
      <c r="F104" s="402"/>
      <c r="G104" s="43"/>
      <c r="H104" s="43"/>
      <c r="I104" s="172"/>
    </row>
    <row r="105" spans="1:9" ht="15" thickBot="1">
      <c r="A105" s="504"/>
      <c r="B105" s="505"/>
      <c r="C105" s="506"/>
      <c r="D105" s="43"/>
      <c r="E105" s="43"/>
      <c r="F105" s="403"/>
      <c r="G105" s="43"/>
      <c r="H105" s="43"/>
      <c r="I105" s="172"/>
    </row>
    <row r="106" spans="1:9">
      <c r="E106" s="19" t="s">
        <v>568</v>
      </c>
    </row>
  </sheetData>
  <mergeCells count="135">
    <mergeCell ref="F100:I100"/>
    <mergeCell ref="A101:C102"/>
    <mergeCell ref="E101:I101"/>
    <mergeCell ref="E102:I102"/>
    <mergeCell ref="A103:C105"/>
    <mergeCell ref="G103:I103"/>
    <mergeCell ref="B97:D97"/>
    <mergeCell ref="F97:G97"/>
    <mergeCell ref="B98:D98"/>
    <mergeCell ref="F98:G98"/>
    <mergeCell ref="B99:D99"/>
    <mergeCell ref="F99:G99"/>
    <mergeCell ref="B94:D94"/>
    <mergeCell ref="F94:G94"/>
    <mergeCell ref="B95:D95"/>
    <mergeCell ref="F95:G95"/>
    <mergeCell ref="B96:D96"/>
    <mergeCell ref="F96:G96"/>
    <mergeCell ref="B91:D91"/>
    <mergeCell ref="F91:G91"/>
    <mergeCell ref="B92:D92"/>
    <mergeCell ref="F92:G92"/>
    <mergeCell ref="B93:D93"/>
    <mergeCell ref="F93:G93"/>
    <mergeCell ref="B88:D88"/>
    <mergeCell ref="F88:G88"/>
    <mergeCell ref="B89:D89"/>
    <mergeCell ref="F89:G89"/>
    <mergeCell ref="B90:D90"/>
    <mergeCell ref="F90:G90"/>
    <mergeCell ref="A85:C85"/>
    <mergeCell ref="E85:F85"/>
    <mergeCell ref="H85:I85"/>
    <mergeCell ref="B86:D86"/>
    <mergeCell ref="F86:G86"/>
    <mergeCell ref="B87:D87"/>
    <mergeCell ref="F87:G87"/>
    <mergeCell ref="A72:I72"/>
    <mergeCell ref="A82:B82"/>
    <mergeCell ref="H82:I82"/>
    <mergeCell ref="A83:B83"/>
    <mergeCell ref="H83:I83"/>
    <mergeCell ref="A84:C84"/>
    <mergeCell ref="E84:F84"/>
    <mergeCell ref="H84:I84"/>
    <mergeCell ref="F65:I65"/>
    <mergeCell ref="A66:C67"/>
    <mergeCell ref="E66:I66"/>
    <mergeCell ref="E67:I67"/>
    <mergeCell ref="A68:C70"/>
    <mergeCell ref="G68:I68"/>
    <mergeCell ref="B62:D62"/>
    <mergeCell ref="F62:G62"/>
    <mergeCell ref="B63:D63"/>
    <mergeCell ref="F63:G63"/>
    <mergeCell ref="B64:D64"/>
    <mergeCell ref="F64:G64"/>
    <mergeCell ref="B59:D59"/>
    <mergeCell ref="F59:G59"/>
    <mergeCell ref="B60:D60"/>
    <mergeCell ref="F60:G60"/>
    <mergeCell ref="B61:D61"/>
    <mergeCell ref="F61:G61"/>
    <mergeCell ref="B56:D56"/>
    <mergeCell ref="F56:G56"/>
    <mergeCell ref="B57:D57"/>
    <mergeCell ref="F57:G57"/>
    <mergeCell ref="B58:D58"/>
    <mergeCell ref="F58:G58"/>
    <mergeCell ref="B53:D53"/>
    <mergeCell ref="F53:G53"/>
    <mergeCell ref="B54:D54"/>
    <mergeCell ref="F54:G54"/>
    <mergeCell ref="B55:D55"/>
    <mergeCell ref="F55:G55"/>
    <mergeCell ref="A50:C50"/>
    <mergeCell ref="E50:F50"/>
    <mergeCell ref="H50:I50"/>
    <mergeCell ref="B51:D51"/>
    <mergeCell ref="F51:G51"/>
    <mergeCell ref="B52:D52"/>
    <mergeCell ref="F52:G52"/>
    <mergeCell ref="A37:I37"/>
    <mergeCell ref="A47:B47"/>
    <mergeCell ref="H47:I47"/>
    <mergeCell ref="A48:B48"/>
    <mergeCell ref="H48:I48"/>
    <mergeCell ref="A49:C49"/>
    <mergeCell ref="E49:F49"/>
    <mergeCell ref="H49:I49"/>
    <mergeCell ref="F30:I30"/>
    <mergeCell ref="A31:C32"/>
    <mergeCell ref="E31:I31"/>
    <mergeCell ref="E32:I32"/>
    <mergeCell ref="A33:C35"/>
    <mergeCell ref="G33:I33"/>
    <mergeCell ref="B27:D27"/>
    <mergeCell ref="F27:G27"/>
    <mergeCell ref="B28:D28"/>
    <mergeCell ref="F28:G28"/>
    <mergeCell ref="B29:D29"/>
    <mergeCell ref="F29:G29"/>
    <mergeCell ref="B24:D24"/>
    <mergeCell ref="F24:G24"/>
    <mergeCell ref="B25:D25"/>
    <mergeCell ref="F25:G25"/>
    <mergeCell ref="B26:D26"/>
    <mergeCell ref="F26:G26"/>
    <mergeCell ref="B21:D21"/>
    <mergeCell ref="F21:G21"/>
    <mergeCell ref="B22:D22"/>
    <mergeCell ref="F22:G22"/>
    <mergeCell ref="B23:D23"/>
    <mergeCell ref="F23:G23"/>
    <mergeCell ref="B19:D19"/>
    <mergeCell ref="F19:G19"/>
    <mergeCell ref="B20:D20"/>
    <mergeCell ref="F20:G20"/>
    <mergeCell ref="A15:C15"/>
    <mergeCell ref="E15:F15"/>
    <mergeCell ref="H15:I15"/>
    <mergeCell ref="B16:D16"/>
    <mergeCell ref="F16:G16"/>
    <mergeCell ref="B17:D17"/>
    <mergeCell ref="F17:G17"/>
    <mergeCell ref="A2:I2"/>
    <mergeCell ref="A12:B12"/>
    <mergeCell ref="H12:I12"/>
    <mergeCell ref="A13:B13"/>
    <mergeCell ref="H13:I13"/>
    <mergeCell ref="A14:C14"/>
    <mergeCell ref="E14:F14"/>
    <mergeCell ref="H14:I14"/>
    <mergeCell ref="B18:D18"/>
    <mergeCell ref="F18:G18"/>
  </mergeCells>
  <phoneticPr fontId="1" type="noConversion"/>
  <conditionalFormatting sqref="H17:I29 A17:B29 E17:F29">
    <cfRule type="cellIs" dxfId="389" priority="9" operator="equal">
      <formula>0</formula>
    </cfRule>
  </conditionalFormatting>
  <conditionalFormatting sqref="E64:F64 H52:I64 A52:B64 F52:F63">
    <cfRule type="cellIs" dxfId="388" priority="8" operator="equal">
      <formula>0</formula>
    </cfRule>
  </conditionalFormatting>
  <conditionalFormatting sqref="E99:F99 A87:B99 H87:I99 F87:F98">
    <cfRule type="cellIs" dxfId="387" priority="7" operator="equal">
      <formula>0</formula>
    </cfRule>
  </conditionalFormatting>
  <conditionalFormatting sqref="F80">
    <cfRule type="cellIs" dxfId="386" priority="6" operator="equal">
      <formula>0</formula>
    </cfRule>
  </conditionalFormatting>
  <conditionalFormatting sqref="E52:E63">
    <cfRule type="cellIs" dxfId="385" priority="5" operator="equal">
      <formula>0</formula>
    </cfRule>
  </conditionalFormatting>
  <conditionalFormatting sqref="E87:E98">
    <cfRule type="cellIs" dxfId="384" priority="4" operator="equal">
      <formula>0</formula>
    </cfRule>
  </conditionalFormatting>
  <conditionalFormatting sqref="A72:XFD106">
    <cfRule type="expression" dxfId="383" priority="3">
      <formula>$A$87=0</formula>
    </cfRule>
  </conditionalFormatting>
  <conditionalFormatting sqref="A37:XFD41 A42:E45 G42:XFD45 A46:XFD71">
    <cfRule type="expression" dxfId="382" priority="2">
      <formula>$A$52=0</formula>
    </cfRule>
  </conditionalFormatting>
  <conditionalFormatting sqref="F42:F45">
    <cfRule type="expression" dxfId="381" priority="1">
      <formula>$A$52=0</formula>
    </cfRule>
  </conditionalFormatting>
  <dataValidations count="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1 A66 A101"/>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2 E67 E102"/>
  </dataValidations>
  <hyperlinks>
    <hyperlink ref="A10" r:id="rId1"/>
    <hyperlink ref="A45" r:id="rId2"/>
    <hyperlink ref="A80" r:id="rId3"/>
  </hyperlinks>
  <pageMargins left="0.19685039370078741" right="0" top="0.51181102362204722" bottom="0.74803149606299213" header="0.31496062992125984" footer="0.31496062992125984"/>
  <pageSetup paperSize="9" orientation="portrait" horizontalDpi="4294967295" verticalDpi="4294967295"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0000"/>
  </sheetPr>
  <dimension ref="A1:N109"/>
  <sheetViews>
    <sheetView topLeftCell="A53" zoomScaleNormal="100" workbookViewId="0">
      <selection activeCell="C36" sqref="C36"/>
    </sheetView>
  </sheetViews>
  <sheetFormatPr defaultRowHeight="14.25"/>
  <cols>
    <col min="1" max="1" width="5.25" customWidth="1"/>
    <col min="2" max="2" width="6.5" customWidth="1"/>
    <col min="3" max="3" width="26.125" customWidth="1"/>
    <col min="4" max="4" width="9.75" customWidth="1"/>
    <col min="5" max="5" width="9.375" customWidth="1"/>
    <col min="6" max="6" width="5.625" customWidth="1"/>
    <col min="7" max="7" width="8" customWidth="1"/>
    <col min="8" max="8" width="10.875" customWidth="1"/>
    <col min="9" max="9" width="13" customWidth="1"/>
  </cols>
  <sheetData>
    <row r="1" spans="1:14" ht="8.25" customHeight="1">
      <c r="A1" s="17"/>
      <c r="B1" s="17"/>
      <c r="C1" s="17"/>
      <c r="D1" s="17"/>
      <c r="E1" s="17"/>
      <c r="F1" s="17"/>
      <c r="G1" s="17"/>
      <c r="H1" s="17"/>
      <c r="I1" s="17"/>
    </row>
    <row r="2" spans="1:14" ht="22.5">
      <c r="A2" s="470" t="s">
        <v>1207</v>
      </c>
      <c r="B2" s="470"/>
      <c r="C2" s="470"/>
      <c r="D2" s="470"/>
      <c r="E2" s="470"/>
      <c r="F2" s="470"/>
      <c r="G2" s="470"/>
      <c r="H2" s="470"/>
      <c r="I2" s="470"/>
    </row>
    <row r="3" spans="1:14" ht="5.25" hidden="1" customHeight="1">
      <c r="A3" s="17"/>
      <c r="B3" s="17"/>
      <c r="C3" s="17"/>
      <c r="D3" s="17"/>
      <c r="E3" s="17"/>
      <c r="F3" s="17"/>
      <c r="G3" s="17"/>
      <c r="H3" s="34"/>
      <c r="I3" s="48"/>
    </row>
    <row r="4" spans="1:14" ht="5.25" hidden="1" customHeight="1">
      <c r="A4" s="17"/>
      <c r="B4" s="17"/>
      <c r="C4" s="17"/>
      <c r="D4" s="17"/>
      <c r="E4" s="17"/>
      <c r="F4" s="17"/>
      <c r="G4" s="17"/>
      <c r="H4" s="17"/>
      <c r="I4" s="17"/>
    </row>
    <row r="5" spans="1:14" ht="15.75">
      <c r="A5" s="35" t="s">
        <v>43</v>
      </c>
      <c r="B5" s="36"/>
      <c r="C5" s="36"/>
      <c r="D5" s="37"/>
      <c r="E5" s="61"/>
      <c r="F5" s="77" t="s">
        <v>42</v>
      </c>
      <c r="G5" s="71"/>
      <c r="H5" s="36"/>
      <c r="I5" s="37"/>
    </row>
    <row r="6" spans="1:14" ht="15.75">
      <c r="A6" s="103" t="s">
        <v>229</v>
      </c>
      <c r="B6" s="58"/>
      <c r="C6" s="58"/>
      <c r="D6" s="59"/>
      <c r="E6" s="58"/>
      <c r="F6" s="57" t="str">
        <f>'Commercial Invoice3'!F6</f>
        <v xml:space="preserve"> Fluorochem Limited</v>
      </c>
      <c r="G6" s="192"/>
      <c r="H6" s="15"/>
      <c r="I6" s="38"/>
    </row>
    <row r="7" spans="1:14" ht="15" customHeight="1">
      <c r="A7" s="104" t="s">
        <v>230</v>
      </c>
      <c r="B7" s="60"/>
      <c r="C7" s="60"/>
      <c r="D7" s="59"/>
      <c r="E7" s="61"/>
      <c r="F7" s="53" t="str">
        <f>'Commercial Invoice3'!F7</f>
        <v>Unit 14 Graphite Way</v>
      </c>
      <c r="G7" s="7"/>
      <c r="H7" s="39"/>
      <c r="I7" s="38"/>
      <c r="J7" s="16"/>
    </row>
    <row r="8" spans="1:14" ht="15" customHeight="1">
      <c r="A8" s="104" t="s">
        <v>231</v>
      </c>
      <c r="B8" s="60"/>
      <c r="C8" s="60"/>
      <c r="D8" s="59"/>
      <c r="E8" s="61"/>
      <c r="F8" s="53" t="str">
        <f>'Commercial Invoice3'!F8</f>
        <v>Hadfield  Derbyshire</v>
      </c>
      <c r="G8" s="7"/>
      <c r="H8" s="39"/>
      <c r="I8" s="38"/>
      <c r="J8" s="16"/>
    </row>
    <row r="9" spans="1:14" ht="15" customHeight="1">
      <c r="A9" s="105" t="s">
        <v>232</v>
      </c>
      <c r="B9" s="60"/>
      <c r="C9" s="60"/>
      <c r="D9" s="59"/>
      <c r="E9" s="61"/>
      <c r="F9" s="53" t="str">
        <f>'Commercial Invoice3'!F9</f>
        <v>SK13 1QH UK</v>
      </c>
      <c r="G9" s="193"/>
      <c r="H9" s="39"/>
      <c r="I9" s="38"/>
      <c r="J9" s="14"/>
    </row>
    <row r="10" spans="1:14" ht="15">
      <c r="A10" s="106" t="s">
        <v>233</v>
      </c>
      <c r="B10" s="62"/>
      <c r="C10" s="62"/>
      <c r="D10" s="63"/>
      <c r="E10" s="61"/>
      <c r="F10" s="53" t="str">
        <f>'Commercial Invoice3'!F10</f>
        <v>TEL:4401457860111</v>
      </c>
      <c r="G10" s="6"/>
      <c r="H10" s="18"/>
      <c r="I10" s="40"/>
      <c r="J10" s="14"/>
    </row>
    <row r="11" spans="1:14" ht="6" customHeight="1">
      <c r="A11" s="17"/>
      <c r="B11" s="17"/>
      <c r="C11" s="17"/>
      <c r="D11" s="17"/>
      <c r="E11" s="17"/>
      <c r="F11" s="17"/>
      <c r="G11" s="17"/>
      <c r="H11" s="17"/>
      <c r="I11" s="17"/>
      <c r="J11" s="14"/>
    </row>
    <row r="12" spans="1:14" s="68" customFormat="1">
      <c r="A12" s="471" t="s">
        <v>17</v>
      </c>
      <c r="B12" s="472"/>
      <c r="C12" s="235" t="str">
        <f>'Commercial Invoice3'!C12</f>
        <v>Order  No.</v>
      </c>
      <c r="D12" s="67" t="s">
        <v>369</v>
      </c>
      <c r="E12" s="67" t="s">
        <v>21</v>
      </c>
      <c r="F12" s="263" t="s">
        <v>19</v>
      </c>
      <c r="G12" s="67" t="s">
        <v>20</v>
      </c>
      <c r="H12" s="471" t="s">
        <v>30</v>
      </c>
      <c r="I12" s="472"/>
    </row>
    <row r="13" spans="1:14" s="68" customFormat="1" ht="12.75">
      <c r="A13" s="471"/>
      <c r="B13" s="472"/>
      <c r="C13" s="67" t="str">
        <f>'Commercial Invoice3'!C13</f>
        <v>P100426</v>
      </c>
      <c r="D13" s="67"/>
      <c r="E13" s="67"/>
      <c r="F13" s="29" t="s">
        <v>38</v>
      </c>
      <c r="G13" s="67"/>
      <c r="H13" s="471" t="s">
        <v>386</v>
      </c>
      <c r="I13" s="472"/>
      <c r="J13" s="30"/>
    </row>
    <row r="14" spans="1:14" s="68" customFormat="1" ht="12.75">
      <c r="A14" s="471" t="s">
        <v>22</v>
      </c>
      <c r="B14" s="473"/>
      <c r="C14" s="472"/>
      <c r="D14" s="67" t="s">
        <v>70</v>
      </c>
      <c r="E14" s="471" t="s">
        <v>23</v>
      </c>
      <c r="F14" s="472"/>
      <c r="G14" s="453" t="s">
        <v>29</v>
      </c>
      <c r="H14" s="471" t="s">
        <v>18</v>
      </c>
      <c r="I14" s="472"/>
      <c r="J14" s="30"/>
    </row>
    <row r="15" spans="1:14" s="28" customFormat="1" ht="15.75">
      <c r="A15" s="476" t="s">
        <v>39</v>
      </c>
      <c r="B15" s="477"/>
      <c r="C15" s="478"/>
      <c r="D15" s="27"/>
      <c r="E15" s="513" t="str">
        <f>'Commercial Invoice3'!E15</f>
        <v>UK</v>
      </c>
      <c r="F15" s="478"/>
      <c r="G15" s="79">
        <f ca="1">'Commercial Invoice3'!G15</f>
        <v>43839</v>
      </c>
      <c r="H15" s="479" t="str">
        <f>'Commercial Invoice3'!H15</f>
        <v>20200109-607</v>
      </c>
      <c r="I15" s="480"/>
      <c r="J15" s="30"/>
    </row>
    <row r="16" spans="1:14" s="26" customFormat="1" ht="23.25" customHeight="1">
      <c r="A16" s="66" t="s">
        <v>24</v>
      </c>
      <c r="B16" s="481" t="s">
        <v>25</v>
      </c>
      <c r="C16" s="482"/>
      <c r="D16" s="483"/>
      <c r="E16" s="55" t="s">
        <v>28</v>
      </c>
      <c r="F16" s="514" t="s">
        <v>109</v>
      </c>
      <c r="G16" s="514"/>
      <c r="H16" s="514"/>
      <c r="I16" s="514"/>
      <c r="N16" s="47"/>
    </row>
    <row r="17" spans="1:9" s="44" customFormat="1" ht="30.75" customHeight="1">
      <c r="A17" s="176">
        <f>'Commercial Invoice3'!A17</f>
        <v>600</v>
      </c>
      <c r="B17" s="474" t="str">
        <f>'Commercial Invoice3'!B17</f>
        <v>Carboxylic acid compound category (AB-04)1
White powder</v>
      </c>
      <c r="C17" s="474"/>
      <c r="D17" s="474"/>
      <c r="E17" s="454" t="str">
        <f>'Commercial Invoice3'!E17</f>
        <v>Glass/Plastic bottle</v>
      </c>
      <c r="F17" s="514"/>
      <c r="G17" s="514"/>
      <c r="H17" s="514"/>
      <c r="I17" s="514"/>
    </row>
    <row r="18" spans="1:9" s="44" customFormat="1" ht="30.75" customHeight="1">
      <c r="A18" s="176">
        <f>'Commercial Invoice3'!A18</f>
        <v>10</v>
      </c>
      <c r="B18" s="474" t="str">
        <f>'Commercial Invoice3'!B18</f>
        <v>Carboxylic acid compound category (AB-04)6
White Solid</v>
      </c>
      <c r="C18" s="474"/>
      <c r="D18" s="474"/>
      <c r="E18" s="454" t="str">
        <f>'Commercial Invoice3'!E18</f>
        <v>Glass/Plastic bottle</v>
      </c>
      <c r="F18" s="514"/>
      <c r="G18" s="514"/>
      <c r="H18" s="514"/>
      <c r="I18" s="514"/>
    </row>
    <row r="19" spans="1:9" s="44" customFormat="1" ht="30.75" customHeight="1">
      <c r="A19" s="176">
        <f>'Commercial Invoice3'!A19</f>
        <v>1000</v>
      </c>
      <c r="B19" s="474" t="str">
        <f>'Commercial Invoice3'!B19</f>
        <v>Sulfonamide compound category(AB-08)1
White Solid</v>
      </c>
      <c r="C19" s="474"/>
      <c r="D19" s="474"/>
      <c r="E19" s="454" t="str">
        <f>'Commercial Invoice3'!E19</f>
        <v>Glass/Plastic bottle</v>
      </c>
      <c r="F19" s="514"/>
      <c r="G19" s="514"/>
      <c r="H19" s="514"/>
      <c r="I19" s="514"/>
    </row>
    <row r="20" spans="1:9" s="44" customFormat="1" ht="30.75" customHeight="1">
      <c r="A20" s="176">
        <f>'Commercial Invoice3'!A20</f>
        <v>205</v>
      </c>
      <c r="B20" s="474" t="str">
        <f>'Commercial Invoice3'!B20</f>
        <v>Heterocyclic with single or more oxygen atoms compound category （AB-15）4
White crystal</v>
      </c>
      <c r="C20" s="474"/>
      <c r="D20" s="474"/>
      <c r="E20" s="454" t="str">
        <f>'Commercial Invoice3'!E20</f>
        <v>Glass/Plastic bottle</v>
      </c>
      <c r="F20" s="514"/>
      <c r="G20" s="514"/>
      <c r="H20" s="514"/>
      <c r="I20" s="514"/>
    </row>
    <row r="21" spans="1:9" s="44" customFormat="1" ht="30.75" customHeight="1">
      <c r="A21" s="176">
        <f>'Commercial Invoice3'!A21</f>
        <v>500</v>
      </c>
      <c r="B21" s="474" t="str">
        <f>'Commercial Invoice3'!B21</f>
        <v>Acyclic hydrocarbon compound category （AB-02）11
Colorless Transparent Liquid</v>
      </c>
      <c r="C21" s="474"/>
      <c r="D21" s="474"/>
      <c r="E21" s="454" t="str">
        <f>'Commercial Invoice3'!E21</f>
        <v>Glass/Plastic bottle</v>
      </c>
      <c r="F21" s="514"/>
      <c r="G21" s="514"/>
      <c r="H21" s="514"/>
      <c r="I21" s="514"/>
    </row>
    <row r="22" spans="1:9" s="44" customFormat="1" ht="30.75" customHeight="1">
      <c r="A22" s="176">
        <f>'Commercial Invoice3'!A22</f>
        <v>26</v>
      </c>
      <c r="B22" s="474" t="str">
        <f>'Commercial Invoice3'!B22</f>
        <v>Acyclic hydrocarbon compound category （AB-02）13
brown liquid</v>
      </c>
      <c r="C22" s="474"/>
      <c r="D22" s="474"/>
      <c r="E22" s="454" t="str">
        <f>'Commercial Invoice3'!E22</f>
        <v>Glass/Plastic bottle</v>
      </c>
      <c r="F22" s="514"/>
      <c r="G22" s="514"/>
      <c r="H22" s="514"/>
      <c r="I22" s="514"/>
    </row>
    <row r="23" spans="1:9" s="44" customFormat="1" ht="30.75" customHeight="1">
      <c r="A23" s="176">
        <f>'Commercial Invoice3'!A23</f>
        <v>25</v>
      </c>
      <c r="B23" s="474" t="str">
        <f>'Commercial Invoice3'!B23</f>
        <v>Heterocyclic with nitrogen compound category (AB-06)46
Yellow powder</v>
      </c>
      <c r="C23" s="474"/>
      <c r="D23" s="474"/>
      <c r="E23" s="454" t="str">
        <f>'Commercial Invoice3'!E23</f>
        <v>Glass/Plastic bottle</v>
      </c>
      <c r="F23" s="514"/>
      <c r="G23" s="514"/>
      <c r="H23" s="514"/>
      <c r="I23" s="514"/>
    </row>
    <row r="24" spans="1:9" s="44" customFormat="1" ht="30.75" customHeight="1">
      <c r="A24" s="176">
        <f>'Commercial Invoice3'!A24</f>
        <v>50</v>
      </c>
      <c r="B24" s="474" t="str">
        <f>'Commercial Invoice3'!B24</f>
        <v>Heterocyclic with nitrogen compound category (AB-06)53
Brown solid</v>
      </c>
      <c r="C24" s="474"/>
      <c r="D24" s="474"/>
      <c r="E24" s="454" t="str">
        <f>'Commercial Invoice3'!E24</f>
        <v>Glass/Plastic bottle</v>
      </c>
      <c r="F24" s="514"/>
      <c r="G24" s="514"/>
      <c r="H24" s="514"/>
      <c r="I24" s="514"/>
    </row>
    <row r="25" spans="1:9" s="44" customFormat="1" ht="30.75" customHeight="1">
      <c r="A25" s="176">
        <f>'Commercial Invoice3'!A25</f>
        <v>700</v>
      </c>
      <c r="B25" s="474" t="str">
        <f>'Commercial Invoice3'!B25</f>
        <v>Aromatic ring products without heteroatoms category （AB-16）33
Light yellow-green granular crystals</v>
      </c>
      <c r="C25" s="474"/>
      <c r="D25" s="474"/>
      <c r="E25" s="454" t="str">
        <f>'Commercial Invoice3'!E25</f>
        <v>Glass/Plastic bottle</v>
      </c>
      <c r="F25" s="514"/>
      <c r="G25" s="514"/>
      <c r="H25" s="514"/>
      <c r="I25" s="514"/>
    </row>
    <row r="26" spans="1:9" s="44" customFormat="1" ht="30.75" customHeight="1">
      <c r="A26" s="176">
        <f>'Commercial Invoice3'!A26</f>
        <v>150</v>
      </c>
      <c r="B26" s="474" t="str">
        <f>'Commercial Invoice3'!B26</f>
        <v>Aromatic ring products without heteroatoms category （AB-16）36
White powder</v>
      </c>
      <c r="C26" s="474"/>
      <c r="D26" s="474"/>
      <c r="E26" s="454" t="str">
        <f>'Commercial Invoice3'!E26</f>
        <v>Glass/Plastic bottle</v>
      </c>
      <c r="F26" s="514"/>
      <c r="G26" s="514"/>
      <c r="H26" s="514"/>
      <c r="I26" s="514"/>
    </row>
    <row r="27" spans="1:9" s="44" customFormat="1" ht="30.75" customHeight="1">
      <c r="A27" s="176">
        <f>'Commercial Invoice3'!A27</f>
        <v>0</v>
      </c>
      <c r="B27" s="474" t="str">
        <f>'Commercial Invoice3'!B27</f>
        <v/>
      </c>
      <c r="C27" s="474"/>
      <c r="D27" s="474"/>
      <c r="E27" s="454" t="str">
        <f>'Commercial Invoice3'!E27</f>
        <v/>
      </c>
      <c r="F27" s="514"/>
      <c r="G27" s="514"/>
      <c r="H27" s="514"/>
      <c r="I27" s="514"/>
    </row>
    <row r="28" spans="1:9" s="44" customFormat="1" ht="30.75" customHeight="1">
      <c r="A28" s="176">
        <f>'Commercial Invoice3'!A28</f>
        <v>0</v>
      </c>
      <c r="B28" s="474" t="str">
        <f>'Commercial Invoice3'!B28</f>
        <v/>
      </c>
      <c r="C28" s="474"/>
      <c r="D28" s="474"/>
      <c r="E28" s="454" t="str">
        <f>'Commercial Invoice3'!E28</f>
        <v/>
      </c>
      <c r="F28" s="514"/>
      <c r="G28" s="514"/>
      <c r="H28" s="514"/>
      <c r="I28" s="514"/>
    </row>
    <row r="29" spans="1:9" s="44" customFormat="1" ht="18.75" customHeight="1">
      <c r="A29" s="178"/>
      <c r="B29" s="515" t="str">
        <f>IF(COUNTIF(辅助!N:N,"&gt;0")&lt;=12,"Total Net Weight（g）:   "&amp;SUM(辅助!N:N)," ")</f>
        <v>Total Net Weight（g）:   3266</v>
      </c>
      <c r="C29" s="515"/>
      <c r="D29" s="515"/>
      <c r="E29" s="179"/>
      <c r="F29" s="516" t="s">
        <v>371</v>
      </c>
      <c r="G29" s="516"/>
      <c r="H29" s="516"/>
      <c r="I29" s="516"/>
    </row>
    <row r="30" spans="1:9" s="44" customFormat="1" ht="7.5" customHeight="1" thickBot="1">
      <c r="A30" s="178"/>
      <c r="B30" s="517" t="str">
        <f>IF(COUNTIF(辅助!N:N,"&gt;0")&lt;=12,"Gross Weight(kg):   "&amp;发货清单!Y2," ")</f>
        <v>Gross Weight(kg):   10</v>
      </c>
      <c r="C30" s="517"/>
      <c r="D30" s="517"/>
      <c r="E30" s="179"/>
      <c r="F30" s="518"/>
      <c r="G30" s="518"/>
      <c r="H30" s="518"/>
      <c r="I30" s="518"/>
    </row>
    <row r="31" spans="1:9" ht="15.75">
      <c r="A31" s="169" t="s">
        <v>31</v>
      </c>
      <c r="B31" s="170"/>
      <c r="C31" s="170"/>
      <c r="D31" s="171"/>
      <c r="E31" s="41"/>
      <c r="F31" s="484"/>
      <c r="G31" s="484"/>
      <c r="H31" s="484"/>
      <c r="I31" s="485"/>
    </row>
    <row r="32" spans="1:9" ht="15" customHeight="1">
      <c r="A32" s="486" t="str">
        <f>IF(LEFT(发货清单!R2,8)="WB000178","I certify that all chemicals in this shipment are subject to TSCA.","I certify that all chemicals in this shipment are not subject to TSCA.")</f>
        <v>I certify that all chemicals in this shipment are not subject to TSCA.</v>
      </c>
      <c r="B32" s="487"/>
      <c r="C32" s="488"/>
      <c r="D32" s="39"/>
      <c r="E32" s="492" t="s">
        <v>73</v>
      </c>
      <c r="F32" s="493"/>
      <c r="G32" s="493"/>
      <c r="H32" s="493"/>
      <c r="I32" s="494"/>
    </row>
    <row r="33" spans="1:10" ht="15.75" thickBot="1">
      <c r="A33" s="489"/>
      <c r="B33" s="490"/>
      <c r="C33" s="491"/>
      <c r="D33" s="39"/>
      <c r="E33" s="495"/>
      <c r="F33" s="496"/>
      <c r="G33" s="496"/>
      <c r="H33" s="496"/>
      <c r="I33" s="497"/>
    </row>
    <row r="34" spans="1:10" ht="16.5" customHeight="1" thickBot="1">
      <c r="A34" s="498" t="s">
        <v>526</v>
      </c>
      <c r="B34" s="499"/>
      <c r="C34" s="500"/>
      <c r="D34" s="39"/>
      <c r="E34" s="42" t="s">
        <v>71</v>
      </c>
      <c r="F34" s="39"/>
      <c r="G34" s="507" t="str">
        <f>'Commercial Invoice3'!G33</f>
        <v>2786337676</v>
      </c>
      <c r="H34" s="508"/>
      <c r="I34" s="509"/>
    </row>
    <row r="35" spans="1:10" ht="32.25" customHeight="1" thickBot="1">
      <c r="A35" s="501"/>
      <c r="B35" s="502"/>
      <c r="C35" s="503"/>
      <c r="D35" s="39"/>
      <c r="E35" s="42" t="s">
        <v>34</v>
      </c>
      <c r="F35" s="39"/>
      <c r="G35" s="43"/>
      <c r="H35" s="43"/>
      <c r="I35" s="172"/>
    </row>
    <row r="36" spans="1:10" ht="15" thickBot="1">
      <c r="A36" s="504"/>
      <c r="B36" s="505"/>
      <c r="C36" s="506"/>
      <c r="D36" s="43"/>
      <c r="E36" s="43"/>
      <c r="F36" s="43"/>
      <c r="G36" s="43"/>
      <c r="H36" s="43"/>
      <c r="I36" s="172"/>
    </row>
    <row r="37" spans="1:10" ht="18" customHeight="1">
      <c r="A37" s="17"/>
      <c r="B37" s="17"/>
      <c r="C37" s="17"/>
      <c r="D37" s="17"/>
      <c r="E37" s="17" t="str">
        <f>"page 1/"&amp;IF(COUNTIF(辅助!K:K,"&gt;0")&lt;13,1,IF(COUNTIF(辅助!K:K,"&gt;0")&lt;25,2,3))</f>
        <v>page 1/1</v>
      </c>
      <c r="F37" s="17"/>
      <c r="G37" s="17"/>
      <c r="H37" s="17"/>
      <c r="I37" s="17"/>
    </row>
    <row r="38" spans="1:10" ht="22.5">
      <c r="A38" s="470" t="s">
        <v>370</v>
      </c>
      <c r="B38" s="470"/>
      <c r="C38" s="470"/>
      <c r="D38" s="470"/>
      <c r="E38" s="470"/>
      <c r="F38" s="470"/>
      <c r="G38" s="470"/>
      <c r="H38" s="470"/>
      <c r="I38" s="470"/>
    </row>
    <row r="39" spans="1:10" ht="5.25" hidden="1" customHeight="1">
      <c r="A39" s="17"/>
      <c r="B39" s="17"/>
      <c r="C39" s="17"/>
      <c r="D39" s="17"/>
      <c r="E39" s="17"/>
      <c r="F39" s="17"/>
      <c r="G39" s="17"/>
      <c r="H39" s="34"/>
      <c r="I39" s="48"/>
    </row>
    <row r="40" spans="1:10" ht="5.25" hidden="1" customHeight="1">
      <c r="A40" s="17"/>
      <c r="B40" s="17"/>
      <c r="C40" s="17"/>
      <c r="D40" s="17"/>
      <c r="E40" s="17"/>
      <c r="F40" s="17"/>
      <c r="G40" s="17"/>
      <c r="H40" s="17"/>
      <c r="I40" s="17"/>
    </row>
    <row r="41" spans="1:10" ht="15.75">
      <c r="A41" s="35" t="s">
        <v>43</v>
      </c>
      <c r="B41" s="36"/>
      <c r="C41" s="36"/>
      <c r="D41" s="37"/>
      <c r="E41" s="61"/>
      <c r="F41" s="77" t="s">
        <v>42</v>
      </c>
      <c r="G41" s="71"/>
      <c r="H41" s="36"/>
      <c r="I41" s="37"/>
    </row>
    <row r="42" spans="1:10" ht="15.75">
      <c r="A42" s="103" t="s">
        <v>75</v>
      </c>
      <c r="B42" s="58"/>
      <c r="C42" s="58"/>
      <c r="D42" s="59"/>
      <c r="E42" s="58"/>
      <c r="F42" s="57" t="str">
        <f>F6</f>
        <v xml:space="preserve"> Fluorochem Limited</v>
      </c>
      <c r="G42" s="192"/>
      <c r="H42" s="15"/>
      <c r="I42" s="38"/>
    </row>
    <row r="43" spans="1:10" ht="15" customHeight="1">
      <c r="A43" s="104" t="s">
        <v>230</v>
      </c>
      <c r="B43" s="60"/>
      <c r="C43" s="60"/>
      <c r="D43" s="59"/>
      <c r="E43" s="61"/>
      <c r="F43" s="53" t="str">
        <f>F7</f>
        <v>Unit 14 Graphite Way</v>
      </c>
      <c r="G43" s="7"/>
      <c r="H43" s="39"/>
      <c r="I43" s="38"/>
      <c r="J43" s="16"/>
    </row>
    <row r="44" spans="1:10" ht="15" customHeight="1">
      <c r="A44" s="104" t="s">
        <v>231</v>
      </c>
      <c r="B44" s="60"/>
      <c r="C44" s="60"/>
      <c r="D44" s="59"/>
      <c r="E44" s="61"/>
      <c r="F44" s="53" t="str">
        <f t="shared" ref="F44:F46" si="0">F8</f>
        <v>Hadfield  Derbyshire</v>
      </c>
      <c r="G44" s="7"/>
      <c r="H44" s="39"/>
      <c r="I44" s="38"/>
      <c r="J44" s="16"/>
    </row>
    <row r="45" spans="1:10" ht="15" customHeight="1">
      <c r="A45" s="105" t="s">
        <v>232</v>
      </c>
      <c r="B45" s="60"/>
      <c r="C45" s="60"/>
      <c r="D45" s="59"/>
      <c r="E45" s="61"/>
      <c r="F45" s="53" t="str">
        <f t="shared" si="0"/>
        <v>SK13 1QH UK</v>
      </c>
      <c r="G45" s="193"/>
      <c r="H45" s="39"/>
      <c r="I45" s="38"/>
      <c r="J45" s="14"/>
    </row>
    <row r="46" spans="1:10" ht="15">
      <c r="A46" s="106" t="s">
        <v>233</v>
      </c>
      <c r="B46" s="62"/>
      <c r="C46" s="62"/>
      <c r="D46" s="63"/>
      <c r="E46" s="61"/>
      <c r="F46" s="53" t="str">
        <f t="shared" si="0"/>
        <v>TEL:4401457860111</v>
      </c>
      <c r="G46" s="6"/>
      <c r="H46" s="18"/>
      <c r="I46" s="40"/>
      <c r="J46" s="14"/>
    </row>
    <row r="47" spans="1:10" ht="6" customHeight="1">
      <c r="A47" s="17"/>
      <c r="B47" s="17"/>
      <c r="C47" s="17"/>
      <c r="D47" s="17"/>
      <c r="E47" s="17"/>
      <c r="F47" s="17"/>
      <c r="G47" s="17"/>
      <c r="H47" s="17"/>
      <c r="I47" s="17"/>
      <c r="J47" s="14"/>
    </row>
    <row r="48" spans="1:10" s="68" customFormat="1">
      <c r="A48" s="471" t="s">
        <v>17</v>
      </c>
      <c r="B48" s="472"/>
      <c r="C48" s="235" t="str">
        <f>C12</f>
        <v>Order  No.</v>
      </c>
      <c r="D48" s="67" t="s">
        <v>369</v>
      </c>
      <c r="E48" s="67" t="s">
        <v>21</v>
      </c>
      <c r="F48" s="263" t="s">
        <v>19</v>
      </c>
      <c r="G48" s="67" t="s">
        <v>20</v>
      </c>
      <c r="H48" s="471" t="s">
        <v>30</v>
      </c>
      <c r="I48" s="472"/>
    </row>
    <row r="49" spans="1:14" s="68" customFormat="1" ht="12.75">
      <c r="A49" s="471"/>
      <c r="B49" s="472"/>
      <c r="C49" s="67" t="str">
        <f>C13</f>
        <v>P100426</v>
      </c>
      <c r="D49" s="67"/>
      <c r="E49" s="67"/>
      <c r="F49" s="29" t="s">
        <v>38</v>
      </c>
      <c r="G49" s="67"/>
      <c r="H49" s="471" t="s">
        <v>386</v>
      </c>
      <c r="I49" s="472"/>
      <c r="J49" s="30"/>
    </row>
    <row r="50" spans="1:14" s="68" customFormat="1" ht="12.75">
      <c r="A50" s="471" t="s">
        <v>22</v>
      </c>
      <c r="B50" s="473"/>
      <c r="C50" s="472"/>
      <c r="D50" s="67" t="s">
        <v>70</v>
      </c>
      <c r="E50" s="471" t="s">
        <v>23</v>
      </c>
      <c r="F50" s="472"/>
      <c r="G50" s="453" t="s">
        <v>29</v>
      </c>
      <c r="H50" s="471" t="s">
        <v>18</v>
      </c>
      <c r="I50" s="472"/>
      <c r="J50" s="30"/>
    </row>
    <row r="51" spans="1:14" s="28" customFormat="1" ht="15.75">
      <c r="A51" s="476" t="s">
        <v>39</v>
      </c>
      <c r="B51" s="477"/>
      <c r="C51" s="478"/>
      <c r="D51" s="27"/>
      <c r="E51" s="513" t="str">
        <f>E15</f>
        <v>UK</v>
      </c>
      <c r="F51" s="478"/>
      <c r="G51" s="79">
        <f ca="1">G15</f>
        <v>43839</v>
      </c>
      <c r="H51" s="479" t="str">
        <f>H15</f>
        <v>20200109-607</v>
      </c>
      <c r="I51" s="480"/>
      <c r="J51" s="30"/>
    </row>
    <row r="52" spans="1:14" s="26" customFormat="1" ht="23.25" customHeight="1">
      <c r="A52" s="66" t="s">
        <v>24</v>
      </c>
      <c r="B52" s="481" t="s">
        <v>25</v>
      </c>
      <c r="C52" s="482"/>
      <c r="D52" s="483"/>
      <c r="E52" s="55" t="s">
        <v>28</v>
      </c>
      <c r="F52" s="514" t="s">
        <v>109</v>
      </c>
      <c r="G52" s="514"/>
      <c r="H52" s="514"/>
      <c r="I52" s="514"/>
      <c r="N52" s="47"/>
    </row>
    <row r="53" spans="1:14" s="44" customFormat="1" ht="30.75" customHeight="1">
      <c r="A53" s="176">
        <f>'Commercial Invoice3'!A52</f>
        <v>0</v>
      </c>
      <c r="B53" s="474" t="str">
        <f>'Commercial Invoice3'!B52</f>
        <v/>
      </c>
      <c r="C53" s="474"/>
      <c r="D53" s="474"/>
      <c r="E53" s="454" t="str">
        <f>'Commercial Invoice3'!E52</f>
        <v/>
      </c>
      <c r="F53" s="514"/>
      <c r="G53" s="514"/>
      <c r="H53" s="514"/>
      <c r="I53" s="514"/>
    </row>
    <row r="54" spans="1:14" s="44" customFormat="1" ht="30.75" customHeight="1">
      <c r="A54" s="176">
        <f>'Commercial Invoice3'!A53</f>
        <v>0</v>
      </c>
      <c r="B54" s="474" t="str">
        <f>'Commercial Invoice3'!B53</f>
        <v/>
      </c>
      <c r="C54" s="474"/>
      <c r="D54" s="474"/>
      <c r="E54" s="454" t="str">
        <f>'Commercial Invoice3'!E53</f>
        <v/>
      </c>
      <c r="F54" s="514"/>
      <c r="G54" s="514"/>
      <c r="H54" s="514"/>
      <c r="I54" s="514"/>
    </row>
    <row r="55" spans="1:14" s="44" customFormat="1" ht="30.75" customHeight="1">
      <c r="A55" s="176">
        <f>'Commercial Invoice3'!A54</f>
        <v>0</v>
      </c>
      <c r="B55" s="474" t="str">
        <f>'Commercial Invoice3'!B54</f>
        <v/>
      </c>
      <c r="C55" s="474"/>
      <c r="D55" s="474"/>
      <c r="E55" s="454" t="str">
        <f>'Commercial Invoice3'!E54</f>
        <v/>
      </c>
      <c r="F55" s="514"/>
      <c r="G55" s="514"/>
      <c r="H55" s="514"/>
      <c r="I55" s="514"/>
    </row>
    <row r="56" spans="1:14" s="44" customFormat="1" ht="30.75" customHeight="1">
      <c r="A56" s="176">
        <f>'Commercial Invoice3'!A55</f>
        <v>0</v>
      </c>
      <c r="B56" s="474" t="str">
        <f>'Commercial Invoice3'!B55</f>
        <v/>
      </c>
      <c r="C56" s="474"/>
      <c r="D56" s="474"/>
      <c r="E56" s="454" t="str">
        <f>'Commercial Invoice3'!E55</f>
        <v/>
      </c>
      <c r="F56" s="514"/>
      <c r="G56" s="514"/>
      <c r="H56" s="514"/>
      <c r="I56" s="514"/>
    </row>
    <row r="57" spans="1:14" s="44" customFormat="1" ht="30.75" customHeight="1">
      <c r="A57" s="176">
        <f>'Commercial Invoice3'!A56</f>
        <v>0</v>
      </c>
      <c r="B57" s="474" t="str">
        <f>'Commercial Invoice3'!B56</f>
        <v/>
      </c>
      <c r="C57" s="474"/>
      <c r="D57" s="474"/>
      <c r="E57" s="454" t="str">
        <f>'Commercial Invoice3'!E56</f>
        <v/>
      </c>
      <c r="F57" s="514"/>
      <c r="G57" s="514"/>
      <c r="H57" s="514"/>
      <c r="I57" s="514"/>
    </row>
    <row r="58" spans="1:14" s="44" customFormat="1" ht="30.75" customHeight="1">
      <c r="A58" s="176">
        <f>'Commercial Invoice3'!A57</f>
        <v>0</v>
      </c>
      <c r="B58" s="474" t="str">
        <f>'Commercial Invoice3'!B57</f>
        <v/>
      </c>
      <c r="C58" s="474"/>
      <c r="D58" s="474"/>
      <c r="E58" s="454" t="str">
        <f>'Commercial Invoice3'!E57</f>
        <v/>
      </c>
      <c r="F58" s="514"/>
      <c r="G58" s="514"/>
      <c r="H58" s="514"/>
      <c r="I58" s="514"/>
    </row>
    <row r="59" spans="1:14" s="44" customFormat="1" ht="38.25" customHeight="1">
      <c r="A59" s="176">
        <f>'Commercial Invoice3'!A58</f>
        <v>0</v>
      </c>
      <c r="B59" s="474" t="str">
        <f>'Commercial Invoice3'!B58</f>
        <v/>
      </c>
      <c r="C59" s="474"/>
      <c r="D59" s="474"/>
      <c r="E59" s="454" t="str">
        <f>'Commercial Invoice3'!E58</f>
        <v/>
      </c>
      <c r="F59" s="514"/>
      <c r="G59" s="514"/>
      <c r="H59" s="514"/>
      <c r="I59" s="514"/>
    </row>
    <row r="60" spans="1:14" s="44" customFormat="1" ht="30.75" customHeight="1">
      <c r="A60" s="176">
        <f>'Commercial Invoice3'!A59</f>
        <v>0</v>
      </c>
      <c r="B60" s="474" t="str">
        <f>'Commercial Invoice3'!B59</f>
        <v/>
      </c>
      <c r="C60" s="474"/>
      <c r="D60" s="474"/>
      <c r="E60" s="454" t="str">
        <f>'Commercial Invoice3'!E59</f>
        <v/>
      </c>
      <c r="F60" s="514"/>
      <c r="G60" s="514"/>
      <c r="H60" s="514"/>
      <c r="I60" s="514"/>
    </row>
    <row r="61" spans="1:14" s="44" customFormat="1" ht="30.75" customHeight="1">
      <c r="A61" s="176">
        <f>'Commercial Invoice3'!A60</f>
        <v>0</v>
      </c>
      <c r="B61" s="474" t="str">
        <f>'Commercial Invoice3'!B60</f>
        <v/>
      </c>
      <c r="C61" s="474"/>
      <c r="D61" s="474"/>
      <c r="E61" s="454" t="str">
        <f>'Commercial Invoice3'!E60</f>
        <v/>
      </c>
      <c r="F61" s="514"/>
      <c r="G61" s="514"/>
      <c r="H61" s="514"/>
      <c r="I61" s="514"/>
    </row>
    <row r="62" spans="1:14" s="44" customFormat="1" ht="30.75" customHeight="1">
      <c r="A62" s="176">
        <f>'Commercial Invoice3'!A61</f>
        <v>0</v>
      </c>
      <c r="B62" s="474" t="str">
        <f>'Commercial Invoice3'!B61</f>
        <v/>
      </c>
      <c r="C62" s="474"/>
      <c r="D62" s="474"/>
      <c r="E62" s="454" t="str">
        <f>'Commercial Invoice3'!E61</f>
        <v/>
      </c>
      <c r="F62" s="514"/>
      <c r="G62" s="514"/>
      <c r="H62" s="514"/>
      <c r="I62" s="514"/>
    </row>
    <row r="63" spans="1:14" s="44" customFormat="1" ht="30.75" customHeight="1">
      <c r="A63" s="176">
        <f>'Commercial Invoice3'!A62</f>
        <v>0</v>
      </c>
      <c r="B63" s="474" t="str">
        <f>'Commercial Invoice3'!B62</f>
        <v/>
      </c>
      <c r="C63" s="474"/>
      <c r="D63" s="474"/>
      <c r="E63" s="454" t="str">
        <f>'Commercial Invoice3'!E62</f>
        <v/>
      </c>
      <c r="F63" s="514"/>
      <c r="G63" s="514"/>
      <c r="H63" s="514"/>
      <c r="I63" s="514"/>
    </row>
    <row r="64" spans="1:14" s="44" customFormat="1" ht="27.75" customHeight="1">
      <c r="A64" s="176">
        <f>'Commercial Invoice3'!A63</f>
        <v>0</v>
      </c>
      <c r="B64" s="474" t="str">
        <f>'Commercial Invoice3'!B63</f>
        <v/>
      </c>
      <c r="C64" s="474"/>
      <c r="D64" s="474"/>
      <c r="E64" s="454" t="str">
        <f>'Commercial Invoice3'!E63</f>
        <v/>
      </c>
      <c r="F64" s="514"/>
      <c r="G64" s="514"/>
      <c r="H64" s="514"/>
      <c r="I64" s="514"/>
    </row>
    <row r="65" spans="1:10" s="44" customFormat="1" ht="18.75" customHeight="1">
      <c r="A65" s="178"/>
      <c r="B65" s="515" t="str">
        <f>IF(COUNTIF(辅助!N:N,"&gt;0")&lt;=24,"Total Net Weight（g）:   "&amp;SUM(辅助!N:N)," ")</f>
        <v>Total Net Weight（g）:   3266</v>
      </c>
      <c r="C65" s="515"/>
      <c r="D65" s="515"/>
      <c r="E65" s="179"/>
      <c r="F65" s="516" t="s">
        <v>371</v>
      </c>
      <c r="G65" s="516"/>
      <c r="H65" s="516"/>
      <c r="I65" s="516"/>
    </row>
    <row r="66" spans="1:10" s="44" customFormat="1" ht="17.25" customHeight="1" thickBot="1">
      <c r="A66" s="178"/>
      <c r="B66" s="517" t="str">
        <f>IF(COUNTIF(辅助!N:N,"&gt;0")&lt;=24,"Gross Weight(kg):   "&amp;发货清单!Y2," ")</f>
        <v>Gross Weight(kg):   10</v>
      </c>
      <c r="C66" s="517"/>
      <c r="D66" s="517"/>
      <c r="E66" s="179"/>
      <c r="F66" s="518"/>
      <c r="G66" s="518"/>
      <c r="H66" s="518"/>
      <c r="I66" s="518"/>
    </row>
    <row r="67" spans="1:10" ht="15.75">
      <c r="A67" s="169" t="s">
        <v>31</v>
      </c>
      <c r="B67" s="170"/>
      <c r="C67" s="170"/>
      <c r="D67" s="171"/>
      <c r="E67" s="41"/>
      <c r="F67" s="484"/>
      <c r="G67" s="484"/>
      <c r="H67" s="484"/>
      <c r="I67" s="485"/>
    </row>
    <row r="68" spans="1:10" ht="15" customHeight="1">
      <c r="A68" s="486" t="str">
        <f>IF(LEFT(发货清单!R2,8)="WB000178","I certify that all chemicals in this shipment are subject to TSCA.","I certify that all chemicals in this shipment are not subject to TSCA.")</f>
        <v>I certify that all chemicals in this shipment are not subject to TSCA.</v>
      </c>
      <c r="B68" s="487"/>
      <c r="C68" s="488"/>
      <c r="D68" s="39"/>
      <c r="E68" s="492" t="s">
        <v>73</v>
      </c>
      <c r="F68" s="493"/>
      <c r="G68" s="493"/>
      <c r="H68" s="493"/>
      <c r="I68" s="494"/>
    </row>
    <row r="69" spans="1:10" ht="15.75" thickBot="1">
      <c r="A69" s="489"/>
      <c r="B69" s="490"/>
      <c r="C69" s="491"/>
      <c r="D69" s="39"/>
      <c r="E69" s="495"/>
      <c r="F69" s="496"/>
      <c r="G69" s="496"/>
      <c r="H69" s="496"/>
      <c r="I69" s="497"/>
    </row>
    <row r="70" spans="1:10" ht="16.5" customHeight="1" thickBot="1">
      <c r="A70" s="498" t="s">
        <v>526</v>
      </c>
      <c r="B70" s="499"/>
      <c r="C70" s="500"/>
      <c r="D70" s="39"/>
      <c r="E70" s="42" t="s">
        <v>71</v>
      </c>
      <c r="F70" s="39"/>
      <c r="G70" s="507" t="str">
        <f>G34</f>
        <v>2786337676</v>
      </c>
      <c r="H70" s="508"/>
      <c r="I70" s="509"/>
    </row>
    <row r="71" spans="1:10" ht="32.25" customHeight="1" thickBot="1">
      <c r="A71" s="501"/>
      <c r="B71" s="502"/>
      <c r="C71" s="503"/>
      <c r="D71" s="39"/>
      <c r="E71" s="42" t="s">
        <v>34</v>
      </c>
      <c r="F71" s="39"/>
      <c r="G71" s="43"/>
      <c r="H71" s="43"/>
      <c r="I71" s="172"/>
    </row>
    <row r="72" spans="1:10" ht="15" thickBot="1">
      <c r="A72" s="504"/>
      <c r="B72" s="505"/>
      <c r="C72" s="506"/>
      <c r="D72" s="43"/>
      <c r="E72" s="43"/>
      <c r="F72" s="43"/>
      <c r="G72" s="43"/>
      <c r="H72" s="43"/>
      <c r="I72" s="172"/>
    </row>
    <row r="73" spans="1:10">
      <c r="A73" s="17"/>
      <c r="B73" s="17"/>
      <c r="C73" s="17"/>
      <c r="D73" s="17"/>
      <c r="E73" s="17" t="str">
        <f>"page 2/"&amp;IF(COUNTIF(辅助!K:K,"&gt;0")&lt;25,2,3)</f>
        <v>page 2/2</v>
      </c>
      <c r="F73" s="17"/>
      <c r="G73" s="17"/>
      <c r="H73" s="17"/>
      <c r="I73" s="17"/>
    </row>
    <row r="74" spans="1:10" ht="22.5">
      <c r="A74" s="470" t="s">
        <v>370</v>
      </c>
      <c r="B74" s="470"/>
      <c r="C74" s="470"/>
      <c r="D74" s="470"/>
      <c r="E74" s="470"/>
      <c r="F74" s="470"/>
      <c r="G74" s="470"/>
      <c r="H74" s="470"/>
      <c r="I74" s="470"/>
    </row>
    <row r="75" spans="1:10" ht="5.25" hidden="1" customHeight="1">
      <c r="A75" s="17"/>
      <c r="B75" s="17"/>
      <c r="C75" s="17"/>
      <c r="D75" s="17"/>
      <c r="E75" s="17"/>
      <c r="F75" s="17"/>
      <c r="G75" s="17"/>
      <c r="H75" s="34"/>
      <c r="I75" s="48"/>
    </row>
    <row r="76" spans="1:10" ht="5.25" hidden="1" customHeight="1">
      <c r="A76" s="17"/>
      <c r="B76" s="17"/>
      <c r="C76" s="17"/>
      <c r="D76" s="17"/>
      <c r="E76" s="17"/>
      <c r="F76" s="17"/>
      <c r="G76" s="17"/>
      <c r="H76" s="17"/>
      <c r="I76" s="17"/>
    </row>
    <row r="77" spans="1:10" ht="15.75">
      <c r="A77" s="35" t="s">
        <v>43</v>
      </c>
      <c r="B77" s="36"/>
      <c r="C77" s="36"/>
      <c r="D77" s="37"/>
      <c r="E77" s="61"/>
      <c r="F77" s="77" t="s">
        <v>42</v>
      </c>
      <c r="G77" s="71"/>
      <c r="H77" s="36"/>
      <c r="I77" s="37"/>
    </row>
    <row r="78" spans="1:10" ht="15.75">
      <c r="A78" s="103" t="s">
        <v>75</v>
      </c>
      <c r="B78" s="58"/>
      <c r="C78" s="58"/>
      <c r="D78" s="59"/>
      <c r="E78" s="58"/>
      <c r="F78" s="57" t="str">
        <f>F42</f>
        <v xml:space="preserve"> Fluorochem Limited</v>
      </c>
      <c r="G78" s="192"/>
      <c r="H78" s="15"/>
      <c r="I78" s="38"/>
    </row>
    <row r="79" spans="1:10" ht="15" customHeight="1">
      <c r="A79" s="104" t="s">
        <v>230</v>
      </c>
      <c r="B79" s="60"/>
      <c r="C79" s="60"/>
      <c r="D79" s="59"/>
      <c r="E79" s="61"/>
      <c r="F79" s="53" t="str">
        <f>F43</f>
        <v>Unit 14 Graphite Way</v>
      </c>
      <c r="G79" s="7"/>
      <c r="H79" s="39"/>
      <c r="I79" s="38"/>
      <c r="J79" s="16"/>
    </row>
    <row r="80" spans="1:10" ht="15" customHeight="1">
      <c r="A80" s="104" t="s">
        <v>231</v>
      </c>
      <c r="B80" s="60"/>
      <c r="C80" s="60"/>
      <c r="D80" s="59"/>
      <c r="E80" s="61"/>
      <c r="F80" s="53" t="str">
        <f t="shared" ref="F80:F82" si="1">F44</f>
        <v>Hadfield  Derbyshire</v>
      </c>
      <c r="G80" s="7"/>
      <c r="H80" s="39"/>
      <c r="I80" s="38"/>
      <c r="J80" s="16"/>
    </row>
    <row r="81" spans="1:14" ht="15" customHeight="1">
      <c r="A81" s="105" t="s">
        <v>232</v>
      </c>
      <c r="B81" s="60"/>
      <c r="C81" s="60"/>
      <c r="D81" s="59"/>
      <c r="E81" s="61"/>
      <c r="F81" s="53" t="str">
        <f t="shared" si="1"/>
        <v>SK13 1QH UK</v>
      </c>
      <c r="G81" s="193"/>
      <c r="H81" s="39"/>
      <c r="I81" s="38"/>
      <c r="J81" s="14"/>
    </row>
    <row r="82" spans="1:14" ht="15">
      <c r="A82" s="106" t="s">
        <v>233</v>
      </c>
      <c r="B82" s="62"/>
      <c r="C82" s="62"/>
      <c r="D82" s="63"/>
      <c r="E82" s="61"/>
      <c r="F82" s="53" t="str">
        <f t="shared" si="1"/>
        <v>TEL:4401457860111</v>
      </c>
      <c r="G82" s="6"/>
      <c r="H82" s="18"/>
      <c r="I82" s="40"/>
      <c r="J82" s="14"/>
    </row>
    <row r="83" spans="1:14" ht="6" customHeight="1">
      <c r="A83" s="17"/>
      <c r="B83" s="17"/>
      <c r="C83" s="17"/>
      <c r="D83" s="17"/>
      <c r="E83" s="17"/>
      <c r="F83" s="17"/>
      <c r="G83" s="17"/>
      <c r="H83" s="17"/>
      <c r="I83" s="17"/>
      <c r="J83" s="14"/>
    </row>
    <row r="84" spans="1:14" s="68" customFormat="1">
      <c r="A84" s="471" t="s">
        <v>17</v>
      </c>
      <c r="B84" s="472"/>
      <c r="C84" s="235" t="str">
        <f>C48</f>
        <v>Order  No.</v>
      </c>
      <c r="D84" s="67" t="s">
        <v>369</v>
      </c>
      <c r="E84" s="67" t="s">
        <v>21</v>
      </c>
      <c r="F84" s="263" t="s">
        <v>19</v>
      </c>
      <c r="G84" s="67" t="s">
        <v>20</v>
      </c>
      <c r="H84" s="471" t="s">
        <v>30</v>
      </c>
      <c r="I84" s="472"/>
    </row>
    <row r="85" spans="1:14" s="68" customFormat="1" ht="12.75">
      <c r="A85" s="471"/>
      <c r="B85" s="472"/>
      <c r="C85" s="67" t="str">
        <f>C49</f>
        <v>P100426</v>
      </c>
      <c r="D85" s="67"/>
      <c r="E85" s="67"/>
      <c r="F85" s="29" t="s">
        <v>38</v>
      </c>
      <c r="G85" s="67"/>
      <c r="H85" s="471" t="s">
        <v>386</v>
      </c>
      <c r="I85" s="472"/>
      <c r="J85" s="30"/>
    </row>
    <row r="86" spans="1:14" s="68" customFormat="1" ht="12.75">
      <c r="A86" s="471" t="s">
        <v>22</v>
      </c>
      <c r="B86" s="473"/>
      <c r="C86" s="472"/>
      <c r="D86" s="67" t="s">
        <v>70</v>
      </c>
      <c r="E86" s="471" t="s">
        <v>23</v>
      </c>
      <c r="F86" s="472"/>
      <c r="G86" s="453" t="s">
        <v>29</v>
      </c>
      <c r="H86" s="471" t="s">
        <v>18</v>
      </c>
      <c r="I86" s="472"/>
      <c r="J86" s="30"/>
    </row>
    <row r="87" spans="1:14" s="28" customFormat="1" ht="15.75">
      <c r="A87" s="476" t="s">
        <v>39</v>
      </c>
      <c r="B87" s="477"/>
      <c r="C87" s="478"/>
      <c r="D87" s="27"/>
      <c r="E87" s="513" t="str">
        <f>E15</f>
        <v>UK</v>
      </c>
      <c r="F87" s="478"/>
      <c r="G87" s="79">
        <f ca="1">G51</f>
        <v>43839</v>
      </c>
      <c r="H87" s="479" t="str">
        <f>H51</f>
        <v>20200109-607</v>
      </c>
      <c r="I87" s="480"/>
      <c r="J87" s="30"/>
    </row>
    <row r="88" spans="1:14" s="26" customFormat="1" ht="23.25" customHeight="1">
      <c r="A88" s="66" t="s">
        <v>24</v>
      </c>
      <c r="B88" s="481" t="s">
        <v>25</v>
      </c>
      <c r="C88" s="482"/>
      <c r="D88" s="483"/>
      <c r="E88" s="55" t="s">
        <v>28</v>
      </c>
      <c r="F88" s="514" t="s">
        <v>109</v>
      </c>
      <c r="G88" s="514"/>
      <c r="H88" s="514"/>
      <c r="I88" s="514"/>
      <c r="N88" s="47"/>
    </row>
    <row r="89" spans="1:14" s="44" customFormat="1" ht="30.75" customHeight="1">
      <c r="A89" s="176">
        <f>'Commercial Invoice3'!A87</f>
        <v>0</v>
      </c>
      <c r="B89" s="474" t="str">
        <f>'Commercial Invoice3'!B87</f>
        <v/>
      </c>
      <c r="C89" s="474"/>
      <c r="D89" s="474"/>
      <c r="E89" s="454" t="str">
        <f>'Commercial Invoice3'!E87</f>
        <v/>
      </c>
      <c r="F89" s="514"/>
      <c r="G89" s="514"/>
      <c r="H89" s="514"/>
      <c r="I89" s="514"/>
    </row>
    <row r="90" spans="1:14" s="44" customFormat="1" ht="30.75" customHeight="1">
      <c r="A90" s="176">
        <f>'Commercial Invoice3'!A88</f>
        <v>0</v>
      </c>
      <c r="B90" s="474" t="str">
        <f>'Commercial Invoice3'!B88</f>
        <v/>
      </c>
      <c r="C90" s="474"/>
      <c r="D90" s="474"/>
      <c r="E90" s="454" t="str">
        <f>'Commercial Invoice3'!E88</f>
        <v/>
      </c>
      <c r="F90" s="514"/>
      <c r="G90" s="514"/>
      <c r="H90" s="514"/>
      <c r="I90" s="514"/>
    </row>
    <row r="91" spans="1:14" s="44" customFormat="1" ht="30.75" customHeight="1">
      <c r="A91" s="176">
        <f>'Commercial Invoice3'!A89</f>
        <v>0</v>
      </c>
      <c r="B91" s="474" t="str">
        <f>'Commercial Invoice3'!B89</f>
        <v/>
      </c>
      <c r="C91" s="474"/>
      <c r="D91" s="474"/>
      <c r="E91" s="454" t="str">
        <f>'Commercial Invoice3'!E89</f>
        <v/>
      </c>
      <c r="F91" s="514"/>
      <c r="G91" s="514"/>
      <c r="H91" s="514"/>
      <c r="I91" s="514"/>
    </row>
    <row r="92" spans="1:14" s="44" customFormat="1" ht="30.75" customHeight="1">
      <c r="A92" s="176">
        <f>'Commercial Invoice3'!A90</f>
        <v>0</v>
      </c>
      <c r="B92" s="474" t="str">
        <f>'Commercial Invoice3'!B90</f>
        <v/>
      </c>
      <c r="C92" s="474"/>
      <c r="D92" s="474"/>
      <c r="E92" s="454" t="str">
        <f>'Commercial Invoice3'!E90</f>
        <v/>
      </c>
      <c r="F92" s="514"/>
      <c r="G92" s="514"/>
      <c r="H92" s="514"/>
      <c r="I92" s="514"/>
    </row>
    <row r="93" spans="1:14" s="44" customFormat="1" ht="30.75" customHeight="1">
      <c r="A93" s="176">
        <f>'Commercial Invoice3'!A91</f>
        <v>0</v>
      </c>
      <c r="B93" s="474" t="str">
        <f>'Commercial Invoice3'!B91</f>
        <v/>
      </c>
      <c r="C93" s="474"/>
      <c r="D93" s="474"/>
      <c r="E93" s="454" t="str">
        <f>'Commercial Invoice3'!E91</f>
        <v/>
      </c>
      <c r="F93" s="514"/>
      <c r="G93" s="514"/>
      <c r="H93" s="514"/>
      <c r="I93" s="514"/>
    </row>
    <row r="94" spans="1:14" s="44" customFormat="1" ht="30.75" customHeight="1">
      <c r="A94" s="176">
        <f>'Commercial Invoice3'!A92</f>
        <v>0</v>
      </c>
      <c r="B94" s="474" t="str">
        <f>'Commercial Invoice3'!B92</f>
        <v/>
      </c>
      <c r="C94" s="474"/>
      <c r="D94" s="474"/>
      <c r="E94" s="454" t="str">
        <f>'Commercial Invoice3'!E92</f>
        <v/>
      </c>
      <c r="F94" s="514"/>
      <c r="G94" s="514"/>
      <c r="H94" s="514"/>
      <c r="I94" s="514"/>
    </row>
    <row r="95" spans="1:14" s="44" customFormat="1" ht="30.75" customHeight="1">
      <c r="A95" s="176">
        <f>'Commercial Invoice3'!A93</f>
        <v>0</v>
      </c>
      <c r="B95" s="474" t="str">
        <f>'Commercial Invoice3'!B93</f>
        <v/>
      </c>
      <c r="C95" s="474"/>
      <c r="D95" s="474"/>
      <c r="E95" s="454" t="str">
        <f>'Commercial Invoice3'!E93</f>
        <v/>
      </c>
      <c r="F95" s="514"/>
      <c r="G95" s="514"/>
      <c r="H95" s="514"/>
      <c r="I95" s="514"/>
    </row>
    <row r="96" spans="1:14" s="44" customFormat="1" ht="30.75" customHeight="1">
      <c r="A96" s="176">
        <f>'Commercial Invoice3'!A94</f>
        <v>0</v>
      </c>
      <c r="B96" s="474" t="str">
        <f>'Commercial Invoice3'!B94</f>
        <v/>
      </c>
      <c r="C96" s="474"/>
      <c r="D96" s="474"/>
      <c r="E96" s="454" t="str">
        <f>'Commercial Invoice3'!E94</f>
        <v/>
      </c>
      <c r="F96" s="514"/>
      <c r="G96" s="514"/>
      <c r="H96" s="514"/>
      <c r="I96" s="514"/>
    </row>
    <row r="97" spans="1:9" s="44" customFormat="1" ht="30.75" customHeight="1">
      <c r="A97" s="176">
        <f>'Commercial Invoice3'!A95</f>
        <v>0</v>
      </c>
      <c r="B97" s="474" t="str">
        <f>'Commercial Invoice3'!B95</f>
        <v/>
      </c>
      <c r="C97" s="474"/>
      <c r="D97" s="474"/>
      <c r="E97" s="454" t="str">
        <f>'Commercial Invoice3'!E95</f>
        <v/>
      </c>
      <c r="F97" s="514"/>
      <c r="G97" s="514"/>
      <c r="H97" s="514"/>
      <c r="I97" s="514"/>
    </row>
    <row r="98" spans="1:9" s="44" customFormat="1" ht="30.75" customHeight="1">
      <c r="A98" s="176">
        <f>'Commercial Invoice3'!A96</f>
        <v>0</v>
      </c>
      <c r="B98" s="474" t="str">
        <f>'Commercial Invoice3'!B96</f>
        <v/>
      </c>
      <c r="C98" s="474"/>
      <c r="D98" s="474"/>
      <c r="E98" s="454" t="str">
        <f>'Commercial Invoice3'!E96</f>
        <v/>
      </c>
      <c r="F98" s="514"/>
      <c r="G98" s="514"/>
      <c r="H98" s="514"/>
      <c r="I98" s="514"/>
    </row>
    <row r="99" spans="1:9" s="44" customFormat="1" ht="30.75" customHeight="1">
      <c r="A99" s="176">
        <f>'Commercial Invoice3'!A97</f>
        <v>0</v>
      </c>
      <c r="B99" s="474" t="str">
        <f>'Commercial Invoice3'!B97</f>
        <v/>
      </c>
      <c r="C99" s="474"/>
      <c r="D99" s="474"/>
      <c r="E99" s="454" t="str">
        <f>'Commercial Invoice3'!E97</f>
        <v/>
      </c>
      <c r="F99" s="514"/>
      <c r="G99" s="514"/>
      <c r="H99" s="514"/>
      <c r="I99" s="514"/>
    </row>
    <row r="100" spans="1:9" s="44" customFormat="1" ht="30.75" customHeight="1">
      <c r="A100" s="176">
        <f>'Commercial Invoice3'!A98</f>
        <v>0</v>
      </c>
      <c r="B100" s="474" t="str">
        <f>'Commercial Invoice3'!B98</f>
        <v/>
      </c>
      <c r="C100" s="474"/>
      <c r="D100" s="474"/>
      <c r="E100" s="454" t="str">
        <f>'Commercial Invoice3'!E98</f>
        <v/>
      </c>
      <c r="F100" s="514"/>
      <c r="G100" s="514"/>
      <c r="H100" s="514"/>
      <c r="I100" s="514"/>
    </row>
    <row r="101" spans="1:9" s="44" customFormat="1" ht="18.75" customHeight="1">
      <c r="A101" s="178"/>
      <c r="B101" s="515" t="str">
        <f>IF(COUNTIF(辅助!N:N,"&gt;0")&lt;=36,"Total Net Weight（g）:   "&amp;SUM(辅助!N:N)," ")</f>
        <v>Total Net Weight（g）:   3266</v>
      </c>
      <c r="C101" s="515"/>
      <c r="D101" s="515"/>
      <c r="E101" s="179"/>
      <c r="F101" s="516" t="s">
        <v>371</v>
      </c>
      <c r="G101" s="516"/>
      <c r="H101" s="516"/>
      <c r="I101" s="516"/>
    </row>
    <row r="102" spans="1:9" s="44" customFormat="1" ht="17.25" customHeight="1" thickBot="1">
      <c r="A102" s="178"/>
      <c r="B102" s="517" t="str">
        <f>IF(COUNTIF(辅助!N:N,"&gt;0")&lt;=36,"Gross Weight(kg):   "&amp;发货清单!Y2," ")</f>
        <v>Gross Weight(kg):   10</v>
      </c>
      <c r="C102" s="517"/>
      <c r="D102" s="517"/>
      <c r="E102" s="179"/>
      <c r="F102" s="518"/>
      <c r="G102" s="518"/>
      <c r="H102" s="518"/>
      <c r="I102" s="518"/>
    </row>
    <row r="103" spans="1:9" ht="15.75">
      <c r="A103" s="169" t="s">
        <v>31</v>
      </c>
      <c r="B103" s="170"/>
      <c r="C103" s="170"/>
      <c r="D103" s="171"/>
      <c r="E103" s="41"/>
      <c r="F103" s="484"/>
      <c r="G103" s="484"/>
      <c r="H103" s="484"/>
      <c r="I103" s="485"/>
    </row>
    <row r="104" spans="1:9" ht="15" customHeight="1">
      <c r="A104" s="486" t="str">
        <f>IF(LEFT(发货清单!R2,8)="WB000178","I certify that all chemicals in this shipment are subject to TSCA.","I certify that all chemicals in this shipment are not subject to TSCA.")</f>
        <v>I certify that all chemicals in this shipment are not subject to TSCA.</v>
      </c>
      <c r="B104" s="487"/>
      <c r="C104" s="488"/>
      <c r="D104" s="39"/>
      <c r="E104" s="492" t="s">
        <v>73</v>
      </c>
      <c r="F104" s="493"/>
      <c r="G104" s="493"/>
      <c r="H104" s="493"/>
      <c r="I104" s="494"/>
    </row>
    <row r="105" spans="1:9" ht="12" customHeight="1" thickBot="1">
      <c r="A105" s="489"/>
      <c r="B105" s="490"/>
      <c r="C105" s="491"/>
      <c r="D105" s="39"/>
      <c r="E105" s="495"/>
      <c r="F105" s="496"/>
      <c r="G105" s="496"/>
      <c r="H105" s="496"/>
      <c r="I105" s="497"/>
    </row>
    <row r="106" spans="1:9" ht="16.5" customHeight="1" thickBot="1">
      <c r="A106" s="498" t="s">
        <v>526</v>
      </c>
      <c r="B106" s="499"/>
      <c r="C106" s="500"/>
      <c r="D106" s="39"/>
      <c r="E106" s="42" t="s">
        <v>71</v>
      </c>
      <c r="F106" s="39"/>
      <c r="G106" s="507" t="str">
        <f>G70</f>
        <v>2786337676</v>
      </c>
      <c r="H106" s="508"/>
      <c r="I106" s="509"/>
    </row>
    <row r="107" spans="1:9" ht="32.25" customHeight="1" thickBot="1">
      <c r="A107" s="501"/>
      <c r="B107" s="502"/>
      <c r="C107" s="503"/>
      <c r="D107" s="39"/>
      <c r="E107" s="42" t="s">
        <v>34</v>
      </c>
      <c r="F107" s="39"/>
      <c r="G107" s="43"/>
      <c r="H107" s="43"/>
      <c r="I107" s="172"/>
    </row>
    <row r="108" spans="1:9" ht="15" thickBot="1">
      <c r="A108" s="504"/>
      <c r="B108" s="505"/>
      <c r="C108" s="506"/>
      <c r="D108" s="43"/>
      <c r="E108" s="43"/>
      <c r="F108" s="43"/>
      <c r="G108" s="43"/>
      <c r="H108" s="43"/>
      <c r="I108" s="172"/>
    </row>
    <row r="109" spans="1:9">
      <c r="E109" t="s">
        <v>569</v>
      </c>
    </row>
  </sheetData>
  <mergeCells count="141">
    <mergeCell ref="A106:C108"/>
    <mergeCell ref="G106:I106"/>
    <mergeCell ref="B102:D102"/>
    <mergeCell ref="F102:I102"/>
    <mergeCell ref="F103:I103"/>
    <mergeCell ref="A104:C105"/>
    <mergeCell ref="E104:I104"/>
    <mergeCell ref="E105:I105"/>
    <mergeCell ref="B99:D99"/>
    <mergeCell ref="F99:I99"/>
    <mergeCell ref="B100:D100"/>
    <mergeCell ref="F100:I100"/>
    <mergeCell ref="B101:D101"/>
    <mergeCell ref="F101:I101"/>
    <mergeCell ref="B96:D96"/>
    <mergeCell ref="F96:I96"/>
    <mergeCell ref="B97:D97"/>
    <mergeCell ref="F97:I97"/>
    <mergeCell ref="B98:D98"/>
    <mergeCell ref="F98:I98"/>
    <mergeCell ref="B93:D93"/>
    <mergeCell ref="F93:I93"/>
    <mergeCell ref="B94:D94"/>
    <mergeCell ref="F94:I94"/>
    <mergeCell ref="B95:D95"/>
    <mergeCell ref="F95:I95"/>
    <mergeCell ref="B90:D90"/>
    <mergeCell ref="F90:I90"/>
    <mergeCell ref="B91:D91"/>
    <mergeCell ref="F91:I91"/>
    <mergeCell ref="B92:D92"/>
    <mergeCell ref="F92:I92"/>
    <mergeCell ref="A87:C87"/>
    <mergeCell ref="E87:F87"/>
    <mergeCell ref="H87:I87"/>
    <mergeCell ref="B88:D88"/>
    <mergeCell ref="F88:I88"/>
    <mergeCell ref="B89:D89"/>
    <mergeCell ref="F89:I89"/>
    <mergeCell ref="A74:I74"/>
    <mergeCell ref="A84:B84"/>
    <mergeCell ref="H84:I84"/>
    <mergeCell ref="A85:B85"/>
    <mergeCell ref="H85:I85"/>
    <mergeCell ref="A86:C86"/>
    <mergeCell ref="E86:F86"/>
    <mergeCell ref="H86:I86"/>
    <mergeCell ref="F67:I67"/>
    <mergeCell ref="A68:C69"/>
    <mergeCell ref="E68:I68"/>
    <mergeCell ref="E69:I69"/>
    <mergeCell ref="A70:C72"/>
    <mergeCell ref="G70:I70"/>
    <mergeCell ref="B64:D64"/>
    <mergeCell ref="F64:I64"/>
    <mergeCell ref="B65:D65"/>
    <mergeCell ref="F65:I65"/>
    <mergeCell ref="B66:D66"/>
    <mergeCell ref="F66:I66"/>
    <mergeCell ref="B61:D61"/>
    <mergeCell ref="F61:I61"/>
    <mergeCell ref="B62:D62"/>
    <mergeCell ref="F62:I62"/>
    <mergeCell ref="B63:D63"/>
    <mergeCell ref="F63:I63"/>
    <mergeCell ref="B58:D58"/>
    <mergeCell ref="F58:I58"/>
    <mergeCell ref="B59:D59"/>
    <mergeCell ref="F59:I59"/>
    <mergeCell ref="B60:D60"/>
    <mergeCell ref="F60:I60"/>
    <mergeCell ref="B55:D55"/>
    <mergeCell ref="F55:I55"/>
    <mergeCell ref="B56:D56"/>
    <mergeCell ref="F56:I56"/>
    <mergeCell ref="B57:D57"/>
    <mergeCell ref="F57:I57"/>
    <mergeCell ref="B52:D52"/>
    <mergeCell ref="F52:I52"/>
    <mergeCell ref="B53:D53"/>
    <mergeCell ref="F53:I53"/>
    <mergeCell ref="B54:D54"/>
    <mergeCell ref="F54:I54"/>
    <mergeCell ref="A50:C50"/>
    <mergeCell ref="E50:F50"/>
    <mergeCell ref="H50:I50"/>
    <mergeCell ref="A51:C51"/>
    <mergeCell ref="E51:F51"/>
    <mergeCell ref="H51:I51"/>
    <mergeCell ref="A34:C36"/>
    <mergeCell ref="G34:I34"/>
    <mergeCell ref="A38:I38"/>
    <mergeCell ref="A48:B48"/>
    <mergeCell ref="H48:I48"/>
    <mergeCell ref="A49:B49"/>
    <mergeCell ref="H49:I49"/>
    <mergeCell ref="B30:D30"/>
    <mergeCell ref="F30:I30"/>
    <mergeCell ref="F31:I31"/>
    <mergeCell ref="A32:C33"/>
    <mergeCell ref="E32:I32"/>
    <mergeCell ref="E33:I33"/>
    <mergeCell ref="B27:D27"/>
    <mergeCell ref="F27:I27"/>
    <mergeCell ref="B28:D28"/>
    <mergeCell ref="F28:I28"/>
    <mergeCell ref="B29:D29"/>
    <mergeCell ref="F29:I29"/>
    <mergeCell ref="B24:D24"/>
    <mergeCell ref="F24:I24"/>
    <mergeCell ref="B25:D25"/>
    <mergeCell ref="F25:I25"/>
    <mergeCell ref="B26:D26"/>
    <mergeCell ref="F26:I26"/>
    <mergeCell ref="B21:D21"/>
    <mergeCell ref="F21:I21"/>
    <mergeCell ref="B22:D22"/>
    <mergeCell ref="F22:I22"/>
    <mergeCell ref="B23:D23"/>
    <mergeCell ref="F23:I23"/>
    <mergeCell ref="B18:D18"/>
    <mergeCell ref="F18:I18"/>
    <mergeCell ref="B19:D19"/>
    <mergeCell ref="F19:I19"/>
    <mergeCell ref="B20:D20"/>
    <mergeCell ref="F20:I20"/>
    <mergeCell ref="A15:C15"/>
    <mergeCell ref="E15:F15"/>
    <mergeCell ref="H15:I15"/>
    <mergeCell ref="B16:D16"/>
    <mergeCell ref="F16:I16"/>
    <mergeCell ref="B17:D17"/>
    <mergeCell ref="F17:I17"/>
    <mergeCell ref="A2:I2"/>
    <mergeCell ref="A12:B12"/>
    <mergeCell ref="H12:I12"/>
    <mergeCell ref="A13:B13"/>
    <mergeCell ref="H13:I13"/>
    <mergeCell ref="A14:C14"/>
    <mergeCell ref="E14:F14"/>
    <mergeCell ref="H14:I14"/>
  </mergeCells>
  <phoneticPr fontId="1" type="noConversion"/>
  <conditionalFormatting sqref="A17:B28 E17:E28">
    <cfRule type="cellIs" dxfId="380" priority="5" operator="equal">
      <formula>0</formula>
    </cfRule>
  </conditionalFormatting>
  <conditionalFormatting sqref="A53:B64 E53:E64">
    <cfRule type="cellIs" dxfId="379" priority="4" operator="equal">
      <formula>0</formula>
    </cfRule>
  </conditionalFormatting>
  <conditionalFormatting sqref="A89:B100 E89:E100">
    <cfRule type="cellIs" dxfId="378" priority="3" operator="equal">
      <formula>0</formula>
    </cfRule>
  </conditionalFormatting>
  <conditionalFormatting sqref="A38:XFD73">
    <cfRule type="expression" dxfId="377" priority="2">
      <formula>$A$53=0</formula>
    </cfRule>
  </conditionalFormatting>
  <conditionalFormatting sqref="A74:XFD109">
    <cfRule type="expression" dxfId="376" priority="1">
      <formula>$A$89=0</formula>
    </cfRule>
  </conditionalFormatting>
  <dataValidations count="2">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3 E69 E105"/>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2 A68 A104"/>
  </dataValidations>
  <hyperlinks>
    <hyperlink ref="A10" r:id="rId1"/>
    <hyperlink ref="A46" r:id="rId2"/>
    <hyperlink ref="A82" r:id="rId3"/>
  </hyperlinks>
  <pageMargins left="0.19685039370078741" right="0" top="0.51181102362204722" bottom="0.74803149606299213" header="0.31496062992125984" footer="0.31496062992125984"/>
  <pageSetup paperSize="9" scale="99" orientation="portrait" horizontalDpi="4294967295" verticalDpi="4294967295" r:id="rId4"/>
  <rowBreaks count="1" manualBreakCount="1">
    <brk id="37"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M311"/>
  <sheetViews>
    <sheetView workbookViewId="0">
      <selection activeCell="C36" sqref="C36"/>
    </sheetView>
  </sheetViews>
  <sheetFormatPr defaultRowHeight="14.25"/>
  <cols>
    <col min="1" max="1" width="9" style="183"/>
    <col min="2" max="2" width="6.75" style="183" customWidth="1"/>
    <col min="3" max="3" width="5.25" style="183" customWidth="1"/>
    <col min="4" max="4" width="6.125" style="183" customWidth="1"/>
    <col min="5" max="5" width="6" style="183" customWidth="1"/>
    <col min="6" max="6" width="15.375" style="183" customWidth="1"/>
    <col min="7" max="7" width="4.75" style="183" customWidth="1"/>
    <col min="8" max="8" width="8.125" style="183" customWidth="1"/>
    <col min="9" max="10" width="6" style="183" customWidth="1"/>
    <col min="11" max="11" width="4.5" style="183" customWidth="1"/>
    <col min="12" max="12" width="5.875" style="183" customWidth="1"/>
    <col min="13" max="13" width="5.625" style="183" customWidth="1"/>
    <col min="14" max="14" width="4.625" style="183" customWidth="1"/>
    <col min="15" max="15" width="4.5" style="183" customWidth="1"/>
    <col min="16" max="17" width="4.625" style="183" customWidth="1"/>
    <col min="18" max="18" width="9" style="183"/>
    <col min="19" max="19" width="9" style="343"/>
    <col min="20" max="21" width="9" style="183"/>
    <col min="22" max="22" width="4.375" style="183" customWidth="1"/>
    <col min="23" max="23" width="4" style="183" customWidth="1"/>
    <col min="24" max="24" width="3.875" style="183" customWidth="1"/>
    <col min="25" max="25" width="5.125" style="183" customWidth="1"/>
    <col min="26" max="26" width="7" style="183" customWidth="1"/>
    <col min="27" max="27" width="15.625" style="183" customWidth="1"/>
    <col min="28" max="16384" width="9" style="183"/>
  </cols>
  <sheetData>
    <row r="1" spans="1:80" s="28" customFormat="1" ht="18" customHeight="1">
      <c r="A1" s="226" t="s">
        <v>593</v>
      </c>
      <c r="B1" s="226" t="s">
        <v>367</v>
      </c>
      <c r="C1" s="226" t="s">
        <v>594</v>
      </c>
      <c r="D1" s="341" t="s">
        <v>366</v>
      </c>
      <c r="E1" s="435" t="s">
        <v>595</v>
      </c>
      <c r="F1" s="226" t="s">
        <v>596</v>
      </c>
      <c r="G1" s="226" t="s">
        <v>597</v>
      </c>
      <c r="H1" s="226" t="s">
        <v>598</v>
      </c>
      <c r="I1" s="226" t="s">
        <v>599</v>
      </c>
      <c r="J1" s="226" t="s">
        <v>600</v>
      </c>
      <c r="K1" s="226" t="s">
        <v>601</v>
      </c>
      <c r="L1" s="226" t="s">
        <v>602</v>
      </c>
      <c r="M1" s="226" t="s">
        <v>603</v>
      </c>
      <c r="N1" s="226" t="s">
        <v>604</v>
      </c>
      <c r="O1" s="226" t="s">
        <v>605</v>
      </c>
      <c r="P1" s="226" t="s">
        <v>365</v>
      </c>
      <c r="Q1" s="226" t="s">
        <v>606</v>
      </c>
      <c r="R1" s="226" t="s">
        <v>364</v>
      </c>
      <c r="S1" s="343" t="s">
        <v>607</v>
      </c>
      <c r="T1" s="236" t="s">
        <v>363</v>
      </c>
      <c r="U1" s="237" t="s">
        <v>332</v>
      </c>
      <c r="V1" s="238" t="s">
        <v>360</v>
      </c>
      <c r="W1" s="238" t="s">
        <v>362</v>
      </c>
      <c r="X1" s="239" t="s">
        <v>361</v>
      </c>
      <c r="Y1" s="436" t="s">
        <v>359</v>
      </c>
      <c r="Z1" s="436" t="s">
        <v>358</v>
      </c>
      <c r="AA1" s="436" t="s">
        <v>107</v>
      </c>
      <c r="AB1" s="436" t="s">
        <v>357</v>
      </c>
      <c r="AC1" s="226" t="s">
        <v>356</v>
      </c>
      <c r="AD1" s="240" t="s">
        <v>355</v>
      </c>
      <c r="AE1" s="241" t="s">
        <v>354</v>
      </c>
      <c r="AF1" s="226" t="s">
        <v>330</v>
      </c>
      <c r="AG1" s="226" t="s">
        <v>323</v>
      </c>
      <c r="AH1" s="242" t="s">
        <v>353</v>
      </c>
      <c r="AI1" s="226" t="s">
        <v>352</v>
      </c>
      <c r="AJ1" s="226" t="s">
        <v>351</v>
      </c>
      <c r="AK1" s="226" t="s">
        <v>350</v>
      </c>
      <c r="AL1" s="226" t="s">
        <v>349</v>
      </c>
      <c r="AM1" s="226" t="s">
        <v>608</v>
      </c>
      <c r="AN1" s="226" t="s">
        <v>609</v>
      </c>
      <c r="AO1" s="226" t="s">
        <v>348</v>
      </c>
      <c r="AP1" s="242" t="s">
        <v>610</v>
      </c>
      <c r="AQ1" s="226" t="s">
        <v>347</v>
      </c>
      <c r="AR1" s="226" t="s">
        <v>511</v>
      </c>
      <c r="AS1" s="226" t="s">
        <v>346</v>
      </c>
      <c r="AT1" s="226" t="s">
        <v>345</v>
      </c>
      <c r="AU1" s="226" t="s">
        <v>344</v>
      </c>
      <c r="AV1" s="226" t="s">
        <v>343</v>
      </c>
      <c r="AW1" s="226" t="s">
        <v>342</v>
      </c>
      <c r="AX1" s="226" t="s">
        <v>341</v>
      </c>
      <c r="AY1" s="226" t="s">
        <v>340</v>
      </c>
      <c r="AZ1" s="236" t="s">
        <v>339</v>
      </c>
      <c r="BA1" s="236" t="s">
        <v>338</v>
      </c>
      <c r="BB1" s="236" t="s">
        <v>337</v>
      </c>
      <c r="BC1" s="243" t="s">
        <v>336</v>
      </c>
      <c r="BD1" s="236" t="s">
        <v>335</v>
      </c>
      <c r="BE1" s="244" t="s">
        <v>334</v>
      </c>
      <c r="BF1" s="236" t="s">
        <v>611</v>
      </c>
      <c r="BG1" s="236" t="s">
        <v>333</v>
      </c>
      <c r="BH1" s="236" t="s">
        <v>612</v>
      </c>
      <c r="BI1" s="236" t="s">
        <v>613</v>
      </c>
      <c r="BJ1" s="236" t="s">
        <v>614</v>
      </c>
      <c r="BK1" s="236" t="s">
        <v>615</v>
      </c>
      <c r="BL1" s="236" t="s">
        <v>616</v>
      </c>
      <c r="BM1" s="236" t="s">
        <v>617</v>
      </c>
      <c r="BN1" s="236" t="s">
        <v>618</v>
      </c>
      <c r="BO1" s="236" t="s">
        <v>619</v>
      </c>
      <c r="BP1" s="236" t="s">
        <v>620</v>
      </c>
      <c r="BQ1" s="236" t="s">
        <v>621</v>
      </c>
      <c r="BR1" s="28" t="s">
        <v>622</v>
      </c>
      <c r="BS1" s="28" t="s">
        <v>623</v>
      </c>
      <c r="BT1" s="28" t="s">
        <v>624</v>
      </c>
      <c r="BU1" s="28" t="s">
        <v>625</v>
      </c>
      <c r="BV1" s="28" t="s">
        <v>626</v>
      </c>
      <c r="BW1" s="236" t="s">
        <v>627</v>
      </c>
      <c r="BX1" s="236" t="s">
        <v>628</v>
      </c>
      <c r="BY1" s="236" t="s">
        <v>629</v>
      </c>
      <c r="BZ1" s="236" t="s">
        <v>630</v>
      </c>
      <c r="CA1" s="342" t="s">
        <v>631</v>
      </c>
      <c r="CB1" s="237" t="s">
        <v>332</v>
      </c>
    </row>
    <row r="2" spans="1:80" s="28" customFormat="1" ht="16.5">
      <c r="A2" s="451">
        <v>1636</v>
      </c>
      <c r="B2" s="28" t="s">
        <v>1813</v>
      </c>
      <c r="C2" s="28" t="s">
        <v>1212</v>
      </c>
      <c r="D2" s="28" t="s">
        <v>1814</v>
      </c>
      <c r="E2" s="28" t="s">
        <v>2133</v>
      </c>
      <c r="F2" s="468" t="s">
        <v>2134</v>
      </c>
      <c r="G2" s="28" t="s">
        <v>1195</v>
      </c>
      <c r="H2" s="28" t="s">
        <v>1815</v>
      </c>
      <c r="I2" s="28" t="s">
        <v>1816</v>
      </c>
      <c r="J2" s="466">
        <v>5</v>
      </c>
      <c r="K2" s="466">
        <v>5</v>
      </c>
      <c r="L2" s="466">
        <v>1</v>
      </c>
      <c r="M2" s="466">
        <v>5</v>
      </c>
      <c r="N2" s="452" t="s">
        <v>115</v>
      </c>
      <c r="O2" s="28" t="s">
        <v>115</v>
      </c>
      <c r="P2" s="28" t="s">
        <v>1457</v>
      </c>
      <c r="Q2" s="28" t="s">
        <v>1198</v>
      </c>
      <c r="R2" s="28" t="s">
        <v>1196</v>
      </c>
      <c r="S2" s="467" t="s">
        <v>1817</v>
      </c>
      <c r="T2" s="466">
        <v>140</v>
      </c>
      <c r="U2" s="466">
        <v>28</v>
      </c>
      <c r="V2" s="466"/>
      <c r="W2" s="466"/>
      <c r="X2" s="466"/>
      <c r="Y2" s="466">
        <v>10</v>
      </c>
      <c r="Z2" s="466">
        <v>1</v>
      </c>
      <c r="AA2" s="466" t="s">
        <v>1818</v>
      </c>
      <c r="AB2" s="467" t="s">
        <v>1817</v>
      </c>
      <c r="AC2" s="28" t="s">
        <v>1819</v>
      </c>
      <c r="AD2" s="28" t="s">
        <v>1495</v>
      </c>
      <c r="AE2" s="28" t="s">
        <v>1495</v>
      </c>
      <c r="AF2" s="28" t="s">
        <v>1820</v>
      </c>
      <c r="AG2" s="28" t="s">
        <v>1821</v>
      </c>
      <c r="AH2" s="28" t="s">
        <v>1822</v>
      </c>
      <c r="AI2" s="28" t="s">
        <v>1208</v>
      </c>
      <c r="AJ2" s="28" t="s">
        <v>1197</v>
      </c>
      <c r="AK2" s="28" t="s">
        <v>1198</v>
      </c>
      <c r="AL2" s="28" t="s">
        <v>1198</v>
      </c>
      <c r="AM2" s="28" t="s">
        <v>1485</v>
      </c>
      <c r="AN2" s="28" t="s">
        <v>1486</v>
      </c>
      <c r="AO2" s="28" t="s">
        <v>1476</v>
      </c>
      <c r="AP2" s="28" t="s">
        <v>1199</v>
      </c>
      <c r="AQ2" s="28" t="s">
        <v>1198</v>
      </c>
      <c r="AR2" s="28" t="s">
        <v>1200</v>
      </c>
      <c r="AS2" s="28" t="s">
        <v>1823</v>
      </c>
      <c r="AT2" s="28" t="s">
        <v>1198</v>
      </c>
      <c r="AU2" s="28" t="s">
        <v>1211</v>
      </c>
      <c r="AV2" s="28" t="s">
        <v>1213</v>
      </c>
      <c r="AW2" s="163" t="s">
        <v>1536</v>
      </c>
      <c r="AX2" s="28" t="s">
        <v>1824</v>
      </c>
      <c r="AY2" s="28" t="s">
        <v>1825</v>
      </c>
      <c r="AZ2" s="28" t="s">
        <v>1464</v>
      </c>
      <c r="BA2" s="28" t="s">
        <v>1196</v>
      </c>
      <c r="BB2" s="28" t="s">
        <v>1452</v>
      </c>
      <c r="BC2" s="28" t="s">
        <v>1201</v>
      </c>
      <c r="BD2" s="28" t="s">
        <v>1202</v>
      </c>
      <c r="BE2" s="28" t="s">
        <v>1826</v>
      </c>
      <c r="BF2" s="28" t="s">
        <v>1198</v>
      </c>
      <c r="BG2" s="28" t="s">
        <v>1198</v>
      </c>
      <c r="BH2" s="28" t="s">
        <v>1198</v>
      </c>
      <c r="BI2" s="28" t="s">
        <v>1198</v>
      </c>
      <c r="BJ2" s="28" t="s">
        <v>1827</v>
      </c>
      <c r="BK2" s="28" t="s">
        <v>1198</v>
      </c>
      <c r="BL2" s="28" t="s">
        <v>1202</v>
      </c>
      <c r="BM2" s="28" t="s">
        <v>1828</v>
      </c>
      <c r="BN2" s="28" t="s">
        <v>1829</v>
      </c>
      <c r="BO2" s="28" t="s">
        <v>1452</v>
      </c>
      <c r="BP2" s="28" t="s">
        <v>1452</v>
      </c>
      <c r="BQ2" s="28" t="s">
        <v>1830</v>
      </c>
      <c r="BR2" s="28" t="s">
        <v>1473</v>
      </c>
      <c r="BS2" s="28" t="s">
        <v>1473</v>
      </c>
      <c r="BT2" s="28" t="s">
        <v>1205</v>
      </c>
      <c r="BU2" s="28" t="s">
        <v>1203</v>
      </c>
      <c r="BV2" s="28" t="s">
        <v>1204</v>
      </c>
      <c r="BW2" t="s">
        <v>1831</v>
      </c>
      <c r="BX2" t="s">
        <v>1832</v>
      </c>
      <c r="BY2" s="28" t="s">
        <v>1833</v>
      </c>
      <c r="BZ2" s="28" t="s">
        <v>1834</v>
      </c>
    </row>
    <row r="3" spans="1:80" s="28" customFormat="1" ht="16.5">
      <c r="A3" s="451">
        <v>1636</v>
      </c>
      <c r="B3" s="28" t="s">
        <v>1813</v>
      </c>
      <c r="C3" s="28" t="s">
        <v>1212</v>
      </c>
      <c r="D3" s="28" t="s">
        <v>1814</v>
      </c>
      <c r="F3" s="468" t="s">
        <v>2134</v>
      </c>
      <c r="G3" s="28" t="s">
        <v>1195</v>
      </c>
      <c r="H3" s="28" t="s">
        <v>1815</v>
      </c>
      <c r="I3" s="28" t="s">
        <v>1816</v>
      </c>
      <c r="J3" s="466">
        <v>5</v>
      </c>
      <c r="K3" s="466">
        <v>5</v>
      </c>
      <c r="L3" s="466">
        <v>1</v>
      </c>
      <c r="M3" s="466">
        <v>5</v>
      </c>
      <c r="N3" s="452" t="s">
        <v>115</v>
      </c>
      <c r="O3" s="28" t="s">
        <v>115</v>
      </c>
      <c r="P3" s="28" t="s">
        <v>1457</v>
      </c>
      <c r="Q3" s="28" t="s">
        <v>1198</v>
      </c>
      <c r="R3" s="28" t="s">
        <v>1196</v>
      </c>
      <c r="S3" s="467" t="s">
        <v>1817</v>
      </c>
      <c r="T3" s="466">
        <v>140</v>
      </c>
      <c r="U3" s="466">
        <v>28</v>
      </c>
      <c r="V3" s="466"/>
      <c r="W3" s="466"/>
      <c r="X3" s="466"/>
      <c r="Y3" s="466"/>
      <c r="Z3" s="466"/>
      <c r="AB3" s="466"/>
      <c r="AC3" s="28" t="s">
        <v>1819</v>
      </c>
      <c r="AD3" s="28" t="s">
        <v>1495</v>
      </c>
      <c r="AE3" s="28" t="s">
        <v>1495</v>
      </c>
      <c r="AF3" s="28" t="s">
        <v>1820</v>
      </c>
      <c r="AG3" s="28" t="s">
        <v>1821</v>
      </c>
      <c r="AH3" s="28" t="s">
        <v>1822</v>
      </c>
      <c r="AI3" s="28" t="s">
        <v>1208</v>
      </c>
      <c r="AJ3" s="28" t="s">
        <v>1197</v>
      </c>
      <c r="AK3" s="28" t="s">
        <v>1198</v>
      </c>
      <c r="AL3" s="28" t="s">
        <v>1198</v>
      </c>
      <c r="AM3" s="28" t="s">
        <v>1485</v>
      </c>
      <c r="AN3" s="28" t="s">
        <v>1486</v>
      </c>
      <c r="AO3" s="28" t="s">
        <v>1476</v>
      </c>
      <c r="AP3" s="28" t="s">
        <v>1199</v>
      </c>
      <c r="AQ3" s="28" t="s">
        <v>1198</v>
      </c>
      <c r="AR3" s="28" t="s">
        <v>1200</v>
      </c>
      <c r="AS3" s="28" t="s">
        <v>1823</v>
      </c>
      <c r="AT3" s="28" t="s">
        <v>1198</v>
      </c>
      <c r="AU3" s="28" t="s">
        <v>1211</v>
      </c>
      <c r="AV3" s="28" t="s">
        <v>1213</v>
      </c>
      <c r="AW3" s="163" t="s">
        <v>1536</v>
      </c>
      <c r="AX3" s="28" t="s">
        <v>1824</v>
      </c>
      <c r="AY3" s="28" t="s">
        <v>1835</v>
      </c>
      <c r="AZ3" s="28" t="s">
        <v>1464</v>
      </c>
      <c r="BA3" s="28" t="s">
        <v>1196</v>
      </c>
      <c r="BB3" s="28" t="s">
        <v>1452</v>
      </c>
      <c r="BC3" s="28" t="s">
        <v>1201</v>
      </c>
      <c r="BD3" s="28" t="s">
        <v>1202</v>
      </c>
      <c r="BE3" s="28" t="s">
        <v>1826</v>
      </c>
      <c r="BF3" s="28" t="s">
        <v>1198</v>
      </c>
      <c r="BG3" s="28" t="s">
        <v>1198</v>
      </c>
      <c r="BH3" s="28" t="s">
        <v>1198</v>
      </c>
      <c r="BI3" s="28" t="s">
        <v>1198</v>
      </c>
      <c r="BJ3" s="28" t="s">
        <v>1827</v>
      </c>
      <c r="BK3" s="28" t="s">
        <v>1198</v>
      </c>
      <c r="BL3" s="28" t="s">
        <v>1202</v>
      </c>
      <c r="BM3" s="28" t="s">
        <v>1828</v>
      </c>
      <c r="BN3" s="28" t="s">
        <v>1829</v>
      </c>
      <c r="BO3" s="28" t="s">
        <v>1452</v>
      </c>
      <c r="BP3" s="28" t="s">
        <v>1452</v>
      </c>
      <c r="BQ3" s="28" t="s">
        <v>1830</v>
      </c>
      <c r="BR3" s="28" t="s">
        <v>1473</v>
      </c>
      <c r="BS3" s="28" t="s">
        <v>1473</v>
      </c>
      <c r="BT3" s="28" t="s">
        <v>1205</v>
      </c>
      <c r="BU3" s="28" t="s">
        <v>1203</v>
      </c>
      <c r="BV3" s="28" t="s">
        <v>1204</v>
      </c>
      <c r="BW3" t="s">
        <v>1836</v>
      </c>
      <c r="BX3" t="s">
        <v>1837</v>
      </c>
      <c r="BY3" s="28" t="s">
        <v>1833</v>
      </c>
      <c r="BZ3" s="28" t="s">
        <v>1834</v>
      </c>
    </row>
    <row r="4" spans="1:80" s="28" customFormat="1" ht="16.5">
      <c r="A4" s="451">
        <v>1636</v>
      </c>
      <c r="B4" s="28" t="s">
        <v>1813</v>
      </c>
      <c r="C4" s="28" t="s">
        <v>1212</v>
      </c>
      <c r="D4" s="28" t="s">
        <v>1814</v>
      </c>
      <c r="F4" s="468" t="s">
        <v>2134</v>
      </c>
      <c r="G4" s="28" t="s">
        <v>1195</v>
      </c>
      <c r="H4" s="28" t="s">
        <v>1815</v>
      </c>
      <c r="I4" s="28" t="s">
        <v>1816</v>
      </c>
      <c r="J4" s="466">
        <v>5</v>
      </c>
      <c r="K4" s="466">
        <v>5</v>
      </c>
      <c r="L4" s="466">
        <v>1</v>
      </c>
      <c r="M4" s="466">
        <v>5</v>
      </c>
      <c r="N4" s="452" t="s">
        <v>115</v>
      </c>
      <c r="O4" s="28" t="s">
        <v>115</v>
      </c>
      <c r="P4" s="28" t="s">
        <v>1457</v>
      </c>
      <c r="Q4" s="28" t="s">
        <v>1198</v>
      </c>
      <c r="R4" s="28" t="s">
        <v>1196</v>
      </c>
      <c r="S4" s="467" t="s">
        <v>1817</v>
      </c>
      <c r="T4" s="466">
        <v>140</v>
      </c>
      <c r="U4" s="466">
        <v>28</v>
      </c>
      <c r="V4" s="466"/>
      <c r="W4" s="466"/>
      <c r="X4" s="466"/>
      <c r="Y4" s="466"/>
      <c r="Z4" s="466"/>
      <c r="AA4" s="466"/>
      <c r="AB4" s="466"/>
      <c r="AC4" s="28" t="s">
        <v>1819</v>
      </c>
      <c r="AD4" s="28" t="s">
        <v>1495</v>
      </c>
      <c r="AE4" s="28" t="s">
        <v>1495</v>
      </c>
      <c r="AF4" s="28" t="s">
        <v>1820</v>
      </c>
      <c r="AG4" s="28" t="s">
        <v>1821</v>
      </c>
      <c r="AH4" s="28" t="s">
        <v>1822</v>
      </c>
      <c r="AI4" s="28" t="s">
        <v>1208</v>
      </c>
      <c r="AJ4" s="28" t="s">
        <v>1197</v>
      </c>
      <c r="AK4" s="28" t="s">
        <v>1198</v>
      </c>
      <c r="AL4" s="28" t="s">
        <v>1198</v>
      </c>
      <c r="AM4" s="28" t="s">
        <v>1485</v>
      </c>
      <c r="AN4" s="28" t="s">
        <v>1486</v>
      </c>
      <c r="AO4" s="28" t="s">
        <v>1476</v>
      </c>
      <c r="AP4" s="28" t="s">
        <v>1199</v>
      </c>
      <c r="AQ4" s="28" t="s">
        <v>1198</v>
      </c>
      <c r="AR4" s="28" t="s">
        <v>1200</v>
      </c>
      <c r="AS4" s="28" t="s">
        <v>1823</v>
      </c>
      <c r="AT4" s="28" t="s">
        <v>1198</v>
      </c>
      <c r="AU4" s="28" t="s">
        <v>1211</v>
      </c>
      <c r="AV4" s="28" t="s">
        <v>1213</v>
      </c>
      <c r="AW4" s="163" t="s">
        <v>1536</v>
      </c>
      <c r="AX4" s="28" t="s">
        <v>1824</v>
      </c>
      <c r="AY4" s="28" t="s">
        <v>1838</v>
      </c>
      <c r="AZ4" s="28" t="s">
        <v>1464</v>
      </c>
      <c r="BA4" s="28" t="s">
        <v>1196</v>
      </c>
      <c r="BB4" s="28" t="s">
        <v>1452</v>
      </c>
      <c r="BC4" s="28" t="s">
        <v>1201</v>
      </c>
      <c r="BD4" s="28" t="s">
        <v>1202</v>
      </c>
      <c r="BE4" s="28" t="s">
        <v>1826</v>
      </c>
      <c r="BF4" s="28" t="s">
        <v>1198</v>
      </c>
      <c r="BG4" s="28" t="s">
        <v>1198</v>
      </c>
      <c r="BH4" s="28" t="s">
        <v>1198</v>
      </c>
      <c r="BI4" s="28" t="s">
        <v>1198</v>
      </c>
      <c r="BJ4" s="28" t="s">
        <v>1827</v>
      </c>
      <c r="BK4" s="28" t="s">
        <v>1198</v>
      </c>
      <c r="BL4" s="28" t="s">
        <v>1202</v>
      </c>
      <c r="BM4" s="28" t="s">
        <v>1828</v>
      </c>
      <c r="BN4" s="28" t="s">
        <v>1829</v>
      </c>
      <c r="BO4" s="28" t="s">
        <v>1452</v>
      </c>
      <c r="BP4" s="28" t="s">
        <v>1452</v>
      </c>
      <c r="BQ4" s="28" t="s">
        <v>1830</v>
      </c>
      <c r="BR4" s="28" t="s">
        <v>1473</v>
      </c>
      <c r="BS4" s="28" t="s">
        <v>1473</v>
      </c>
      <c r="BT4" s="28" t="s">
        <v>1205</v>
      </c>
      <c r="BU4" s="28" t="s">
        <v>1203</v>
      </c>
      <c r="BV4" s="28" t="s">
        <v>1204</v>
      </c>
      <c r="BW4" t="s">
        <v>1839</v>
      </c>
      <c r="BX4" t="s">
        <v>1840</v>
      </c>
      <c r="BY4" s="28" t="s">
        <v>1833</v>
      </c>
      <c r="BZ4" s="28" t="s">
        <v>1834</v>
      </c>
    </row>
    <row r="5" spans="1:80" s="28" customFormat="1" ht="16.5">
      <c r="A5" s="451">
        <v>1636</v>
      </c>
      <c r="B5" s="28" t="s">
        <v>1813</v>
      </c>
      <c r="C5" s="28" t="s">
        <v>1212</v>
      </c>
      <c r="D5" s="28" t="s">
        <v>1814</v>
      </c>
      <c r="F5" s="468" t="s">
        <v>2134</v>
      </c>
      <c r="G5" s="28" t="s">
        <v>1195</v>
      </c>
      <c r="H5" s="28" t="s">
        <v>1815</v>
      </c>
      <c r="I5" s="28" t="s">
        <v>1816</v>
      </c>
      <c r="J5" s="466">
        <v>5</v>
      </c>
      <c r="K5" s="466">
        <v>5</v>
      </c>
      <c r="L5" s="466">
        <v>1</v>
      </c>
      <c r="M5" s="466">
        <v>5</v>
      </c>
      <c r="N5" s="452" t="s">
        <v>115</v>
      </c>
      <c r="O5" s="28" t="s">
        <v>115</v>
      </c>
      <c r="P5" s="28" t="s">
        <v>1457</v>
      </c>
      <c r="Q5" s="28" t="s">
        <v>1198</v>
      </c>
      <c r="R5" s="28" t="s">
        <v>1196</v>
      </c>
      <c r="S5" s="467" t="s">
        <v>1817</v>
      </c>
      <c r="T5" s="466">
        <v>140</v>
      </c>
      <c r="U5" s="466">
        <v>28</v>
      </c>
      <c r="V5" s="466"/>
      <c r="W5" s="466"/>
      <c r="X5" s="466"/>
      <c r="Y5" s="466"/>
      <c r="Z5" s="466"/>
      <c r="AA5" s="466"/>
      <c r="AB5" s="466"/>
      <c r="AC5" s="28" t="s">
        <v>1819</v>
      </c>
      <c r="AD5" s="28" t="s">
        <v>1495</v>
      </c>
      <c r="AE5" s="28" t="s">
        <v>1495</v>
      </c>
      <c r="AF5" s="28" t="s">
        <v>1820</v>
      </c>
      <c r="AG5" s="28" t="s">
        <v>1821</v>
      </c>
      <c r="AH5" s="28" t="s">
        <v>1822</v>
      </c>
      <c r="AI5" s="28" t="s">
        <v>1208</v>
      </c>
      <c r="AJ5" s="28" t="s">
        <v>1197</v>
      </c>
      <c r="AK5" s="28" t="s">
        <v>1198</v>
      </c>
      <c r="AL5" s="28" t="s">
        <v>1198</v>
      </c>
      <c r="AM5" s="28" t="s">
        <v>1485</v>
      </c>
      <c r="AN5" s="28" t="s">
        <v>1486</v>
      </c>
      <c r="AO5" s="28" t="s">
        <v>1476</v>
      </c>
      <c r="AP5" s="28" t="s">
        <v>1199</v>
      </c>
      <c r="AQ5" s="28" t="s">
        <v>1198</v>
      </c>
      <c r="AR5" s="28" t="s">
        <v>1200</v>
      </c>
      <c r="AS5" s="28" t="s">
        <v>1823</v>
      </c>
      <c r="AT5" s="28" t="s">
        <v>1198</v>
      </c>
      <c r="AU5" s="28" t="s">
        <v>1211</v>
      </c>
      <c r="AV5" s="28" t="s">
        <v>1213</v>
      </c>
      <c r="AW5" s="163" t="s">
        <v>1536</v>
      </c>
      <c r="AX5" s="28" t="s">
        <v>1824</v>
      </c>
      <c r="AY5" s="28" t="s">
        <v>1841</v>
      </c>
      <c r="AZ5" s="28" t="s">
        <v>1464</v>
      </c>
      <c r="BA5" s="28" t="s">
        <v>1196</v>
      </c>
      <c r="BB5" s="28" t="s">
        <v>1452</v>
      </c>
      <c r="BC5" s="28" t="s">
        <v>1201</v>
      </c>
      <c r="BD5" s="28" t="s">
        <v>1202</v>
      </c>
      <c r="BE5" s="28" t="s">
        <v>1826</v>
      </c>
      <c r="BF5" s="28" t="s">
        <v>1198</v>
      </c>
      <c r="BG5" s="28" t="s">
        <v>1198</v>
      </c>
      <c r="BH5" s="28" t="s">
        <v>1198</v>
      </c>
      <c r="BI5" s="28" t="s">
        <v>1198</v>
      </c>
      <c r="BJ5" s="28" t="s">
        <v>1827</v>
      </c>
      <c r="BK5" s="28" t="s">
        <v>1198</v>
      </c>
      <c r="BL5" s="28" t="s">
        <v>1202</v>
      </c>
      <c r="BM5" s="28" t="s">
        <v>1828</v>
      </c>
      <c r="BN5" s="28" t="s">
        <v>1829</v>
      </c>
      <c r="BO5" s="28" t="s">
        <v>1452</v>
      </c>
      <c r="BP5" s="28" t="s">
        <v>1452</v>
      </c>
      <c r="BQ5" s="28" t="s">
        <v>1830</v>
      </c>
      <c r="BR5" s="28" t="s">
        <v>1473</v>
      </c>
      <c r="BS5" s="28" t="s">
        <v>1473</v>
      </c>
      <c r="BT5" s="28" t="s">
        <v>1205</v>
      </c>
      <c r="BU5" s="28" t="s">
        <v>1203</v>
      </c>
      <c r="BV5" s="28" t="s">
        <v>1204</v>
      </c>
      <c r="BW5" t="s">
        <v>1842</v>
      </c>
      <c r="BX5" t="s">
        <v>1843</v>
      </c>
      <c r="BY5" s="28" t="s">
        <v>1833</v>
      </c>
      <c r="BZ5" s="28" t="s">
        <v>1834</v>
      </c>
    </row>
    <row r="6" spans="1:80" s="28" customFormat="1" ht="16.5">
      <c r="A6" s="451">
        <v>1636</v>
      </c>
      <c r="B6" s="28" t="s">
        <v>1813</v>
      </c>
      <c r="C6" s="28" t="s">
        <v>1212</v>
      </c>
      <c r="D6" s="28" t="s">
        <v>1814</v>
      </c>
      <c r="F6" s="468" t="s">
        <v>2134</v>
      </c>
      <c r="G6" s="28" t="s">
        <v>1195</v>
      </c>
      <c r="H6" s="28" t="s">
        <v>1815</v>
      </c>
      <c r="I6" s="28" t="s">
        <v>1816</v>
      </c>
      <c r="J6" s="466">
        <v>5</v>
      </c>
      <c r="K6" s="466">
        <v>5</v>
      </c>
      <c r="L6" s="466">
        <v>1</v>
      </c>
      <c r="M6" s="466">
        <v>5</v>
      </c>
      <c r="N6" s="452" t="s">
        <v>115</v>
      </c>
      <c r="O6" s="28" t="s">
        <v>115</v>
      </c>
      <c r="P6" s="28" t="s">
        <v>1457</v>
      </c>
      <c r="Q6" s="28" t="s">
        <v>1198</v>
      </c>
      <c r="R6" s="28" t="s">
        <v>1196</v>
      </c>
      <c r="S6" s="467" t="s">
        <v>1817</v>
      </c>
      <c r="T6" s="466">
        <v>140</v>
      </c>
      <c r="U6" s="466">
        <v>28</v>
      </c>
      <c r="V6" s="466"/>
      <c r="W6" s="466"/>
      <c r="X6" s="466"/>
      <c r="Y6" s="466"/>
      <c r="Z6" s="466"/>
      <c r="AA6" s="466"/>
      <c r="AB6" s="466"/>
      <c r="AC6" s="28" t="s">
        <v>1819</v>
      </c>
      <c r="AD6" s="28" t="s">
        <v>1495</v>
      </c>
      <c r="AE6" s="28" t="s">
        <v>1495</v>
      </c>
      <c r="AF6" s="28" t="s">
        <v>1820</v>
      </c>
      <c r="AG6" s="28" t="s">
        <v>1821</v>
      </c>
      <c r="AH6" s="28" t="s">
        <v>1822</v>
      </c>
      <c r="AI6" s="28" t="s">
        <v>1208</v>
      </c>
      <c r="AJ6" s="28" t="s">
        <v>1197</v>
      </c>
      <c r="AK6" s="28" t="s">
        <v>1198</v>
      </c>
      <c r="AL6" s="28" t="s">
        <v>1198</v>
      </c>
      <c r="AM6" s="28" t="s">
        <v>1485</v>
      </c>
      <c r="AN6" s="28" t="s">
        <v>1486</v>
      </c>
      <c r="AO6" s="28" t="s">
        <v>1476</v>
      </c>
      <c r="AP6" s="28" t="s">
        <v>1199</v>
      </c>
      <c r="AQ6" s="28" t="s">
        <v>1198</v>
      </c>
      <c r="AR6" s="28" t="s">
        <v>1200</v>
      </c>
      <c r="AS6" s="28" t="s">
        <v>1823</v>
      </c>
      <c r="AT6" s="28" t="s">
        <v>1198</v>
      </c>
      <c r="AU6" s="28" t="s">
        <v>1211</v>
      </c>
      <c r="AV6" s="28" t="s">
        <v>1213</v>
      </c>
      <c r="AW6" s="163" t="s">
        <v>1536</v>
      </c>
      <c r="AX6" s="28" t="s">
        <v>1824</v>
      </c>
      <c r="AY6" s="28" t="s">
        <v>1844</v>
      </c>
      <c r="AZ6" s="28" t="s">
        <v>1464</v>
      </c>
      <c r="BA6" s="28" t="s">
        <v>1196</v>
      </c>
      <c r="BB6" s="28" t="s">
        <v>1452</v>
      </c>
      <c r="BC6" s="28" t="s">
        <v>1201</v>
      </c>
      <c r="BD6" s="28" t="s">
        <v>1202</v>
      </c>
      <c r="BE6" s="28" t="s">
        <v>1826</v>
      </c>
      <c r="BF6" s="28" t="s">
        <v>1198</v>
      </c>
      <c r="BG6" s="28" t="s">
        <v>1198</v>
      </c>
      <c r="BH6" s="28" t="s">
        <v>1198</v>
      </c>
      <c r="BI6" s="28" t="s">
        <v>1198</v>
      </c>
      <c r="BJ6" s="28" t="s">
        <v>1827</v>
      </c>
      <c r="BK6" s="28" t="s">
        <v>1198</v>
      </c>
      <c r="BL6" s="28" t="s">
        <v>1202</v>
      </c>
      <c r="BM6" s="28" t="s">
        <v>1828</v>
      </c>
      <c r="BN6" s="28" t="s">
        <v>1829</v>
      </c>
      <c r="BO6" s="28" t="s">
        <v>1452</v>
      </c>
      <c r="BP6" s="28" t="s">
        <v>1452</v>
      </c>
      <c r="BQ6" s="28" t="s">
        <v>1830</v>
      </c>
      <c r="BR6" s="28" t="s">
        <v>1473</v>
      </c>
      <c r="BS6" s="28" t="s">
        <v>1473</v>
      </c>
      <c r="BT6" s="28" t="s">
        <v>1205</v>
      </c>
      <c r="BU6" s="28" t="s">
        <v>1203</v>
      </c>
      <c r="BV6" s="28" t="s">
        <v>1204</v>
      </c>
      <c r="BW6" t="s">
        <v>1845</v>
      </c>
      <c r="BX6" t="s">
        <v>1846</v>
      </c>
      <c r="BY6" s="28" t="s">
        <v>1833</v>
      </c>
      <c r="BZ6" s="28" t="s">
        <v>1834</v>
      </c>
    </row>
    <row r="7" spans="1:80" s="28" customFormat="1" ht="16.5">
      <c r="A7" s="451">
        <v>1636</v>
      </c>
      <c r="B7" s="28" t="s">
        <v>1813</v>
      </c>
      <c r="C7" s="28" t="s">
        <v>1212</v>
      </c>
      <c r="D7" s="28" t="s">
        <v>1814</v>
      </c>
      <c r="F7" s="468" t="s">
        <v>2134</v>
      </c>
      <c r="G7" s="28" t="s">
        <v>1195</v>
      </c>
      <c r="H7" s="28" t="s">
        <v>1847</v>
      </c>
      <c r="I7" s="28" t="s">
        <v>1848</v>
      </c>
      <c r="J7" s="466">
        <v>100</v>
      </c>
      <c r="K7" s="466">
        <v>1</v>
      </c>
      <c r="L7" s="466">
        <v>1</v>
      </c>
      <c r="M7" s="466">
        <v>100</v>
      </c>
      <c r="N7" s="452" t="s">
        <v>115</v>
      </c>
      <c r="O7" s="28" t="s">
        <v>115</v>
      </c>
      <c r="P7" s="28" t="s">
        <v>1457</v>
      </c>
      <c r="Q7" s="28" t="s">
        <v>1198</v>
      </c>
      <c r="R7" s="28" t="s">
        <v>1196</v>
      </c>
      <c r="S7" s="467" t="s">
        <v>1817</v>
      </c>
      <c r="T7" s="466">
        <v>93.8</v>
      </c>
      <c r="U7" s="466">
        <v>93.8</v>
      </c>
      <c r="V7" s="466"/>
      <c r="W7" s="466"/>
      <c r="X7" s="466"/>
      <c r="Y7" s="466"/>
      <c r="Z7" s="466"/>
      <c r="AA7" s="466"/>
      <c r="AB7" s="466"/>
      <c r="AC7" s="28" t="s">
        <v>1819</v>
      </c>
      <c r="AD7" s="28" t="s">
        <v>1495</v>
      </c>
      <c r="AE7" s="28" t="s">
        <v>1495</v>
      </c>
      <c r="AF7" s="28" t="s">
        <v>1849</v>
      </c>
      <c r="AG7" s="28" t="s">
        <v>1850</v>
      </c>
      <c r="AH7" s="28" t="s">
        <v>1851</v>
      </c>
      <c r="AI7" s="28" t="s">
        <v>1208</v>
      </c>
      <c r="AJ7" s="28" t="s">
        <v>1197</v>
      </c>
      <c r="AK7" s="28" t="s">
        <v>1198</v>
      </c>
      <c r="AL7" s="28" t="s">
        <v>1198</v>
      </c>
      <c r="AM7" s="28" t="s">
        <v>1450</v>
      </c>
      <c r="AN7" s="28" t="s">
        <v>1216</v>
      </c>
      <c r="AO7" s="28" t="s">
        <v>1476</v>
      </c>
      <c r="AP7" s="28" t="s">
        <v>1199</v>
      </c>
      <c r="AQ7" s="28" t="s">
        <v>1198</v>
      </c>
      <c r="AR7" s="28" t="s">
        <v>1200</v>
      </c>
      <c r="AS7" s="28" t="s">
        <v>1852</v>
      </c>
      <c r="AT7" s="28" t="s">
        <v>1198</v>
      </c>
      <c r="AU7" s="28" t="s">
        <v>1211</v>
      </c>
      <c r="AV7" s="28" t="s">
        <v>1213</v>
      </c>
      <c r="AW7" s="163" t="s">
        <v>1472</v>
      </c>
      <c r="AX7" s="28" t="s">
        <v>1824</v>
      </c>
      <c r="AY7" s="28" t="s">
        <v>1853</v>
      </c>
      <c r="AZ7" s="28" t="s">
        <v>1464</v>
      </c>
      <c r="BA7" s="28" t="s">
        <v>1196</v>
      </c>
      <c r="BB7" s="28" t="s">
        <v>1217</v>
      </c>
      <c r="BC7" s="28" t="s">
        <v>1201</v>
      </c>
      <c r="BD7" s="28" t="s">
        <v>1202</v>
      </c>
      <c r="BE7" s="28" t="s">
        <v>1517</v>
      </c>
      <c r="BF7" s="28" t="s">
        <v>1198</v>
      </c>
      <c r="BG7" s="28" t="s">
        <v>1198</v>
      </c>
      <c r="BH7" s="28" t="s">
        <v>1198</v>
      </c>
      <c r="BI7" s="28" t="s">
        <v>1198</v>
      </c>
      <c r="BJ7" s="28" t="s">
        <v>1854</v>
      </c>
      <c r="BK7" s="28" t="s">
        <v>1198</v>
      </c>
      <c r="BL7" s="28" t="s">
        <v>1202</v>
      </c>
      <c r="BM7" s="28" t="s">
        <v>1489</v>
      </c>
      <c r="BN7" s="28" t="s">
        <v>1855</v>
      </c>
      <c r="BO7" s="28" t="s">
        <v>1217</v>
      </c>
      <c r="BP7" s="28" t="s">
        <v>1217</v>
      </c>
      <c r="BQ7" s="28" t="s">
        <v>1856</v>
      </c>
      <c r="BR7" s="28" t="s">
        <v>1491</v>
      </c>
      <c r="BS7" s="28" t="s">
        <v>1473</v>
      </c>
      <c r="BT7" s="28" t="s">
        <v>1492</v>
      </c>
      <c r="BU7" s="28" t="s">
        <v>1203</v>
      </c>
      <c r="BV7" s="28" t="s">
        <v>1204</v>
      </c>
      <c r="BW7" t="s">
        <v>1857</v>
      </c>
      <c r="BX7" t="s">
        <v>1858</v>
      </c>
      <c r="BY7" s="28" t="s">
        <v>1859</v>
      </c>
      <c r="BZ7" s="28" t="s">
        <v>1860</v>
      </c>
    </row>
    <row r="8" spans="1:80" s="28" customFormat="1" ht="16.5">
      <c r="A8" s="451">
        <v>1636</v>
      </c>
      <c r="B8" s="28" t="s">
        <v>1813</v>
      </c>
      <c r="C8" s="28" t="s">
        <v>1212</v>
      </c>
      <c r="D8" s="28" t="s">
        <v>1814</v>
      </c>
      <c r="F8" s="468" t="s">
        <v>2134</v>
      </c>
      <c r="G8" s="28" t="s">
        <v>1195</v>
      </c>
      <c r="H8" s="28" t="s">
        <v>1861</v>
      </c>
      <c r="I8" s="28" t="s">
        <v>1862</v>
      </c>
      <c r="J8" s="466">
        <v>25</v>
      </c>
      <c r="K8" s="466">
        <v>1</v>
      </c>
      <c r="L8" s="466">
        <v>1</v>
      </c>
      <c r="M8" s="466">
        <v>25</v>
      </c>
      <c r="N8" s="452" t="s">
        <v>115</v>
      </c>
      <c r="O8" s="28" t="s">
        <v>115</v>
      </c>
      <c r="P8" s="28" t="s">
        <v>1457</v>
      </c>
      <c r="Q8" s="28" t="s">
        <v>1198</v>
      </c>
      <c r="R8" s="28" t="s">
        <v>1196</v>
      </c>
      <c r="S8" s="467" t="s">
        <v>1817</v>
      </c>
      <c r="T8" s="466">
        <v>49</v>
      </c>
      <c r="U8" s="466">
        <v>49</v>
      </c>
      <c r="V8" s="466"/>
      <c r="W8" s="466"/>
      <c r="X8" s="466"/>
      <c r="Y8" s="466"/>
      <c r="Z8" s="466"/>
      <c r="AA8" s="466"/>
      <c r="AB8" s="466"/>
      <c r="AC8" s="28" t="s">
        <v>1819</v>
      </c>
      <c r="AD8" s="28" t="s">
        <v>1495</v>
      </c>
      <c r="AE8" s="28" t="s">
        <v>1495</v>
      </c>
      <c r="AF8" s="28" t="s">
        <v>1863</v>
      </c>
      <c r="AG8" s="28" t="s">
        <v>1864</v>
      </c>
      <c r="AH8" s="28" t="s">
        <v>1865</v>
      </c>
      <c r="AI8" s="28" t="s">
        <v>1208</v>
      </c>
      <c r="AJ8" s="28" t="s">
        <v>1197</v>
      </c>
      <c r="AK8" s="28" t="s">
        <v>1198</v>
      </c>
      <c r="AL8" s="28" t="s">
        <v>1198</v>
      </c>
      <c r="AM8" s="28" t="s">
        <v>1503</v>
      </c>
      <c r="AN8" s="28" t="s">
        <v>1504</v>
      </c>
      <c r="AO8" s="28" t="s">
        <v>1455</v>
      </c>
      <c r="AP8" s="28" t="s">
        <v>1199</v>
      </c>
      <c r="AQ8" s="28" t="s">
        <v>1198</v>
      </c>
      <c r="AR8" s="28" t="s">
        <v>1200</v>
      </c>
      <c r="AS8" s="28" t="s">
        <v>1866</v>
      </c>
      <c r="AT8" s="28" t="s">
        <v>1198</v>
      </c>
      <c r="AU8" s="28" t="s">
        <v>1211</v>
      </c>
      <c r="AV8" s="28" t="s">
        <v>1213</v>
      </c>
      <c r="AW8" s="163" t="s">
        <v>1472</v>
      </c>
      <c r="AX8" s="28" t="s">
        <v>1824</v>
      </c>
      <c r="AY8" s="28" t="s">
        <v>1867</v>
      </c>
      <c r="AZ8" s="28" t="s">
        <v>1464</v>
      </c>
      <c r="BA8" s="28" t="s">
        <v>1196</v>
      </c>
      <c r="BB8" s="28" t="s">
        <v>1868</v>
      </c>
      <c r="BC8" s="28" t="s">
        <v>1201</v>
      </c>
      <c r="BD8" s="28" t="s">
        <v>1202</v>
      </c>
      <c r="BE8" s="28" t="s">
        <v>1869</v>
      </c>
      <c r="BF8" s="28" t="s">
        <v>1198</v>
      </c>
      <c r="BG8" s="28" t="s">
        <v>1198</v>
      </c>
      <c r="BH8" s="28" t="s">
        <v>1198</v>
      </c>
      <c r="BI8" s="28" t="s">
        <v>1198</v>
      </c>
      <c r="BJ8" s="28" t="s">
        <v>1870</v>
      </c>
      <c r="BK8" s="28" t="s">
        <v>1871</v>
      </c>
      <c r="BL8" s="28" t="s">
        <v>1202</v>
      </c>
      <c r="BM8" s="28" t="s">
        <v>1198</v>
      </c>
      <c r="BN8" s="28" t="s">
        <v>1872</v>
      </c>
      <c r="BO8" s="28" t="s">
        <v>1477</v>
      </c>
      <c r="BP8" s="28" t="s">
        <v>1477</v>
      </c>
      <c r="BQ8" s="28" t="s">
        <v>1873</v>
      </c>
      <c r="BR8" s="28" t="s">
        <v>1491</v>
      </c>
      <c r="BS8" s="28" t="s">
        <v>1465</v>
      </c>
      <c r="BT8" s="28" t="s">
        <v>1492</v>
      </c>
      <c r="BU8" s="28" t="s">
        <v>1203</v>
      </c>
      <c r="BV8" s="28" t="s">
        <v>1204</v>
      </c>
      <c r="BW8" t="s">
        <v>1874</v>
      </c>
      <c r="BX8" t="s">
        <v>1875</v>
      </c>
      <c r="BY8" s="28" t="s">
        <v>1876</v>
      </c>
      <c r="BZ8" s="28" t="s">
        <v>1877</v>
      </c>
    </row>
    <row r="9" spans="1:80" s="28" customFormat="1" ht="16.5">
      <c r="A9" s="451">
        <v>1633</v>
      </c>
      <c r="B9" s="28" t="s">
        <v>1813</v>
      </c>
      <c r="C9" s="28" t="s">
        <v>1212</v>
      </c>
      <c r="D9" s="28" t="s">
        <v>1814</v>
      </c>
      <c r="F9" s="468" t="s">
        <v>2134</v>
      </c>
      <c r="G9" s="28" t="s">
        <v>1195</v>
      </c>
      <c r="H9" s="28" t="s">
        <v>1878</v>
      </c>
      <c r="I9" s="28" t="s">
        <v>1879</v>
      </c>
      <c r="J9" s="466">
        <v>100</v>
      </c>
      <c r="K9" s="466">
        <v>1</v>
      </c>
      <c r="L9" s="466">
        <v>1</v>
      </c>
      <c r="M9" s="466">
        <v>100</v>
      </c>
      <c r="N9" s="452" t="s">
        <v>1426</v>
      </c>
      <c r="O9" s="28" t="s">
        <v>1506</v>
      </c>
      <c r="P9" s="28" t="s">
        <v>1507</v>
      </c>
      <c r="Q9" s="28" t="s">
        <v>1198</v>
      </c>
      <c r="R9" s="28" t="s">
        <v>1196</v>
      </c>
      <c r="S9" s="467" t="s">
        <v>1817</v>
      </c>
      <c r="T9" s="466">
        <v>86.8</v>
      </c>
      <c r="U9" s="466">
        <v>86.8</v>
      </c>
      <c r="V9" s="466"/>
      <c r="W9" s="466"/>
      <c r="X9" s="466"/>
      <c r="Y9" s="466"/>
      <c r="Z9" s="466"/>
      <c r="AA9" s="466"/>
      <c r="AB9" s="466"/>
      <c r="AC9" s="28" t="s">
        <v>1819</v>
      </c>
      <c r="AD9" s="28" t="s">
        <v>1495</v>
      </c>
      <c r="AE9" s="28" t="s">
        <v>1495</v>
      </c>
      <c r="AF9" s="28" t="s">
        <v>1880</v>
      </c>
      <c r="AG9" s="28" t="s">
        <v>1881</v>
      </c>
      <c r="AH9" s="28" t="s">
        <v>1882</v>
      </c>
      <c r="AI9" s="28" t="s">
        <v>1208</v>
      </c>
      <c r="AJ9" s="28" t="s">
        <v>1197</v>
      </c>
      <c r="AK9" s="28" t="s">
        <v>1198</v>
      </c>
      <c r="AL9" s="28" t="s">
        <v>1198</v>
      </c>
      <c r="AM9" s="28" t="s">
        <v>1215</v>
      </c>
      <c r="AN9" s="28" t="s">
        <v>1216</v>
      </c>
      <c r="AO9" s="28" t="s">
        <v>1226</v>
      </c>
      <c r="AP9" s="28" t="s">
        <v>1199</v>
      </c>
      <c r="AQ9" s="28" t="s">
        <v>1198</v>
      </c>
      <c r="AR9" s="28" t="s">
        <v>1200</v>
      </c>
      <c r="AS9" s="28" t="s">
        <v>1883</v>
      </c>
      <c r="AT9" s="28" t="s">
        <v>1198</v>
      </c>
      <c r="AU9" s="28" t="s">
        <v>1211</v>
      </c>
      <c r="AV9" s="28" t="s">
        <v>1213</v>
      </c>
      <c r="AW9" s="163" t="s">
        <v>1472</v>
      </c>
      <c r="AX9" s="28" t="s">
        <v>1824</v>
      </c>
      <c r="AY9" s="28" t="s">
        <v>1884</v>
      </c>
      <c r="AZ9" s="28" t="s">
        <v>1464</v>
      </c>
      <c r="BA9" s="28" t="s">
        <v>1196</v>
      </c>
      <c r="BB9" s="28" t="s">
        <v>1217</v>
      </c>
      <c r="BC9" s="28" t="s">
        <v>1201</v>
      </c>
      <c r="BD9" s="28" t="s">
        <v>1202</v>
      </c>
      <c r="BE9" s="28" t="s">
        <v>1885</v>
      </c>
      <c r="BF9" s="28" t="s">
        <v>1198</v>
      </c>
      <c r="BG9" s="28" t="s">
        <v>1198</v>
      </c>
      <c r="BH9" s="28" t="s">
        <v>1198</v>
      </c>
      <c r="BI9" s="28" t="s">
        <v>1198</v>
      </c>
      <c r="BJ9" s="28" t="s">
        <v>1886</v>
      </c>
      <c r="BK9" s="28" t="s">
        <v>1198</v>
      </c>
      <c r="BL9" s="28" t="s">
        <v>1202</v>
      </c>
      <c r="BM9" s="28" t="s">
        <v>1887</v>
      </c>
      <c r="BN9" s="28" t="s">
        <v>1888</v>
      </c>
      <c r="BO9" s="28" t="s">
        <v>1217</v>
      </c>
      <c r="BP9" s="28" t="s">
        <v>1217</v>
      </c>
      <c r="BQ9" s="28" t="s">
        <v>1889</v>
      </c>
      <c r="BR9" s="28" t="s">
        <v>1890</v>
      </c>
      <c r="BS9" s="28" t="s">
        <v>1890</v>
      </c>
      <c r="BT9" s="28" t="s">
        <v>1205</v>
      </c>
      <c r="BU9" s="28" t="s">
        <v>1203</v>
      </c>
      <c r="BV9" s="28" t="s">
        <v>1204</v>
      </c>
      <c r="BW9" t="s">
        <v>1891</v>
      </c>
      <c r="BX9" t="s">
        <v>1892</v>
      </c>
      <c r="BY9" s="28" t="s">
        <v>1893</v>
      </c>
      <c r="BZ9" s="28" t="s">
        <v>1894</v>
      </c>
    </row>
    <row r="10" spans="1:80" s="28" customFormat="1" ht="16.5">
      <c r="A10" s="451">
        <v>1633</v>
      </c>
      <c r="B10" s="28" t="s">
        <v>1813</v>
      </c>
      <c r="C10" s="28" t="s">
        <v>1212</v>
      </c>
      <c r="D10" s="28" t="s">
        <v>1814</v>
      </c>
      <c r="F10" s="468" t="s">
        <v>2134</v>
      </c>
      <c r="G10" s="28" t="s">
        <v>1195</v>
      </c>
      <c r="H10" s="28" t="s">
        <v>1895</v>
      </c>
      <c r="I10" s="28" t="s">
        <v>1896</v>
      </c>
      <c r="J10" s="466">
        <v>500</v>
      </c>
      <c r="K10" s="466">
        <v>1</v>
      </c>
      <c r="L10" s="466">
        <v>1</v>
      </c>
      <c r="M10" s="466">
        <v>500</v>
      </c>
      <c r="N10" s="452" t="s">
        <v>1426</v>
      </c>
      <c r="O10" s="28" t="s">
        <v>403</v>
      </c>
      <c r="P10" s="28" t="s">
        <v>1497</v>
      </c>
      <c r="Q10" s="28" t="s">
        <v>1198</v>
      </c>
      <c r="R10" s="28" t="s">
        <v>1196</v>
      </c>
      <c r="S10" s="467" t="s">
        <v>1817</v>
      </c>
      <c r="T10" s="466">
        <v>86.1</v>
      </c>
      <c r="U10" s="466">
        <v>86.1</v>
      </c>
      <c r="V10" s="466"/>
      <c r="W10" s="466"/>
      <c r="X10" s="466"/>
      <c r="Y10" s="466"/>
      <c r="Z10" s="466"/>
      <c r="AA10" s="466"/>
      <c r="AB10" s="466"/>
      <c r="AC10" s="28" t="s">
        <v>1819</v>
      </c>
      <c r="AD10" s="28" t="s">
        <v>1495</v>
      </c>
      <c r="AE10" s="28" t="s">
        <v>1495</v>
      </c>
      <c r="AF10" s="28" t="s">
        <v>1897</v>
      </c>
      <c r="AG10" s="28" t="s">
        <v>1898</v>
      </c>
      <c r="AH10" s="28" t="s">
        <v>1522</v>
      </c>
      <c r="AI10" s="28" t="s">
        <v>1208</v>
      </c>
      <c r="AJ10" s="28" t="s">
        <v>1197</v>
      </c>
      <c r="AK10" s="28" t="s">
        <v>1198</v>
      </c>
      <c r="AL10" s="28" t="s">
        <v>1198</v>
      </c>
      <c r="AM10" s="28" t="s">
        <v>1215</v>
      </c>
      <c r="AN10" s="28" t="s">
        <v>1216</v>
      </c>
      <c r="AO10" s="28" t="s">
        <v>1476</v>
      </c>
      <c r="AP10" s="28" t="s">
        <v>1199</v>
      </c>
      <c r="AQ10" s="28" t="s">
        <v>1198</v>
      </c>
      <c r="AR10" s="28" t="s">
        <v>1200</v>
      </c>
      <c r="AS10" s="28" t="s">
        <v>1899</v>
      </c>
      <c r="AT10" s="28" t="s">
        <v>1198</v>
      </c>
      <c r="AU10" s="28" t="s">
        <v>1211</v>
      </c>
      <c r="AV10" s="28" t="s">
        <v>1213</v>
      </c>
      <c r="AW10" s="163" t="s">
        <v>1472</v>
      </c>
      <c r="AX10" s="28" t="s">
        <v>1824</v>
      </c>
      <c r="AY10" s="28" t="s">
        <v>1900</v>
      </c>
      <c r="AZ10" s="28" t="s">
        <v>1464</v>
      </c>
      <c r="BA10" s="28" t="s">
        <v>1196</v>
      </c>
      <c r="BB10" s="28" t="s">
        <v>1452</v>
      </c>
      <c r="BC10" s="28" t="s">
        <v>1201</v>
      </c>
      <c r="BD10" s="28" t="s">
        <v>1202</v>
      </c>
      <c r="BE10" s="28" t="s">
        <v>1901</v>
      </c>
      <c r="BF10" s="28" t="s">
        <v>1198</v>
      </c>
      <c r="BG10" s="28" t="s">
        <v>1198</v>
      </c>
      <c r="BH10" s="28" t="s">
        <v>1198</v>
      </c>
      <c r="BI10" s="28" t="s">
        <v>1198</v>
      </c>
      <c r="BJ10" s="28" t="s">
        <v>1902</v>
      </c>
      <c r="BK10" s="28" t="s">
        <v>1903</v>
      </c>
      <c r="BL10" s="28" t="s">
        <v>1202</v>
      </c>
      <c r="BM10" s="28" t="s">
        <v>1904</v>
      </c>
      <c r="BN10" s="28" t="s">
        <v>1905</v>
      </c>
      <c r="BO10" s="28" t="s">
        <v>1452</v>
      </c>
      <c r="BP10" s="28" t="s">
        <v>1452</v>
      </c>
      <c r="BQ10" s="28" t="s">
        <v>1906</v>
      </c>
      <c r="BR10" s="28" t="s">
        <v>1532</v>
      </c>
      <c r="BS10" s="28" t="s">
        <v>1465</v>
      </c>
      <c r="BT10" s="28" t="s">
        <v>1533</v>
      </c>
      <c r="BU10" s="28" t="s">
        <v>1203</v>
      </c>
      <c r="BV10" s="28" t="s">
        <v>1204</v>
      </c>
      <c r="BW10" t="s">
        <v>1907</v>
      </c>
      <c r="BX10" t="s">
        <v>1908</v>
      </c>
      <c r="BY10" s="28" t="s">
        <v>1909</v>
      </c>
      <c r="BZ10" s="28" t="s">
        <v>1910</v>
      </c>
    </row>
    <row r="11" spans="1:80" s="28" customFormat="1" ht="16.5">
      <c r="A11" s="451">
        <v>1633</v>
      </c>
      <c r="B11" s="28" t="s">
        <v>1813</v>
      </c>
      <c r="C11" s="28" t="s">
        <v>1212</v>
      </c>
      <c r="D11" s="28" t="s">
        <v>1814</v>
      </c>
      <c r="F11" s="468" t="s">
        <v>2134</v>
      </c>
      <c r="G11" s="28" t="s">
        <v>1195</v>
      </c>
      <c r="H11" s="28" t="s">
        <v>1911</v>
      </c>
      <c r="I11" s="28" t="s">
        <v>1912</v>
      </c>
      <c r="J11" s="466">
        <v>100</v>
      </c>
      <c r="K11" s="466">
        <v>1</v>
      </c>
      <c r="L11" s="466">
        <v>100</v>
      </c>
      <c r="M11" s="466">
        <v>100</v>
      </c>
      <c r="N11" s="452" t="s">
        <v>1426</v>
      </c>
      <c r="O11" s="28" t="s">
        <v>1506</v>
      </c>
      <c r="P11" s="28" t="s">
        <v>1507</v>
      </c>
      <c r="Q11" s="28" t="s">
        <v>1198</v>
      </c>
      <c r="R11" s="28" t="s">
        <v>1196</v>
      </c>
      <c r="S11" s="467" t="s">
        <v>1817</v>
      </c>
      <c r="T11" s="466">
        <v>105.7</v>
      </c>
      <c r="U11" s="466">
        <v>105.7</v>
      </c>
      <c r="V11" s="466"/>
      <c r="W11" s="466"/>
      <c r="X11" s="466"/>
      <c r="Y11" s="466"/>
      <c r="Z11" s="466"/>
      <c r="AA11" s="466"/>
      <c r="AB11" s="466"/>
      <c r="AC11" s="28" t="s">
        <v>1819</v>
      </c>
      <c r="AD11" s="28" t="s">
        <v>1495</v>
      </c>
      <c r="AE11" s="28" t="s">
        <v>1495</v>
      </c>
      <c r="AF11" s="28" t="s">
        <v>1913</v>
      </c>
      <c r="AG11" s="28" t="s">
        <v>1914</v>
      </c>
      <c r="AH11" s="28" t="s">
        <v>1915</v>
      </c>
      <c r="AI11" s="28" t="s">
        <v>1208</v>
      </c>
      <c r="AJ11" s="28" t="s">
        <v>1197</v>
      </c>
      <c r="AK11" s="28" t="s">
        <v>1198</v>
      </c>
      <c r="AL11" s="28" t="s">
        <v>1198</v>
      </c>
      <c r="AM11" s="28" t="s">
        <v>1496</v>
      </c>
      <c r="AN11" s="28" t="s">
        <v>1486</v>
      </c>
      <c r="AO11" s="28" t="s">
        <v>1226</v>
      </c>
      <c r="AP11" s="28" t="s">
        <v>1199</v>
      </c>
      <c r="AQ11" s="28" t="s">
        <v>1198</v>
      </c>
      <c r="AR11" s="28" t="s">
        <v>1200</v>
      </c>
      <c r="AS11" s="28" t="s">
        <v>1916</v>
      </c>
      <c r="AT11" s="28" t="s">
        <v>1198</v>
      </c>
      <c r="AU11" s="28" t="s">
        <v>1211</v>
      </c>
      <c r="AV11" s="28" t="s">
        <v>1213</v>
      </c>
      <c r="AW11" s="163" t="s">
        <v>1472</v>
      </c>
      <c r="AX11" s="28" t="s">
        <v>1824</v>
      </c>
      <c r="AY11" s="28" t="s">
        <v>1917</v>
      </c>
      <c r="AZ11" s="28" t="s">
        <v>1464</v>
      </c>
      <c r="BA11" s="28" t="s">
        <v>1196</v>
      </c>
      <c r="BB11" s="28" t="s">
        <v>1217</v>
      </c>
      <c r="BC11" s="28" t="s">
        <v>1201</v>
      </c>
      <c r="BD11" s="28" t="s">
        <v>1202</v>
      </c>
      <c r="BE11" s="28" t="s">
        <v>1918</v>
      </c>
      <c r="BF11" s="28" t="s">
        <v>1198</v>
      </c>
      <c r="BG11" s="28" t="s">
        <v>1198</v>
      </c>
      <c r="BH11" s="28" t="s">
        <v>1198</v>
      </c>
      <c r="BI11" s="28" t="s">
        <v>1198</v>
      </c>
      <c r="BJ11" s="28" t="s">
        <v>1919</v>
      </c>
      <c r="BK11" s="28" t="s">
        <v>1198</v>
      </c>
      <c r="BL11" s="28" t="s">
        <v>1202</v>
      </c>
      <c r="BM11" s="28" t="s">
        <v>1920</v>
      </c>
      <c r="BN11" s="28" t="s">
        <v>1921</v>
      </c>
      <c r="BO11" s="28" t="s">
        <v>1217</v>
      </c>
      <c r="BP11" s="28" t="s">
        <v>1217</v>
      </c>
      <c r="BQ11" s="28" t="s">
        <v>1922</v>
      </c>
      <c r="BR11" s="28" t="s">
        <v>1465</v>
      </c>
      <c r="BS11" s="28" t="s">
        <v>1198</v>
      </c>
      <c r="BT11" s="28" t="s">
        <v>1205</v>
      </c>
      <c r="BU11" s="28" t="s">
        <v>1203</v>
      </c>
      <c r="BV11" s="28" t="s">
        <v>1204</v>
      </c>
      <c r="BW11" t="s">
        <v>1923</v>
      </c>
      <c r="BX11" t="s">
        <v>1924</v>
      </c>
      <c r="BY11" s="28" t="s">
        <v>1925</v>
      </c>
      <c r="BZ11" s="28" t="s">
        <v>1926</v>
      </c>
    </row>
    <row r="12" spans="1:80" s="28" customFormat="1" ht="16.5">
      <c r="A12" s="451">
        <v>653</v>
      </c>
      <c r="B12" s="28" t="s">
        <v>1927</v>
      </c>
      <c r="C12" s="28" t="s">
        <v>1516</v>
      </c>
      <c r="D12" s="28" t="s">
        <v>1814</v>
      </c>
      <c r="F12" s="468" t="s">
        <v>2134</v>
      </c>
      <c r="G12" s="28" t="s">
        <v>1195</v>
      </c>
      <c r="H12" s="28" t="s">
        <v>1928</v>
      </c>
      <c r="I12" s="28" t="s">
        <v>1929</v>
      </c>
      <c r="J12" s="466">
        <v>50</v>
      </c>
      <c r="K12" s="466">
        <v>1</v>
      </c>
      <c r="L12" s="466">
        <v>50</v>
      </c>
      <c r="M12" s="466">
        <v>50</v>
      </c>
      <c r="N12" s="452" t="s">
        <v>1515</v>
      </c>
      <c r="O12" s="28" t="s">
        <v>1930</v>
      </c>
      <c r="P12" s="28" t="s">
        <v>1931</v>
      </c>
      <c r="Q12" s="28" t="s">
        <v>1198</v>
      </c>
      <c r="R12" s="28" t="s">
        <v>1196</v>
      </c>
      <c r="S12" s="467" t="s">
        <v>1817</v>
      </c>
      <c r="T12" s="466">
        <v>2139.9</v>
      </c>
      <c r="U12" s="466">
        <v>2139.9</v>
      </c>
      <c r="V12" s="466"/>
      <c r="W12" s="466"/>
      <c r="X12" s="466"/>
      <c r="Y12" s="466"/>
      <c r="Z12" s="466"/>
      <c r="AA12" s="466"/>
      <c r="AB12" s="466"/>
      <c r="AC12" s="28" t="s">
        <v>1819</v>
      </c>
      <c r="AD12" s="28" t="s">
        <v>1495</v>
      </c>
      <c r="AE12" s="28" t="s">
        <v>1495</v>
      </c>
      <c r="AF12" s="28" t="s">
        <v>1932</v>
      </c>
      <c r="AG12" s="28" t="s">
        <v>1933</v>
      </c>
      <c r="AH12" s="28" t="s">
        <v>1934</v>
      </c>
      <c r="AI12" s="28" t="s">
        <v>1208</v>
      </c>
      <c r="AJ12" s="28" t="s">
        <v>1197</v>
      </c>
      <c r="AK12" s="28" t="s">
        <v>1198</v>
      </c>
      <c r="AL12" s="28" t="s">
        <v>1198</v>
      </c>
      <c r="AM12" s="28" t="s">
        <v>1935</v>
      </c>
      <c r="AN12" s="28" t="s">
        <v>1569</v>
      </c>
      <c r="AO12" s="28" t="s">
        <v>1451</v>
      </c>
      <c r="AP12" s="28" t="s">
        <v>1199</v>
      </c>
      <c r="AQ12" s="28" t="s">
        <v>1198</v>
      </c>
      <c r="AR12" s="28" t="s">
        <v>1200</v>
      </c>
      <c r="AS12" s="28" t="s">
        <v>1936</v>
      </c>
      <c r="AT12" s="28" t="s">
        <v>1198</v>
      </c>
      <c r="AU12" s="28" t="s">
        <v>1211</v>
      </c>
      <c r="AV12" s="28" t="s">
        <v>1213</v>
      </c>
      <c r="AW12" s="163" t="s">
        <v>1472</v>
      </c>
      <c r="AX12" s="28" t="s">
        <v>1824</v>
      </c>
      <c r="AY12" s="28" t="s">
        <v>1937</v>
      </c>
      <c r="AZ12" s="28" t="s">
        <v>1464</v>
      </c>
      <c r="BA12" s="28" t="s">
        <v>1196</v>
      </c>
      <c r="BB12" s="28" t="s">
        <v>1477</v>
      </c>
      <c r="BC12" s="28" t="s">
        <v>1201</v>
      </c>
      <c r="BD12" s="28" t="s">
        <v>1202</v>
      </c>
      <c r="BE12" s="28" t="s">
        <v>1938</v>
      </c>
      <c r="BF12" s="28" t="s">
        <v>1198</v>
      </c>
      <c r="BG12" s="28" t="s">
        <v>1198</v>
      </c>
      <c r="BH12" s="28" t="s">
        <v>1198</v>
      </c>
      <c r="BI12" s="28" t="s">
        <v>1198</v>
      </c>
      <c r="BJ12" s="28" t="s">
        <v>1939</v>
      </c>
      <c r="BK12" s="28" t="s">
        <v>1198</v>
      </c>
      <c r="BL12" s="28" t="s">
        <v>1202</v>
      </c>
      <c r="BM12" s="28" t="s">
        <v>1940</v>
      </c>
      <c r="BN12" s="28" t="s">
        <v>1941</v>
      </c>
      <c r="BO12" s="28" t="s">
        <v>1477</v>
      </c>
      <c r="BP12" s="28" t="s">
        <v>1477</v>
      </c>
      <c r="BQ12" s="28" t="s">
        <v>1942</v>
      </c>
      <c r="BR12" s="28" t="s">
        <v>1518</v>
      </c>
      <c r="BS12" s="28" t="s">
        <v>1519</v>
      </c>
      <c r="BT12" s="28" t="s">
        <v>1943</v>
      </c>
      <c r="BU12" s="28" t="s">
        <v>1203</v>
      </c>
      <c r="BV12" s="28" t="s">
        <v>1204</v>
      </c>
      <c r="BW12" t="s">
        <v>1944</v>
      </c>
      <c r="BX12" t="s">
        <v>1945</v>
      </c>
      <c r="BY12" s="28" t="s">
        <v>1946</v>
      </c>
      <c r="BZ12" s="28" t="s">
        <v>1947</v>
      </c>
    </row>
    <row r="13" spans="1:80" s="28" customFormat="1" ht="16.5">
      <c r="A13" s="451">
        <v>646</v>
      </c>
      <c r="B13" s="28" t="s">
        <v>1813</v>
      </c>
      <c r="C13" s="28" t="s">
        <v>1214</v>
      </c>
      <c r="D13" s="28" t="s">
        <v>1814</v>
      </c>
      <c r="F13" s="468" t="s">
        <v>2134</v>
      </c>
      <c r="G13" s="28" t="s">
        <v>1195</v>
      </c>
      <c r="H13" s="28" t="s">
        <v>1948</v>
      </c>
      <c r="I13" s="28" t="s">
        <v>1949</v>
      </c>
      <c r="J13" s="466">
        <v>25</v>
      </c>
      <c r="K13" s="466">
        <v>1</v>
      </c>
      <c r="L13" s="466">
        <v>1</v>
      </c>
      <c r="M13" s="466">
        <v>25</v>
      </c>
      <c r="N13" s="452" t="s">
        <v>1412</v>
      </c>
      <c r="O13" s="28" t="s">
        <v>1428</v>
      </c>
      <c r="P13" s="28" t="s">
        <v>1511</v>
      </c>
      <c r="Q13" s="28" t="s">
        <v>1198</v>
      </c>
      <c r="R13" s="28" t="s">
        <v>1196</v>
      </c>
      <c r="S13" s="467" t="s">
        <v>1817</v>
      </c>
      <c r="T13" s="466">
        <v>60.2</v>
      </c>
      <c r="U13" s="466">
        <v>60.2</v>
      </c>
      <c r="V13" s="466"/>
      <c r="W13" s="466"/>
      <c r="X13" s="466"/>
      <c r="Y13" s="466"/>
      <c r="Z13" s="466"/>
      <c r="AA13" s="466"/>
      <c r="AB13" s="466"/>
      <c r="AC13" s="28" t="s">
        <v>1819</v>
      </c>
      <c r="AD13" s="28" t="s">
        <v>1495</v>
      </c>
      <c r="AE13" s="28" t="s">
        <v>1495</v>
      </c>
      <c r="AF13" s="28" t="s">
        <v>1950</v>
      </c>
      <c r="AG13" s="28" t="s">
        <v>1951</v>
      </c>
      <c r="AH13" s="28" t="s">
        <v>1952</v>
      </c>
      <c r="AI13" s="28" t="s">
        <v>1208</v>
      </c>
      <c r="AJ13" s="28" t="s">
        <v>1197</v>
      </c>
      <c r="AK13" s="28" t="s">
        <v>1198</v>
      </c>
      <c r="AL13" s="28" t="s">
        <v>1198</v>
      </c>
      <c r="AM13" s="28" t="s">
        <v>1215</v>
      </c>
      <c r="AN13" s="28" t="s">
        <v>1216</v>
      </c>
      <c r="AO13" s="28" t="s">
        <v>1226</v>
      </c>
      <c r="AP13" s="28" t="s">
        <v>1199</v>
      </c>
      <c r="AQ13" s="28" t="s">
        <v>1198</v>
      </c>
      <c r="AR13" s="28" t="s">
        <v>1200</v>
      </c>
      <c r="AS13" s="28" t="s">
        <v>1953</v>
      </c>
      <c r="AT13" s="28" t="s">
        <v>1198</v>
      </c>
      <c r="AU13" s="28" t="s">
        <v>1211</v>
      </c>
      <c r="AV13" s="28" t="s">
        <v>1213</v>
      </c>
      <c r="AW13" s="163" t="s">
        <v>1472</v>
      </c>
      <c r="AX13" s="28" t="s">
        <v>1824</v>
      </c>
      <c r="AY13" s="28" t="s">
        <v>1954</v>
      </c>
      <c r="AZ13" s="28" t="s">
        <v>1464</v>
      </c>
      <c r="BA13" s="28" t="s">
        <v>1196</v>
      </c>
      <c r="BB13" s="28" t="s">
        <v>1217</v>
      </c>
      <c r="BC13" s="28" t="s">
        <v>1201</v>
      </c>
      <c r="BD13" s="28" t="s">
        <v>1202</v>
      </c>
      <c r="BE13" s="28" t="s">
        <v>1955</v>
      </c>
      <c r="BF13" s="28" t="s">
        <v>1198</v>
      </c>
      <c r="BG13" s="28" t="s">
        <v>1198</v>
      </c>
      <c r="BH13" s="28" t="s">
        <v>1198</v>
      </c>
      <c r="BI13" s="28" t="s">
        <v>1198</v>
      </c>
      <c r="BJ13" s="28" t="s">
        <v>1956</v>
      </c>
      <c r="BK13" s="28" t="s">
        <v>1198</v>
      </c>
      <c r="BL13" s="28" t="s">
        <v>1202</v>
      </c>
      <c r="BM13" s="28" t="s">
        <v>1957</v>
      </c>
      <c r="BN13" s="28" t="s">
        <v>1958</v>
      </c>
      <c r="BO13" s="28" t="s">
        <v>1217</v>
      </c>
      <c r="BP13" s="28" t="s">
        <v>1217</v>
      </c>
      <c r="BQ13" s="28" t="s">
        <v>1959</v>
      </c>
      <c r="BR13" s="28" t="s">
        <v>1479</v>
      </c>
      <c r="BS13" s="28" t="s">
        <v>1473</v>
      </c>
      <c r="BT13" s="28" t="s">
        <v>1205</v>
      </c>
      <c r="BU13" s="28" t="s">
        <v>1203</v>
      </c>
      <c r="BV13" s="28" t="s">
        <v>1204</v>
      </c>
      <c r="BW13" t="s">
        <v>1960</v>
      </c>
      <c r="BX13" t="s">
        <v>1961</v>
      </c>
      <c r="BY13" s="28" t="s">
        <v>1962</v>
      </c>
      <c r="BZ13" s="28" t="s">
        <v>1963</v>
      </c>
    </row>
    <row r="14" spans="1:80" s="28" customFormat="1" ht="16.5">
      <c r="A14" s="451">
        <v>213</v>
      </c>
      <c r="B14" s="28" t="s">
        <v>1813</v>
      </c>
      <c r="C14" s="28" t="s">
        <v>1482</v>
      </c>
      <c r="D14" s="28" t="s">
        <v>1814</v>
      </c>
      <c r="F14" s="468" t="s">
        <v>2134</v>
      </c>
      <c r="G14" s="28" t="s">
        <v>1195</v>
      </c>
      <c r="H14" s="28" t="s">
        <v>1964</v>
      </c>
      <c r="I14" s="28" t="s">
        <v>1965</v>
      </c>
      <c r="J14" s="466">
        <v>25</v>
      </c>
      <c r="K14" s="466">
        <v>1</v>
      </c>
      <c r="L14" s="466">
        <v>1</v>
      </c>
      <c r="M14" s="466">
        <v>25</v>
      </c>
      <c r="N14" s="452" t="s">
        <v>116</v>
      </c>
      <c r="O14" s="28" t="s">
        <v>1501</v>
      </c>
      <c r="P14" s="28" t="s">
        <v>1502</v>
      </c>
      <c r="Q14" s="28" t="s">
        <v>1198</v>
      </c>
      <c r="R14" s="28" t="s">
        <v>1196</v>
      </c>
      <c r="S14" s="467" t="s">
        <v>1817</v>
      </c>
      <c r="T14" s="466">
        <v>64.400000000000006</v>
      </c>
      <c r="U14" s="466">
        <v>64.400000000000006</v>
      </c>
      <c r="V14" s="466"/>
      <c r="W14" s="466"/>
      <c r="X14" s="466"/>
      <c r="Y14" s="466"/>
      <c r="Z14" s="466"/>
      <c r="AA14" s="466"/>
      <c r="AB14" s="466"/>
      <c r="AC14" s="28" t="s">
        <v>1819</v>
      </c>
      <c r="AD14" s="28" t="s">
        <v>1495</v>
      </c>
      <c r="AE14" s="28" t="s">
        <v>1495</v>
      </c>
      <c r="AF14" s="28" t="s">
        <v>1966</v>
      </c>
      <c r="AG14" s="28" t="s">
        <v>1967</v>
      </c>
      <c r="AH14" s="28" t="s">
        <v>1968</v>
      </c>
      <c r="AI14" s="28" t="s">
        <v>1208</v>
      </c>
      <c r="AJ14" s="28" t="s">
        <v>1197</v>
      </c>
      <c r="AK14" s="28" t="s">
        <v>1198</v>
      </c>
      <c r="AL14" s="28" t="s">
        <v>1198</v>
      </c>
      <c r="AM14" s="28" t="s">
        <v>1215</v>
      </c>
      <c r="AN14" s="28" t="s">
        <v>1216</v>
      </c>
      <c r="AO14" s="28" t="s">
        <v>1455</v>
      </c>
      <c r="AP14" s="28" t="s">
        <v>1199</v>
      </c>
      <c r="AQ14" s="28" t="s">
        <v>1198</v>
      </c>
      <c r="AR14" s="28" t="s">
        <v>1200</v>
      </c>
      <c r="AS14" s="28" t="s">
        <v>1969</v>
      </c>
      <c r="AT14" s="28" t="s">
        <v>1198</v>
      </c>
      <c r="AU14" s="28" t="s">
        <v>1211</v>
      </c>
      <c r="AV14" s="28" t="s">
        <v>1213</v>
      </c>
      <c r="AW14" s="163" t="s">
        <v>1472</v>
      </c>
      <c r="AX14" s="28" t="s">
        <v>1824</v>
      </c>
      <c r="AY14" s="28" t="s">
        <v>1970</v>
      </c>
      <c r="AZ14" s="28" t="s">
        <v>1464</v>
      </c>
      <c r="BA14" s="28" t="s">
        <v>1196</v>
      </c>
      <c r="BB14" s="28" t="s">
        <v>1971</v>
      </c>
      <c r="BC14" s="28" t="s">
        <v>1201</v>
      </c>
      <c r="BD14" s="28" t="s">
        <v>1202</v>
      </c>
      <c r="BE14" s="28" t="s">
        <v>1972</v>
      </c>
      <c r="BF14" s="28" t="s">
        <v>1198</v>
      </c>
      <c r="BG14" s="28" t="s">
        <v>1198</v>
      </c>
      <c r="BH14" s="28" t="s">
        <v>1198</v>
      </c>
      <c r="BI14" s="28" t="s">
        <v>1198</v>
      </c>
      <c r="BJ14" s="28" t="s">
        <v>1973</v>
      </c>
      <c r="BK14" s="28" t="s">
        <v>1198</v>
      </c>
      <c r="BL14" s="28" t="s">
        <v>1202</v>
      </c>
      <c r="BM14" s="28" t="s">
        <v>1198</v>
      </c>
      <c r="BN14" s="28" t="s">
        <v>1974</v>
      </c>
      <c r="BO14" s="28" t="s">
        <v>1493</v>
      </c>
      <c r="BP14" s="28" t="s">
        <v>1493</v>
      </c>
      <c r="BQ14" s="28" t="s">
        <v>1975</v>
      </c>
      <c r="BR14" s="28" t="s">
        <v>1976</v>
      </c>
      <c r="BS14" s="28" t="s">
        <v>1198</v>
      </c>
      <c r="BT14" s="28" t="s">
        <v>1205</v>
      </c>
      <c r="BU14" s="28" t="s">
        <v>1203</v>
      </c>
      <c r="BV14" s="28" t="s">
        <v>1204</v>
      </c>
      <c r="BW14" t="s">
        <v>1977</v>
      </c>
      <c r="BX14" t="s">
        <v>1978</v>
      </c>
      <c r="BY14" s="28" t="s">
        <v>1979</v>
      </c>
      <c r="BZ14" s="28" t="s">
        <v>1980</v>
      </c>
    </row>
    <row r="15" spans="1:80" s="28" customFormat="1" ht="16.5">
      <c r="A15" s="451">
        <v>213</v>
      </c>
      <c r="B15" s="28" t="s">
        <v>1813</v>
      </c>
      <c r="C15" s="28" t="s">
        <v>1482</v>
      </c>
      <c r="D15" s="28" t="s">
        <v>1814</v>
      </c>
      <c r="F15" s="468" t="s">
        <v>2134</v>
      </c>
      <c r="G15" s="28" t="s">
        <v>1195</v>
      </c>
      <c r="H15" s="28" t="s">
        <v>1981</v>
      </c>
      <c r="I15" s="28" t="s">
        <v>1982</v>
      </c>
      <c r="J15" s="466">
        <v>1</v>
      </c>
      <c r="K15" s="466">
        <v>1</v>
      </c>
      <c r="L15" s="466">
        <v>1</v>
      </c>
      <c r="M15" s="466">
        <v>1</v>
      </c>
      <c r="N15" s="452" t="s">
        <v>116</v>
      </c>
      <c r="O15" s="28" t="s">
        <v>114</v>
      </c>
      <c r="P15" s="28" t="s">
        <v>1514</v>
      </c>
      <c r="Q15" s="28" t="s">
        <v>1198</v>
      </c>
      <c r="R15" s="28" t="s">
        <v>1196</v>
      </c>
      <c r="S15" s="467" t="s">
        <v>1817</v>
      </c>
      <c r="T15" s="466">
        <v>74.2</v>
      </c>
      <c r="U15" s="466">
        <v>74.2</v>
      </c>
      <c r="V15" s="466"/>
      <c r="W15" s="466"/>
      <c r="X15" s="466"/>
      <c r="Y15" s="466"/>
      <c r="Z15" s="466"/>
      <c r="AA15" s="466"/>
      <c r="AB15" s="466"/>
      <c r="AC15" s="28" t="s">
        <v>1819</v>
      </c>
      <c r="AD15" s="28" t="s">
        <v>1495</v>
      </c>
      <c r="AE15" s="28" t="s">
        <v>1495</v>
      </c>
      <c r="AF15" s="28" t="s">
        <v>1983</v>
      </c>
      <c r="AG15" s="28" t="s">
        <v>1984</v>
      </c>
      <c r="AH15" s="28" t="s">
        <v>1985</v>
      </c>
      <c r="AI15" s="28" t="s">
        <v>1208</v>
      </c>
      <c r="AJ15" s="28" t="s">
        <v>1197</v>
      </c>
      <c r="AK15" s="28" t="s">
        <v>1198</v>
      </c>
      <c r="AL15" s="28" t="s">
        <v>1198</v>
      </c>
      <c r="AM15" s="28" t="s">
        <v>1450</v>
      </c>
      <c r="AN15" s="28" t="s">
        <v>1216</v>
      </c>
      <c r="AO15" s="28" t="s">
        <v>1521</v>
      </c>
      <c r="AP15" s="28" t="s">
        <v>1199</v>
      </c>
      <c r="AQ15" s="28" t="s">
        <v>1198</v>
      </c>
      <c r="AR15" s="28" t="s">
        <v>1200</v>
      </c>
      <c r="AS15" s="28" t="s">
        <v>1986</v>
      </c>
      <c r="AT15" s="28" t="s">
        <v>1198</v>
      </c>
      <c r="AU15" s="28" t="s">
        <v>1211</v>
      </c>
      <c r="AV15" s="28" t="s">
        <v>1213</v>
      </c>
      <c r="AW15" s="163" t="s">
        <v>1472</v>
      </c>
      <c r="AX15" s="28" t="s">
        <v>1824</v>
      </c>
      <c r="AY15" s="28" t="s">
        <v>1987</v>
      </c>
      <c r="AZ15" s="28" t="s">
        <v>1464</v>
      </c>
      <c r="BA15" s="28" t="s">
        <v>1196</v>
      </c>
      <c r="BB15" s="28" t="s">
        <v>1452</v>
      </c>
      <c r="BC15" s="28" t="s">
        <v>1201</v>
      </c>
      <c r="BD15" s="28" t="s">
        <v>1202</v>
      </c>
      <c r="BE15" s="28" t="s">
        <v>1988</v>
      </c>
      <c r="BF15" s="28" t="s">
        <v>1198</v>
      </c>
      <c r="BG15" s="28" t="s">
        <v>1198</v>
      </c>
      <c r="BH15" s="28" t="s">
        <v>1198</v>
      </c>
      <c r="BI15" s="28" t="s">
        <v>1198</v>
      </c>
      <c r="BJ15" s="28" t="s">
        <v>1989</v>
      </c>
      <c r="BK15" s="28" t="s">
        <v>1198</v>
      </c>
      <c r="BL15" s="28" t="s">
        <v>1202</v>
      </c>
      <c r="BM15" s="28" t="s">
        <v>1198</v>
      </c>
      <c r="BN15" s="28" t="s">
        <v>1990</v>
      </c>
      <c r="BO15" s="28" t="s">
        <v>1452</v>
      </c>
      <c r="BP15" s="28" t="s">
        <v>1452</v>
      </c>
      <c r="BQ15" s="28" t="s">
        <v>1991</v>
      </c>
      <c r="BR15" s="28" t="s">
        <v>1992</v>
      </c>
      <c r="BS15" s="28" t="s">
        <v>1198</v>
      </c>
      <c r="BT15" s="28" t="s">
        <v>1500</v>
      </c>
      <c r="BU15" s="28" t="s">
        <v>1203</v>
      </c>
      <c r="BV15" s="28" t="s">
        <v>1204</v>
      </c>
      <c r="BW15" t="s">
        <v>1993</v>
      </c>
      <c r="BX15" t="s">
        <v>1994</v>
      </c>
      <c r="BY15" s="28" t="s">
        <v>1995</v>
      </c>
      <c r="BZ15" s="28" t="s">
        <v>1996</v>
      </c>
    </row>
    <row r="16" spans="1:80" s="28" customFormat="1" ht="16.5">
      <c r="A16" s="451"/>
      <c r="F16" s="468" t="s">
        <v>2134</v>
      </c>
      <c r="J16" s="466"/>
      <c r="K16" s="466"/>
      <c r="L16" s="466"/>
      <c r="M16" s="466"/>
      <c r="N16" s="452"/>
      <c r="S16" s="467"/>
      <c r="T16" s="466"/>
      <c r="U16" s="466"/>
      <c r="V16" s="466"/>
      <c r="W16" s="466"/>
      <c r="X16" s="466"/>
      <c r="Y16" s="466"/>
      <c r="Z16" s="466"/>
      <c r="AA16" s="466"/>
      <c r="AB16" s="466"/>
      <c r="AW16" s="163"/>
      <c r="BW16"/>
      <c r="BX16"/>
    </row>
    <row r="17" spans="1:91" s="28" customFormat="1" ht="16.5">
      <c r="A17" s="451">
        <v>211</v>
      </c>
      <c r="B17" s="28" t="s">
        <v>1997</v>
      </c>
      <c r="C17" s="28" t="s">
        <v>1482</v>
      </c>
      <c r="D17" s="28" t="s">
        <v>1814</v>
      </c>
      <c r="F17" s="468" t="s">
        <v>2134</v>
      </c>
      <c r="G17" s="28" t="s">
        <v>1195</v>
      </c>
      <c r="H17" s="28" t="s">
        <v>1998</v>
      </c>
      <c r="I17" s="28" t="s">
        <v>1999</v>
      </c>
      <c r="J17" s="466">
        <v>100</v>
      </c>
      <c r="K17" s="466">
        <v>5</v>
      </c>
      <c r="L17" s="466">
        <v>500</v>
      </c>
      <c r="M17" s="466">
        <v>100</v>
      </c>
      <c r="N17" s="452" t="s">
        <v>1388</v>
      </c>
      <c r="O17" s="28" t="s">
        <v>1461</v>
      </c>
      <c r="P17" s="28" t="s">
        <v>1462</v>
      </c>
      <c r="Q17" s="28" t="s">
        <v>1198</v>
      </c>
      <c r="R17" s="28" t="s">
        <v>1196</v>
      </c>
      <c r="S17" s="467" t="s">
        <v>1817</v>
      </c>
      <c r="T17" s="466">
        <v>20.440000000000001</v>
      </c>
      <c r="U17" s="466">
        <v>20.440000000000001</v>
      </c>
      <c r="V17" s="466"/>
      <c r="W17" s="466"/>
      <c r="X17" s="466"/>
      <c r="Y17" s="466"/>
      <c r="Z17" s="466"/>
      <c r="AA17" s="466"/>
      <c r="AB17" s="466"/>
      <c r="AC17" s="28" t="s">
        <v>1819</v>
      </c>
      <c r="AD17" s="28" t="s">
        <v>1495</v>
      </c>
      <c r="AE17" s="28" t="s">
        <v>1495</v>
      </c>
      <c r="AF17" s="28" t="s">
        <v>2000</v>
      </c>
      <c r="AG17" s="28" t="s">
        <v>2001</v>
      </c>
      <c r="AH17" s="28" t="s">
        <v>2002</v>
      </c>
      <c r="AI17" s="28" t="s">
        <v>1208</v>
      </c>
      <c r="AJ17" s="28" t="s">
        <v>1197</v>
      </c>
      <c r="AK17" s="28" t="s">
        <v>1198</v>
      </c>
      <c r="AL17" s="28" t="s">
        <v>1198</v>
      </c>
      <c r="AM17" s="28" t="s">
        <v>1215</v>
      </c>
      <c r="AN17" s="28" t="s">
        <v>1216</v>
      </c>
      <c r="AO17" s="28" t="s">
        <v>1451</v>
      </c>
      <c r="AP17" s="28" t="s">
        <v>1199</v>
      </c>
      <c r="AQ17" s="28" t="s">
        <v>1198</v>
      </c>
      <c r="AR17" s="28" t="s">
        <v>1200</v>
      </c>
      <c r="AS17" s="28" t="s">
        <v>2003</v>
      </c>
      <c r="AT17" s="28" t="s">
        <v>1198</v>
      </c>
      <c r="AU17" s="28" t="s">
        <v>1211</v>
      </c>
      <c r="AV17" s="28" t="s">
        <v>1525</v>
      </c>
      <c r="AW17" s="163" t="s">
        <v>2004</v>
      </c>
      <c r="AX17" s="28" t="s">
        <v>1824</v>
      </c>
      <c r="AY17" s="28" t="s">
        <v>2005</v>
      </c>
      <c r="AZ17" s="28" t="s">
        <v>1464</v>
      </c>
      <c r="BA17" s="28" t="s">
        <v>1196</v>
      </c>
      <c r="BB17" s="28" t="s">
        <v>1456</v>
      </c>
      <c r="BC17" s="28" t="s">
        <v>1201</v>
      </c>
      <c r="BD17" s="28" t="s">
        <v>1202</v>
      </c>
      <c r="BE17" s="28" t="s">
        <v>2006</v>
      </c>
      <c r="BF17" s="28" t="s">
        <v>1198</v>
      </c>
      <c r="BG17" s="28" t="s">
        <v>1198</v>
      </c>
      <c r="BH17" s="28" t="s">
        <v>1198</v>
      </c>
      <c r="BI17" s="28" t="s">
        <v>1198</v>
      </c>
      <c r="BJ17" s="28" t="s">
        <v>2007</v>
      </c>
      <c r="BK17" s="28" t="s">
        <v>1198</v>
      </c>
      <c r="BL17" s="28" t="s">
        <v>1202</v>
      </c>
      <c r="BM17" s="28" t="s">
        <v>2008</v>
      </c>
      <c r="BN17" s="28" t="s">
        <v>2009</v>
      </c>
      <c r="BO17" s="28" t="s">
        <v>1456</v>
      </c>
      <c r="BP17" s="28" t="s">
        <v>1456</v>
      </c>
      <c r="BQ17" s="28" t="s">
        <v>2010</v>
      </c>
      <c r="BR17" s="28" t="s">
        <v>2011</v>
      </c>
      <c r="BS17" s="28" t="s">
        <v>1481</v>
      </c>
      <c r="BT17" s="28" t="s">
        <v>1205</v>
      </c>
      <c r="BU17" s="28" t="s">
        <v>1203</v>
      </c>
      <c r="BV17" s="28" t="s">
        <v>1204</v>
      </c>
      <c r="BW17" t="s">
        <v>2012</v>
      </c>
      <c r="BX17" t="s">
        <v>2013</v>
      </c>
      <c r="BY17" s="28" t="s">
        <v>2014</v>
      </c>
      <c r="BZ17" s="28" t="s">
        <v>2015</v>
      </c>
    </row>
    <row r="18" spans="1:91" s="28" customFormat="1" ht="16.5">
      <c r="A18" s="451">
        <v>211</v>
      </c>
      <c r="B18" s="28" t="s">
        <v>1997</v>
      </c>
      <c r="C18" s="28" t="s">
        <v>1482</v>
      </c>
      <c r="D18" s="28" t="s">
        <v>1814</v>
      </c>
      <c r="F18" s="468" t="s">
        <v>2134</v>
      </c>
      <c r="G18" s="28" t="s">
        <v>1195</v>
      </c>
      <c r="H18" s="28" t="s">
        <v>1998</v>
      </c>
      <c r="I18" s="28" t="s">
        <v>1999</v>
      </c>
      <c r="J18" s="466">
        <v>100</v>
      </c>
      <c r="K18" s="466">
        <v>5</v>
      </c>
      <c r="L18" s="466">
        <v>500</v>
      </c>
      <c r="M18" s="466">
        <v>100</v>
      </c>
      <c r="N18" s="452" t="s">
        <v>1388</v>
      </c>
      <c r="O18" s="28" t="s">
        <v>1461</v>
      </c>
      <c r="P18" s="28" t="s">
        <v>1462</v>
      </c>
      <c r="Q18" s="28" t="s">
        <v>1198</v>
      </c>
      <c r="R18" s="28" t="s">
        <v>1196</v>
      </c>
      <c r="S18" s="467" t="s">
        <v>1817</v>
      </c>
      <c r="T18" s="466">
        <v>20.440000000000001</v>
      </c>
      <c r="U18" s="466">
        <v>20.440000000000001</v>
      </c>
      <c r="V18" s="466"/>
      <c r="W18" s="466"/>
      <c r="X18" s="466"/>
      <c r="Y18" s="466"/>
      <c r="Z18" s="466"/>
      <c r="AA18" s="466"/>
      <c r="AB18" s="466"/>
      <c r="AC18" s="28" t="s">
        <v>1819</v>
      </c>
      <c r="AD18" s="28" t="s">
        <v>1495</v>
      </c>
      <c r="AE18" s="28" t="s">
        <v>1495</v>
      </c>
      <c r="AF18" s="28" t="s">
        <v>2000</v>
      </c>
      <c r="AG18" s="28" t="s">
        <v>2001</v>
      </c>
      <c r="AH18" s="28" t="s">
        <v>2002</v>
      </c>
      <c r="AI18" s="28" t="s">
        <v>1208</v>
      </c>
      <c r="AJ18" s="28" t="s">
        <v>1197</v>
      </c>
      <c r="AK18" s="28" t="s">
        <v>1198</v>
      </c>
      <c r="AL18" s="28" t="s">
        <v>1198</v>
      </c>
      <c r="AM18" s="28" t="s">
        <v>1215</v>
      </c>
      <c r="AN18" s="28" t="s">
        <v>1216</v>
      </c>
      <c r="AO18" s="28" t="s">
        <v>1451</v>
      </c>
      <c r="AP18" s="28" t="s">
        <v>1199</v>
      </c>
      <c r="AQ18" s="28" t="s">
        <v>1198</v>
      </c>
      <c r="AR18" s="28" t="s">
        <v>1200</v>
      </c>
      <c r="AS18" s="28" t="s">
        <v>2003</v>
      </c>
      <c r="AT18" s="28" t="s">
        <v>1198</v>
      </c>
      <c r="AU18" s="28" t="s">
        <v>1211</v>
      </c>
      <c r="AV18" s="28" t="s">
        <v>1525</v>
      </c>
      <c r="AW18" s="163" t="s">
        <v>2004</v>
      </c>
      <c r="AX18" s="28" t="s">
        <v>1824</v>
      </c>
      <c r="AY18" s="28" t="s">
        <v>2005</v>
      </c>
      <c r="AZ18" s="28" t="s">
        <v>1464</v>
      </c>
      <c r="BA18" s="28" t="s">
        <v>1196</v>
      </c>
      <c r="BB18" s="28" t="s">
        <v>1456</v>
      </c>
      <c r="BC18" s="28" t="s">
        <v>1201</v>
      </c>
      <c r="BD18" s="28" t="s">
        <v>1202</v>
      </c>
      <c r="BE18" s="28" t="s">
        <v>2006</v>
      </c>
      <c r="BF18" s="28" t="s">
        <v>1198</v>
      </c>
      <c r="BG18" s="28" t="s">
        <v>1198</v>
      </c>
      <c r="BH18" s="28" t="s">
        <v>1198</v>
      </c>
      <c r="BI18" s="28" t="s">
        <v>1198</v>
      </c>
      <c r="BJ18" s="28" t="s">
        <v>2007</v>
      </c>
      <c r="BK18" s="28" t="s">
        <v>1198</v>
      </c>
      <c r="BL18" s="28" t="s">
        <v>1202</v>
      </c>
      <c r="BM18" s="28" t="s">
        <v>2008</v>
      </c>
      <c r="BN18" s="28" t="s">
        <v>2009</v>
      </c>
      <c r="BO18" s="28" t="s">
        <v>1456</v>
      </c>
      <c r="BP18" s="28" t="s">
        <v>1456</v>
      </c>
      <c r="BQ18" s="28" t="s">
        <v>2010</v>
      </c>
      <c r="BR18" s="28" t="s">
        <v>2011</v>
      </c>
      <c r="BS18" s="28" t="s">
        <v>1481</v>
      </c>
      <c r="BT18" s="28" t="s">
        <v>1205</v>
      </c>
      <c r="BU18" s="28" t="s">
        <v>1203</v>
      </c>
      <c r="BV18" s="28" t="s">
        <v>1204</v>
      </c>
      <c r="BW18" t="s">
        <v>2016</v>
      </c>
      <c r="BX18" t="s">
        <v>2017</v>
      </c>
      <c r="BY18" s="28" t="s">
        <v>2014</v>
      </c>
      <c r="BZ18" s="28" t="s">
        <v>2015</v>
      </c>
    </row>
    <row r="19" spans="1:91" s="28" customFormat="1" ht="16.5">
      <c r="A19" s="451">
        <v>211</v>
      </c>
      <c r="B19" s="28" t="s">
        <v>1997</v>
      </c>
      <c r="C19" s="28" t="s">
        <v>1482</v>
      </c>
      <c r="D19" s="28" t="s">
        <v>1814</v>
      </c>
      <c r="F19" s="468" t="s">
        <v>2134</v>
      </c>
      <c r="G19" s="28" t="s">
        <v>1195</v>
      </c>
      <c r="H19" s="28" t="s">
        <v>1998</v>
      </c>
      <c r="I19" s="28" t="s">
        <v>1999</v>
      </c>
      <c r="J19" s="466">
        <v>100</v>
      </c>
      <c r="K19" s="466">
        <v>5</v>
      </c>
      <c r="L19" s="466">
        <v>500</v>
      </c>
      <c r="M19" s="466">
        <v>100</v>
      </c>
      <c r="N19" s="452" t="s">
        <v>1388</v>
      </c>
      <c r="O19" s="28" t="s">
        <v>1461</v>
      </c>
      <c r="P19" s="28" t="s">
        <v>1462</v>
      </c>
      <c r="Q19" s="28" t="s">
        <v>1198</v>
      </c>
      <c r="R19" s="28" t="s">
        <v>1196</v>
      </c>
      <c r="S19" s="467" t="s">
        <v>1817</v>
      </c>
      <c r="T19" s="466">
        <v>20.440000000000001</v>
      </c>
      <c r="U19" s="466">
        <v>20.440000000000001</v>
      </c>
      <c r="V19" s="466"/>
      <c r="W19" s="466"/>
      <c r="X19" s="466"/>
      <c r="Y19" s="466"/>
      <c r="Z19" s="466"/>
      <c r="AA19" s="466"/>
      <c r="AB19" s="466"/>
      <c r="AC19" s="28" t="s">
        <v>1819</v>
      </c>
      <c r="AD19" s="28" t="s">
        <v>1495</v>
      </c>
      <c r="AE19" s="28" t="s">
        <v>1495</v>
      </c>
      <c r="AF19" s="28" t="s">
        <v>2000</v>
      </c>
      <c r="AG19" s="28" t="s">
        <v>2001</v>
      </c>
      <c r="AH19" s="28" t="s">
        <v>2002</v>
      </c>
      <c r="AI19" s="28" t="s">
        <v>1208</v>
      </c>
      <c r="AJ19" s="28" t="s">
        <v>1197</v>
      </c>
      <c r="AK19" s="28" t="s">
        <v>1198</v>
      </c>
      <c r="AL19" s="28" t="s">
        <v>1198</v>
      </c>
      <c r="AM19" s="28" t="s">
        <v>1215</v>
      </c>
      <c r="AN19" s="28" t="s">
        <v>1216</v>
      </c>
      <c r="AO19" s="28" t="s">
        <v>1451</v>
      </c>
      <c r="AP19" s="28" t="s">
        <v>1199</v>
      </c>
      <c r="AQ19" s="28" t="s">
        <v>1198</v>
      </c>
      <c r="AR19" s="28" t="s">
        <v>1200</v>
      </c>
      <c r="AS19" s="28" t="s">
        <v>2003</v>
      </c>
      <c r="AT19" s="28" t="s">
        <v>1198</v>
      </c>
      <c r="AU19" s="28" t="s">
        <v>1211</v>
      </c>
      <c r="AV19" s="28" t="s">
        <v>1525</v>
      </c>
      <c r="AW19" s="163" t="s">
        <v>2004</v>
      </c>
      <c r="AX19" s="28" t="s">
        <v>1824</v>
      </c>
      <c r="AY19" s="28" t="s">
        <v>2005</v>
      </c>
      <c r="AZ19" s="28" t="s">
        <v>1464</v>
      </c>
      <c r="BA19" s="28" t="s">
        <v>1196</v>
      </c>
      <c r="BB19" s="28" t="s">
        <v>1456</v>
      </c>
      <c r="BC19" s="28" t="s">
        <v>1201</v>
      </c>
      <c r="BD19" s="28" t="s">
        <v>1202</v>
      </c>
      <c r="BE19" s="28" t="s">
        <v>2006</v>
      </c>
      <c r="BF19" s="28" t="s">
        <v>1198</v>
      </c>
      <c r="BG19" s="28" t="s">
        <v>1198</v>
      </c>
      <c r="BH19" s="28" t="s">
        <v>1198</v>
      </c>
      <c r="BI19" s="28" t="s">
        <v>1198</v>
      </c>
      <c r="BJ19" s="28" t="s">
        <v>2007</v>
      </c>
      <c r="BK19" s="28" t="s">
        <v>1198</v>
      </c>
      <c r="BL19" s="28" t="s">
        <v>1202</v>
      </c>
      <c r="BM19" s="28" t="s">
        <v>2008</v>
      </c>
      <c r="BN19" s="28" t="s">
        <v>2009</v>
      </c>
      <c r="BO19" s="28" t="s">
        <v>1456</v>
      </c>
      <c r="BP19" s="28" t="s">
        <v>1456</v>
      </c>
      <c r="BQ19" s="28" t="s">
        <v>2010</v>
      </c>
      <c r="BR19" s="28" t="s">
        <v>2011</v>
      </c>
      <c r="BS19" s="28" t="s">
        <v>1481</v>
      </c>
      <c r="BT19" s="28" t="s">
        <v>1205</v>
      </c>
      <c r="BU19" s="28" t="s">
        <v>1203</v>
      </c>
      <c r="BV19" s="28" t="s">
        <v>1204</v>
      </c>
      <c r="BW19" t="s">
        <v>2018</v>
      </c>
      <c r="BX19" t="s">
        <v>2019</v>
      </c>
      <c r="BY19" s="28" t="s">
        <v>2014</v>
      </c>
      <c r="BZ19" s="28" t="s">
        <v>2015</v>
      </c>
    </row>
    <row r="20" spans="1:91" s="28" customFormat="1" ht="16.5">
      <c r="A20" s="451">
        <v>211</v>
      </c>
      <c r="B20" s="28" t="s">
        <v>1997</v>
      </c>
      <c r="C20" s="28" t="s">
        <v>1482</v>
      </c>
      <c r="D20" s="28" t="s">
        <v>1814</v>
      </c>
      <c r="F20" s="468" t="s">
        <v>2134</v>
      </c>
      <c r="G20" s="28" t="s">
        <v>1195</v>
      </c>
      <c r="H20" s="28" t="s">
        <v>1998</v>
      </c>
      <c r="I20" s="28" t="s">
        <v>1999</v>
      </c>
      <c r="J20" s="466">
        <v>100</v>
      </c>
      <c r="K20" s="466">
        <v>5</v>
      </c>
      <c r="L20" s="466">
        <v>500</v>
      </c>
      <c r="M20" s="466">
        <v>100</v>
      </c>
      <c r="N20" s="452" t="s">
        <v>1388</v>
      </c>
      <c r="O20" s="28" t="s">
        <v>1461</v>
      </c>
      <c r="P20" s="28" t="s">
        <v>1462</v>
      </c>
      <c r="Q20" s="28" t="s">
        <v>1198</v>
      </c>
      <c r="R20" s="28" t="s">
        <v>1196</v>
      </c>
      <c r="S20" s="467" t="s">
        <v>1817</v>
      </c>
      <c r="T20" s="466">
        <v>20.440000000000001</v>
      </c>
      <c r="U20" s="466">
        <v>20.440000000000001</v>
      </c>
      <c r="V20" s="466"/>
      <c r="W20" s="466"/>
      <c r="X20" s="466"/>
      <c r="Y20" s="466"/>
      <c r="Z20" s="466"/>
      <c r="AA20" s="466"/>
      <c r="AB20" s="466"/>
      <c r="AC20" s="28" t="s">
        <v>1819</v>
      </c>
      <c r="AD20" s="28" t="s">
        <v>1495</v>
      </c>
      <c r="AE20" s="28" t="s">
        <v>1495</v>
      </c>
      <c r="AF20" s="28" t="s">
        <v>2000</v>
      </c>
      <c r="AG20" s="28" t="s">
        <v>2001</v>
      </c>
      <c r="AH20" s="28" t="s">
        <v>2002</v>
      </c>
      <c r="AI20" s="28" t="s">
        <v>1208</v>
      </c>
      <c r="AJ20" s="28" t="s">
        <v>1197</v>
      </c>
      <c r="AK20" s="28" t="s">
        <v>1198</v>
      </c>
      <c r="AL20" s="28" t="s">
        <v>1198</v>
      </c>
      <c r="AM20" s="28" t="s">
        <v>1215</v>
      </c>
      <c r="AN20" s="28" t="s">
        <v>1216</v>
      </c>
      <c r="AO20" s="28" t="s">
        <v>1451</v>
      </c>
      <c r="AP20" s="28" t="s">
        <v>1199</v>
      </c>
      <c r="AQ20" s="28" t="s">
        <v>1198</v>
      </c>
      <c r="AR20" s="28" t="s">
        <v>1200</v>
      </c>
      <c r="AS20" s="28" t="s">
        <v>2003</v>
      </c>
      <c r="AT20" s="28" t="s">
        <v>1198</v>
      </c>
      <c r="AU20" s="28" t="s">
        <v>1211</v>
      </c>
      <c r="AV20" s="28" t="s">
        <v>1525</v>
      </c>
      <c r="AW20" s="163" t="s">
        <v>2004</v>
      </c>
      <c r="AX20" s="28" t="s">
        <v>1824</v>
      </c>
      <c r="AY20" s="28" t="s">
        <v>2005</v>
      </c>
      <c r="AZ20" s="28" t="s">
        <v>1464</v>
      </c>
      <c r="BA20" s="28" t="s">
        <v>1196</v>
      </c>
      <c r="BB20" s="28" t="s">
        <v>1456</v>
      </c>
      <c r="BC20" s="28" t="s">
        <v>1201</v>
      </c>
      <c r="BD20" s="28" t="s">
        <v>1202</v>
      </c>
      <c r="BE20" s="28" t="s">
        <v>2006</v>
      </c>
      <c r="BF20" s="28" t="s">
        <v>1198</v>
      </c>
      <c r="BG20" s="28" t="s">
        <v>1198</v>
      </c>
      <c r="BH20" s="28" t="s">
        <v>1198</v>
      </c>
      <c r="BI20" s="28" t="s">
        <v>1198</v>
      </c>
      <c r="BJ20" s="28" t="s">
        <v>2007</v>
      </c>
      <c r="BK20" s="28" t="s">
        <v>1198</v>
      </c>
      <c r="BL20" s="28" t="s">
        <v>1202</v>
      </c>
      <c r="BM20" s="28" t="s">
        <v>2008</v>
      </c>
      <c r="BN20" s="28" t="s">
        <v>2009</v>
      </c>
      <c r="BO20" s="28" t="s">
        <v>1456</v>
      </c>
      <c r="BP20" s="28" t="s">
        <v>1456</v>
      </c>
      <c r="BQ20" s="28" t="s">
        <v>2010</v>
      </c>
      <c r="BR20" s="28" t="s">
        <v>2011</v>
      </c>
      <c r="BS20" s="28" t="s">
        <v>1481</v>
      </c>
      <c r="BT20" s="28" t="s">
        <v>1205</v>
      </c>
      <c r="BU20" s="28" t="s">
        <v>1203</v>
      </c>
      <c r="BV20" s="28" t="s">
        <v>1204</v>
      </c>
      <c r="BW20" t="s">
        <v>2020</v>
      </c>
      <c r="BX20" t="s">
        <v>2021</v>
      </c>
      <c r="BY20" s="28" t="s">
        <v>2014</v>
      </c>
      <c r="BZ20" s="28" t="s">
        <v>2015</v>
      </c>
    </row>
    <row r="21" spans="1:91" s="28" customFormat="1" ht="16.5">
      <c r="A21" s="451">
        <v>211</v>
      </c>
      <c r="B21" s="28" t="s">
        <v>1997</v>
      </c>
      <c r="C21" s="28" t="s">
        <v>1482</v>
      </c>
      <c r="D21" s="28" t="s">
        <v>1814</v>
      </c>
      <c r="F21" s="468" t="s">
        <v>2134</v>
      </c>
      <c r="G21" s="28" t="s">
        <v>1195</v>
      </c>
      <c r="H21" s="28" t="s">
        <v>1998</v>
      </c>
      <c r="I21" s="28" t="s">
        <v>1999</v>
      </c>
      <c r="J21" s="466">
        <v>100</v>
      </c>
      <c r="K21" s="466">
        <v>5</v>
      </c>
      <c r="L21" s="466">
        <v>500</v>
      </c>
      <c r="M21" s="466">
        <v>100</v>
      </c>
      <c r="N21" s="452" t="s">
        <v>1388</v>
      </c>
      <c r="O21" s="28" t="s">
        <v>1461</v>
      </c>
      <c r="P21" s="28" t="s">
        <v>1462</v>
      </c>
      <c r="Q21" s="28" t="s">
        <v>1198</v>
      </c>
      <c r="R21" s="28" t="s">
        <v>1196</v>
      </c>
      <c r="S21" s="467" t="s">
        <v>1817</v>
      </c>
      <c r="T21" s="466">
        <v>20.440000000000001</v>
      </c>
      <c r="U21" s="466">
        <v>20.440000000000001</v>
      </c>
      <c r="V21" s="466"/>
      <c r="W21" s="466"/>
      <c r="X21" s="466"/>
      <c r="Y21" s="466"/>
      <c r="Z21" s="466"/>
      <c r="AA21" s="466"/>
      <c r="AB21" s="466"/>
      <c r="AC21" s="28" t="s">
        <v>1819</v>
      </c>
      <c r="AD21" s="28" t="s">
        <v>1495</v>
      </c>
      <c r="AE21" s="28" t="s">
        <v>1495</v>
      </c>
      <c r="AF21" s="28" t="s">
        <v>2000</v>
      </c>
      <c r="AG21" s="28" t="s">
        <v>2001</v>
      </c>
      <c r="AH21" s="28" t="s">
        <v>2002</v>
      </c>
      <c r="AI21" s="28" t="s">
        <v>1208</v>
      </c>
      <c r="AJ21" s="28" t="s">
        <v>1197</v>
      </c>
      <c r="AK21" s="28" t="s">
        <v>1198</v>
      </c>
      <c r="AL21" s="28" t="s">
        <v>1198</v>
      </c>
      <c r="AM21" s="28" t="s">
        <v>1215</v>
      </c>
      <c r="AN21" s="28" t="s">
        <v>1216</v>
      </c>
      <c r="AO21" s="28" t="s">
        <v>1451</v>
      </c>
      <c r="AP21" s="28" t="s">
        <v>1199</v>
      </c>
      <c r="AQ21" s="28" t="s">
        <v>1198</v>
      </c>
      <c r="AR21" s="28" t="s">
        <v>1200</v>
      </c>
      <c r="AS21" s="28" t="s">
        <v>2003</v>
      </c>
      <c r="AT21" s="28" t="s">
        <v>1198</v>
      </c>
      <c r="AU21" s="28" t="s">
        <v>1211</v>
      </c>
      <c r="AV21" s="28" t="s">
        <v>1525</v>
      </c>
      <c r="AW21" s="163" t="s">
        <v>2004</v>
      </c>
      <c r="AX21" s="28" t="s">
        <v>1824</v>
      </c>
      <c r="AY21" s="28" t="s">
        <v>2005</v>
      </c>
      <c r="AZ21" s="28" t="s">
        <v>1464</v>
      </c>
      <c r="BA21" s="28" t="s">
        <v>1196</v>
      </c>
      <c r="BB21" s="28" t="s">
        <v>1456</v>
      </c>
      <c r="BC21" s="28" t="s">
        <v>1201</v>
      </c>
      <c r="BD21" s="28" t="s">
        <v>1202</v>
      </c>
      <c r="BE21" s="28" t="s">
        <v>2006</v>
      </c>
      <c r="BF21" s="28" t="s">
        <v>1198</v>
      </c>
      <c r="BG21" s="28" t="s">
        <v>1198</v>
      </c>
      <c r="BH21" s="28" t="s">
        <v>1198</v>
      </c>
      <c r="BI21" s="28" t="s">
        <v>1198</v>
      </c>
      <c r="BJ21" s="28" t="s">
        <v>2007</v>
      </c>
      <c r="BK21" s="28" t="s">
        <v>1198</v>
      </c>
      <c r="BL21" s="28" t="s">
        <v>1202</v>
      </c>
      <c r="BM21" s="28" t="s">
        <v>2008</v>
      </c>
      <c r="BN21" s="28" t="s">
        <v>2009</v>
      </c>
      <c r="BO21" s="28" t="s">
        <v>1456</v>
      </c>
      <c r="BP21" s="28" t="s">
        <v>1456</v>
      </c>
      <c r="BQ21" s="28" t="s">
        <v>2010</v>
      </c>
      <c r="BR21" s="28" t="s">
        <v>2011</v>
      </c>
      <c r="BS21" s="28" t="s">
        <v>1481</v>
      </c>
      <c r="BT21" s="28" t="s">
        <v>1205</v>
      </c>
      <c r="BU21" s="28" t="s">
        <v>1203</v>
      </c>
      <c r="BV21" s="28" t="s">
        <v>1204</v>
      </c>
      <c r="BW21" t="s">
        <v>2022</v>
      </c>
      <c r="BX21" t="s">
        <v>2023</v>
      </c>
      <c r="BY21" s="28" t="s">
        <v>2014</v>
      </c>
      <c r="BZ21" s="28" t="s">
        <v>2015</v>
      </c>
    </row>
    <row r="22" spans="1:91" s="28" customFormat="1" ht="16.5">
      <c r="A22" s="451">
        <v>81</v>
      </c>
      <c r="B22" s="28" t="s">
        <v>1813</v>
      </c>
      <c r="C22" s="28" t="s">
        <v>1487</v>
      </c>
      <c r="D22" s="28" t="s">
        <v>1814</v>
      </c>
      <c r="F22" s="468" t="s">
        <v>2134</v>
      </c>
      <c r="G22" s="28" t="s">
        <v>1195</v>
      </c>
      <c r="H22" s="28" t="s">
        <v>2024</v>
      </c>
      <c r="I22" s="28" t="s">
        <v>2025</v>
      </c>
      <c r="J22" s="466">
        <v>1000</v>
      </c>
      <c r="K22" s="466">
        <v>1</v>
      </c>
      <c r="L22" s="466">
        <v>1000</v>
      </c>
      <c r="M22" s="466">
        <v>1000</v>
      </c>
      <c r="N22" s="452" t="s">
        <v>115</v>
      </c>
      <c r="O22" s="28" t="s">
        <v>1458</v>
      </c>
      <c r="P22" s="28" t="s">
        <v>1459</v>
      </c>
      <c r="Q22" s="28" t="s">
        <v>1198</v>
      </c>
      <c r="R22" s="28" t="s">
        <v>1196</v>
      </c>
      <c r="S22" s="467" t="s">
        <v>1817</v>
      </c>
      <c r="T22" s="466">
        <v>55.3</v>
      </c>
      <c r="U22" s="466">
        <v>55.3</v>
      </c>
      <c r="V22" s="466"/>
      <c r="W22" s="466"/>
      <c r="X22" s="466"/>
      <c r="Y22" s="466"/>
      <c r="Z22" s="466"/>
      <c r="AA22" s="466"/>
      <c r="AB22" s="466"/>
      <c r="AC22" s="28" t="s">
        <v>1819</v>
      </c>
      <c r="AD22" s="28" t="s">
        <v>1495</v>
      </c>
      <c r="AE22" s="28" t="s">
        <v>1495</v>
      </c>
      <c r="AF22" s="28" t="s">
        <v>2026</v>
      </c>
      <c r="AG22" s="28" t="s">
        <v>2027</v>
      </c>
      <c r="AH22" s="28" t="s">
        <v>2028</v>
      </c>
      <c r="AI22" s="28" t="s">
        <v>1208</v>
      </c>
      <c r="AJ22" s="28" t="s">
        <v>1197</v>
      </c>
      <c r="AK22" s="28" t="s">
        <v>1198</v>
      </c>
      <c r="AL22" s="28" t="s">
        <v>1198</v>
      </c>
      <c r="AM22" s="28" t="s">
        <v>1512</v>
      </c>
      <c r="AN22" s="28" t="s">
        <v>1504</v>
      </c>
      <c r="AO22" s="28" t="s">
        <v>1455</v>
      </c>
      <c r="AP22" s="28" t="s">
        <v>1199</v>
      </c>
      <c r="AQ22" s="28" t="s">
        <v>1198</v>
      </c>
      <c r="AR22" s="28" t="s">
        <v>1200</v>
      </c>
      <c r="AS22" s="28" t="s">
        <v>2029</v>
      </c>
      <c r="AT22" s="28" t="s">
        <v>1198</v>
      </c>
      <c r="AU22" s="28" t="s">
        <v>1211</v>
      </c>
      <c r="AV22" s="28" t="s">
        <v>1213</v>
      </c>
      <c r="AW22" s="163" t="s">
        <v>1472</v>
      </c>
      <c r="AX22" s="28" t="s">
        <v>1824</v>
      </c>
      <c r="AY22" s="28" t="s">
        <v>2030</v>
      </c>
      <c r="AZ22" s="28" t="s">
        <v>1464</v>
      </c>
      <c r="BA22" s="28" t="s">
        <v>1196</v>
      </c>
      <c r="BB22" s="28" t="s">
        <v>1452</v>
      </c>
      <c r="BC22" s="28" t="s">
        <v>1201</v>
      </c>
      <c r="BD22" s="28" t="s">
        <v>1202</v>
      </c>
      <c r="BE22" s="28" t="s">
        <v>2031</v>
      </c>
      <c r="BF22" s="28" t="s">
        <v>1198</v>
      </c>
      <c r="BG22" s="28" t="s">
        <v>1198</v>
      </c>
      <c r="BH22" s="28" t="s">
        <v>1198</v>
      </c>
      <c r="BI22" s="28" t="s">
        <v>1198</v>
      </c>
      <c r="BJ22" s="28" t="s">
        <v>2032</v>
      </c>
      <c r="BK22" s="28" t="s">
        <v>2033</v>
      </c>
      <c r="BL22" s="28" t="s">
        <v>1202</v>
      </c>
      <c r="BM22" s="28" t="s">
        <v>2034</v>
      </c>
      <c r="BN22" s="28" t="s">
        <v>2035</v>
      </c>
      <c r="BO22" s="28" t="s">
        <v>1520</v>
      </c>
      <c r="BP22" s="28" t="s">
        <v>1520</v>
      </c>
      <c r="BQ22" s="28" t="s">
        <v>2036</v>
      </c>
      <c r="BR22" s="28" t="s">
        <v>2037</v>
      </c>
      <c r="BS22" s="28" t="s">
        <v>1460</v>
      </c>
      <c r="BT22" s="28" t="s">
        <v>2038</v>
      </c>
      <c r="BU22" s="28" t="s">
        <v>1203</v>
      </c>
      <c r="BV22" s="28" t="s">
        <v>1204</v>
      </c>
      <c r="BW22" t="s">
        <v>2039</v>
      </c>
      <c r="BX22" t="s">
        <v>2040</v>
      </c>
      <c r="BY22" s="28" t="s">
        <v>2041</v>
      </c>
      <c r="BZ22" s="28" t="s">
        <v>2042</v>
      </c>
    </row>
    <row r="23" spans="1:91" s="28" customFormat="1" ht="16.5">
      <c r="A23" s="451"/>
      <c r="F23" s="468" t="s">
        <v>2134</v>
      </c>
      <c r="J23" s="466"/>
      <c r="K23" s="466"/>
      <c r="L23" s="466"/>
      <c r="M23" s="466"/>
      <c r="N23" s="452"/>
      <c r="S23" s="467"/>
      <c r="T23" s="466"/>
      <c r="U23" s="466"/>
      <c r="V23" s="466"/>
      <c r="W23" s="466"/>
      <c r="X23" s="466"/>
      <c r="Y23" s="466"/>
      <c r="Z23" s="466"/>
      <c r="AA23" s="466"/>
      <c r="AB23" s="466"/>
      <c r="AW23" s="163"/>
      <c r="BW23"/>
      <c r="BX23"/>
    </row>
    <row r="24" spans="1:91" s="28" customFormat="1" ht="16.5">
      <c r="A24" s="451">
        <v>154</v>
      </c>
      <c r="B24" s="28" t="s">
        <v>1813</v>
      </c>
      <c r="C24" s="28" t="s">
        <v>1212</v>
      </c>
      <c r="D24" s="28" t="s">
        <v>1814</v>
      </c>
      <c r="F24" s="468" t="s">
        <v>2134</v>
      </c>
      <c r="G24" s="28" t="s">
        <v>1195</v>
      </c>
      <c r="H24" s="28" t="s">
        <v>2043</v>
      </c>
      <c r="I24" s="28" t="s">
        <v>2044</v>
      </c>
      <c r="J24" s="466">
        <v>25</v>
      </c>
      <c r="K24" s="466">
        <v>4</v>
      </c>
      <c r="L24" s="466">
        <v>100</v>
      </c>
      <c r="M24" s="466">
        <v>25</v>
      </c>
      <c r="N24" s="452" t="s">
        <v>1397</v>
      </c>
      <c r="O24" s="28" t="s">
        <v>1458</v>
      </c>
      <c r="P24" s="28" t="s">
        <v>1459</v>
      </c>
      <c r="Q24" s="28" t="s">
        <v>1198</v>
      </c>
      <c r="R24" s="28" t="s">
        <v>1196</v>
      </c>
      <c r="S24" s="467" t="s">
        <v>1817</v>
      </c>
      <c r="T24" s="466">
        <v>8.75</v>
      </c>
      <c r="U24" s="466">
        <v>8.75</v>
      </c>
      <c r="V24" s="466"/>
      <c r="W24" s="466"/>
      <c r="X24" s="466"/>
      <c r="Y24" s="466"/>
      <c r="Z24" s="466"/>
      <c r="AA24" s="466"/>
      <c r="AB24" s="466"/>
      <c r="AC24" s="28" t="s">
        <v>1819</v>
      </c>
      <c r="AD24" s="28" t="s">
        <v>1495</v>
      </c>
      <c r="AE24" s="28" t="s">
        <v>1495</v>
      </c>
      <c r="AF24" s="28" t="s">
        <v>2045</v>
      </c>
      <c r="AG24" s="28" t="s">
        <v>2046</v>
      </c>
      <c r="AH24" s="28" t="s">
        <v>1851</v>
      </c>
      <c r="AI24" s="28" t="s">
        <v>1208</v>
      </c>
      <c r="AJ24" s="28" t="s">
        <v>1197</v>
      </c>
      <c r="AK24" s="28" t="s">
        <v>1198</v>
      </c>
      <c r="AL24" s="28" t="s">
        <v>1198</v>
      </c>
      <c r="AM24" s="28" t="s">
        <v>1512</v>
      </c>
      <c r="AN24" s="28" t="s">
        <v>1504</v>
      </c>
      <c r="AO24" s="28" t="s">
        <v>1476</v>
      </c>
      <c r="AP24" s="28" t="s">
        <v>1199</v>
      </c>
      <c r="AQ24" s="28" t="s">
        <v>1198</v>
      </c>
      <c r="AR24" s="28" t="s">
        <v>1200</v>
      </c>
      <c r="AS24" s="28" t="s">
        <v>2047</v>
      </c>
      <c r="AT24" s="28" t="s">
        <v>1198</v>
      </c>
      <c r="AU24" s="28" t="s">
        <v>1211</v>
      </c>
      <c r="AV24" s="28" t="s">
        <v>1213</v>
      </c>
      <c r="AW24" s="163" t="s">
        <v>1530</v>
      </c>
      <c r="AX24" s="28" t="s">
        <v>1824</v>
      </c>
      <c r="AY24" s="28" t="s">
        <v>2048</v>
      </c>
      <c r="AZ24" s="28" t="s">
        <v>1464</v>
      </c>
      <c r="BA24" s="28" t="s">
        <v>1196</v>
      </c>
      <c r="BB24" s="28" t="s">
        <v>2049</v>
      </c>
      <c r="BC24" s="28" t="s">
        <v>1201</v>
      </c>
      <c r="BD24" s="28" t="s">
        <v>1202</v>
      </c>
      <c r="BE24" s="28" t="s">
        <v>2050</v>
      </c>
      <c r="BF24" s="28" t="s">
        <v>1198</v>
      </c>
      <c r="BG24" s="28" t="s">
        <v>1198</v>
      </c>
      <c r="BH24" s="28" t="s">
        <v>1198</v>
      </c>
      <c r="BI24" s="28" t="s">
        <v>1198</v>
      </c>
      <c r="BJ24" s="28" t="s">
        <v>2051</v>
      </c>
      <c r="BK24" s="28" t="s">
        <v>1198</v>
      </c>
      <c r="BL24" s="28" t="s">
        <v>1202</v>
      </c>
      <c r="BM24" s="28" t="s">
        <v>2052</v>
      </c>
      <c r="BN24" s="28" t="s">
        <v>2053</v>
      </c>
      <c r="BO24" s="28" t="s">
        <v>1217</v>
      </c>
      <c r="BP24" s="28" t="s">
        <v>1217</v>
      </c>
      <c r="BQ24" s="28" t="s">
        <v>2054</v>
      </c>
      <c r="BR24" s="28" t="s">
        <v>1473</v>
      </c>
      <c r="BS24" s="28" t="s">
        <v>1473</v>
      </c>
      <c r="BT24" s="28" t="s">
        <v>1205</v>
      </c>
      <c r="BU24" s="28" t="s">
        <v>1203</v>
      </c>
      <c r="BV24" s="28" t="s">
        <v>1204</v>
      </c>
      <c r="BW24" t="s">
        <v>2055</v>
      </c>
      <c r="BX24" t="s">
        <v>2056</v>
      </c>
      <c r="BY24" s="28" t="s">
        <v>2057</v>
      </c>
      <c r="BZ24" s="28" t="s">
        <v>2058</v>
      </c>
    </row>
    <row r="25" spans="1:91" s="28" customFormat="1" ht="16.5">
      <c r="A25" s="451">
        <v>154</v>
      </c>
      <c r="B25" s="28" t="s">
        <v>1813</v>
      </c>
      <c r="C25" s="28" t="s">
        <v>1212</v>
      </c>
      <c r="D25" s="28" t="s">
        <v>1814</v>
      </c>
      <c r="F25" s="468" t="s">
        <v>2134</v>
      </c>
      <c r="G25" s="28" t="s">
        <v>1195</v>
      </c>
      <c r="H25" s="28" t="s">
        <v>2043</v>
      </c>
      <c r="I25" s="28" t="s">
        <v>2044</v>
      </c>
      <c r="J25" s="466">
        <v>25</v>
      </c>
      <c r="K25" s="466">
        <v>4</v>
      </c>
      <c r="L25" s="466">
        <v>100</v>
      </c>
      <c r="M25" s="466">
        <v>25</v>
      </c>
      <c r="N25" s="452" t="s">
        <v>1397</v>
      </c>
      <c r="O25" s="28" t="s">
        <v>1458</v>
      </c>
      <c r="P25" s="28" t="s">
        <v>1459</v>
      </c>
      <c r="Q25" s="28" t="s">
        <v>1198</v>
      </c>
      <c r="R25" s="28" t="s">
        <v>1196</v>
      </c>
      <c r="S25" s="467" t="s">
        <v>1817</v>
      </c>
      <c r="T25" s="466">
        <v>8.75</v>
      </c>
      <c r="U25" s="466">
        <v>8.75</v>
      </c>
      <c r="V25" s="466"/>
      <c r="W25" s="466"/>
      <c r="X25" s="466"/>
      <c r="Y25" s="466"/>
      <c r="Z25" s="466"/>
      <c r="AA25" s="466"/>
      <c r="AB25" s="466"/>
      <c r="AC25" s="28" t="s">
        <v>1819</v>
      </c>
      <c r="AD25" s="28" t="s">
        <v>1495</v>
      </c>
      <c r="AE25" s="28" t="s">
        <v>1495</v>
      </c>
      <c r="AF25" s="28" t="s">
        <v>2045</v>
      </c>
      <c r="AG25" s="28" t="s">
        <v>2046</v>
      </c>
      <c r="AH25" s="28" t="s">
        <v>1851</v>
      </c>
      <c r="AI25" s="28" t="s">
        <v>1208</v>
      </c>
      <c r="AJ25" s="28" t="s">
        <v>1197</v>
      </c>
      <c r="AK25" s="28" t="s">
        <v>1198</v>
      </c>
      <c r="AL25" s="28" t="s">
        <v>1198</v>
      </c>
      <c r="AM25" s="28" t="s">
        <v>1512</v>
      </c>
      <c r="AN25" s="28" t="s">
        <v>1504</v>
      </c>
      <c r="AO25" s="28" t="s">
        <v>1476</v>
      </c>
      <c r="AP25" s="28" t="s">
        <v>1199</v>
      </c>
      <c r="AQ25" s="28" t="s">
        <v>1198</v>
      </c>
      <c r="AR25" s="28" t="s">
        <v>1200</v>
      </c>
      <c r="AS25" s="28" t="s">
        <v>2047</v>
      </c>
      <c r="AT25" s="28" t="s">
        <v>1198</v>
      </c>
      <c r="AU25" s="28" t="s">
        <v>1211</v>
      </c>
      <c r="AV25" s="28" t="s">
        <v>1213</v>
      </c>
      <c r="AW25" s="163" t="s">
        <v>1530</v>
      </c>
      <c r="AX25" s="28" t="s">
        <v>1824</v>
      </c>
      <c r="AY25" s="28" t="s">
        <v>2048</v>
      </c>
      <c r="AZ25" s="28" t="s">
        <v>1464</v>
      </c>
      <c r="BA25" s="28" t="s">
        <v>1196</v>
      </c>
      <c r="BB25" s="28" t="s">
        <v>2049</v>
      </c>
      <c r="BC25" s="28" t="s">
        <v>1201</v>
      </c>
      <c r="BD25" s="28" t="s">
        <v>1202</v>
      </c>
      <c r="BE25" s="28" t="s">
        <v>2050</v>
      </c>
      <c r="BF25" s="28" t="s">
        <v>1198</v>
      </c>
      <c r="BG25" s="28" t="s">
        <v>1198</v>
      </c>
      <c r="BH25" s="28" t="s">
        <v>1198</v>
      </c>
      <c r="BI25" s="28" t="s">
        <v>1198</v>
      </c>
      <c r="BJ25" s="28" t="s">
        <v>2051</v>
      </c>
      <c r="BK25" s="28" t="s">
        <v>1198</v>
      </c>
      <c r="BL25" s="28" t="s">
        <v>1202</v>
      </c>
      <c r="BM25" s="28" t="s">
        <v>2052</v>
      </c>
      <c r="BN25" s="28" t="s">
        <v>2053</v>
      </c>
      <c r="BO25" s="28" t="s">
        <v>1217</v>
      </c>
      <c r="BP25" s="28" t="s">
        <v>1217</v>
      </c>
      <c r="BQ25" s="28" t="s">
        <v>2054</v>
      </c>
      <c r="BR25" s="28" t="s">
        <v>1473</v>
      </c>
      <c r="BS25" s="28" t="s">
        <v>1473</v>
      </c>
      <c r="BT25" s="28" t="s">
        <v>1205</v>
      </c>
      <c r="BU25" s="28" t="s">
        <v>1203</v>
      </c>
      <c r="BV25" s="28" t="s">
        <v>1204</v>
      </c>
      <c r="BW25" t="s">
        <v>2059</v>
      </c>
      <c r="BX25" t="s">
        <v>2060</v>
      </c>
      <c r="BY25" s="28" t="s">
        <v>2057</v>
      </c>
      <c r="BZ25" s="28" t="s">
        <v>2058</v>
      </c>
    </row>
    <row r="26" spans="1:91" s="28" customFormat="1" ht="16.5">
      <c r="A26" s="451">
        <v>154</v>
      </c>
      <c r="B26" s="28" t="s">
        <v>1813</v>
      </c>
      <c r="C26" s="28" t="s">
        <v>1212</v>
      </c>
      <c r="D26" s="28" t="s">
        <v>1814</v>
      </c>
      <c r="F26" s="468" t="s">
        <v>2134</v>
      </c>
      <c r="G26" s="28" t="s">
        <v>1195</v>
      </c>
      <c r="H26" s="28" t="s">
        <v>2043</v>
      </c>
      <c r="I26" s="28" t="s">
        <v>2044</v>
      </c>
      <c r="J26" s="466">
        <v>25</v>
      </c>
      <c r="K26" s="466">
        <v>4</v>
      </c>
      <c r="L26" s="466">
        <v>100</v>
      </c>
      <c r="M26" s="466">
        <v>25</v>
      </c>
      <c r="N26" s="452" t="s">
        <v>1397</v>
      </c>
      <c r="O26" s="28" t="s">
        <v>1458</v>
      </c>
      <c r="P26" s="28" t="s">
        <v>1459</v>
      </c>
      <c r="Q26" s="28" t="s">
        <v>1198</v>
      </c>
      <c r="R26" s="28" t="s">
        <v>1196</v>
      </c>
      <c r="S26" s="467" t="s">
        <v>1817</v>
      </c>
      <c r="T26" s="466">
        <v>8.75</v>
      </c>
      <c r="U26" s="466">
        <v>8.75</v>
      </c>
      <c r="V26" s="466"/>
      <c r="W26" s="466"/>
      <c r="X26" s="466"/>
      <c r="Y26" s="466"/>
      <c r="Z26" s="466"/>
      <c r="AA26" s="466"/>
      <c r="AB26" s="466"/>
      <c r="AC26" s="28" t="s">
        <v>1819</v>
      </c>
      <c r="AD26" s="28" t="s">
        <v>1495</v>
      </c>
      <c r="AE26" s="28" t="s">
        <v>1495</v>
      </c>
      <c r="AF26" s="28" t="s">
        <v>2045</v>
      </c>
      <c r="AG26" s="28" t="s">
        <v>2046</v>
      </c>
      <c r="AH26" s="28" t="s">
        <v>1851</v>
      </c>
      <c r="AI26" s="28" t="s">
        <v>1208</v>
      </c>
      <c r="AJ26" s="28" t="s">
        <v>1197</v>
      </c>
      <c r="AK26" s="28" t="s">
        <v>1198</v>
      </c>
      <c r="AL26" s="28" t="s">
        <v>1198</v>
      </c>
      <c r="AM26" s="28" t="s">
        <v>1512</v>
      </c>
      <c r="AN26" s="28" t="s">
        <v>1504</v>
      </c>
      <c r="AO26" s="28" t="s">
        <v>1476</v>
      </c>
      <c r="AP26" s="28" t="s">
        <v>1199</v>
      </c>
      <c r="AQ26" s="28" t="s">
        <v>1198</v>
      </c>
      <c r="AR26" s="28" t="s">
        <v>1200</v>
      </c>
      <c r="AS26" s="28" t="s">
        <v>2047</v>
      </c>
      <c r="AT26" s="28" t="s">
        <v>1198</v>
      </c>
      <c r="AU26" s="28" t="s">
        <v>1211</v>
      </c>
      <c r="AV26" s="28" t="s">
        <v>1213</v>
      </c>
      <c r="AW26" s="163" t="s">
        <v>1530</v>
      </c>
      <c r="AX26" s="28" t="s">
        <v>1824</v>
      </c>
      <c r="AY26" s="28" t="s">
        <v>2048</v>
      </c>
      <c r="AZ26" s="28" t="s">
        <v>1464</v>
      </c>
      <c r="BA26" s="28" t="s">
        <v>1196</v>
      </c>
      <c r="BB26" s="28" t="s">
        <v>2049</v>
      </c>
      <c r="BC26" s="28" t="s">
        <v>1201</v>
      </c>
      <c r="BD26" s="28" t="s">
        <v>1202</v>
      </c>
      <c r="BE26" s="28" t="s">
        <v>2050</v>
      </c>
      <c r="BF26" s="28" t="s">
        <v>1198</v>
      </c>
      <c r="BG26" s="28" t="s">
        <v>1198</v>
      </c>
      <c r="BH26" s="28" t="s">
        <v>1198</v>
      </c>
      <c r="BI26" s="28" t="s">
        <v>1198</v>
      </c>
      <c r="BJ26" s="28" t="s">
        <v>2051</v>
      </c>
      <c r="BK26" s="28" t="s">
        <v>1198</v>
      </c>
      <c r="BL26" s="28" t="s">
        <v>1202</v>
      </c>
      <c r="BM26" s="28" t="s">
        <v>2052</v>
      </c>
      <c r="BN26" s="28" t="s">
        <v>2053</v>
      </c>
      <c r="BO26" s="28" t="s">
        <v>1217</v>
      </c>
      <c r="BP26" s="28" t="s">
        <v>1217</v>
      </c>
      <c r="BQ26" s="28" t="s">
        <v>2054</v>
      </c>
      <c r="BR26" s="28" t="s">
        <v>1473</v>
      </c>
      <c r="BS26" s="28" t="s">
        <v>1473</v>
      </c>
      <c r="BT26" s="28" t="s">
        <v>1205</v>
      </c>
      <c r="BU26" s="28" t="s">
        <v>1203</v>
      </c>
      <c r="BV26" s="28" t="s">
        <v>1204</v>
      </c>
      <c r="BW26" t="s">
        <v>2061</v>
      </c>
      <c r="BX26" t="s">
        <v>2062</v>
      </c>
      <c r="BY26" s="28" t="s">
        <v>2057</v>
      </c>
      <c r="BZ26" s="28" t="s">
        <v>2058</v>
      </c>
    </row>
    <row r="27" spans="1:91" s="28" customFormat="1" ht="16.5">
      <c r="A27" s="451">
        <v>154</v>
      </c>
      <c r="B27" s="28" t="s">
        <v>1813</v>
      </c>
      <c r="C27" s="28" t="s">
        <v>1212</v>
      </c>
      <c r="D27" s="28" t="s">
        <v>1814</v>
      </c>
      <c r="F27" s="468" t="s">
        <v>2134</v>
      </c>
      <c r="G27" s="28" t="s">
        <v>1195</v>
      </c>
      <c r="H27" s="28" t="s">
        <v>2043</v>
      </c>
      <c r="I27" s="28" t="s">
        <v>2044</v>
      </c>
      <c r="J27" s="466">
        <v>25</v>
      </c>
      <c r="K27" s="466">
        <v>4</v>
      </c>
      <c r="L27" s="466">
        <v>100</v>
      </c>
      <c r="M27" s="466">
        <v>25</v>
      </c>
      <c r="N27" s="452" t="s">
        <v>1397</v>
      </c>
      <c r="O27" s="28" t="s">
        <v>1458</v>
      </c>
      <c r="P27" s="28" t="s">
        <v>1459</v>
      </c>
      <c r="Q27" s="28" t="s">
        <v>1198</v>
      </c>
      <c r="R27" s="28" t="s">
        <v>1196</v>
      </c>
      <c r="S27" s="467" t="s">
        <v>1817</v>
      </c>
      <c r="T27" s="466">
        <v>8.75</v>
      </c>
      <c r="U27" s="466">
        <v>8.75</v>
      </c>
      <c r="V27" s="466"/>
      <c r="W27" s="466"/>
      <c r="X27" s="466"/>
      <c r="Y27" s="466"/>
      <c r="Z27" s="466"/>
      <c r="AA27" s="466"/>
      <c r="AB27" s="466"/>
      <c r="AC27" s="28" t="s">
        <v>1819</v>
      </c>
      <c r="AD27" s="28" t="s">
        <v>1495</v>
      </c>
      <c r="AE27" s="28" t="s">
        <v>1495</v>
      </c>
      <c r="AF27" s="28" t="s">
        <v>2045</v>
      </c>
      <c r="AG27" s="28" t="s">
        <v>2046</v>
      </c>
      <c r="AH27" s="28" t="s">
        <v>1851</v>
      </c>
      <c r="AI27" s="28" t="s">
        <v>1208</v>
      </c>
      <c r="AJ27" s="28" t="s">
        <v>1197</v>
      </c>
      <c r="AK27" s="28" t="s">
        <v>1198</v>
      </c>
      <c r="AL27" s="28" t="s">
        <v>1198</v>
      </c>
      <c r="AM27" s="28" t="s">
        <v>1512</v>
      </c>
      <c r="AN27" s="28" t="s">
        <v>1504</v>
      </c>
      <c r="AO27" s="28" t="s">
        <v>1476</v>
      </c>
      <c r="AP27" s="28" t="s">
        <v>1199</v>
      </c>
      <c r="AQ27" s="28" t="s">
        <v>1198</v>
      </c>
      <c r="AR27" s="28" t="s">
        <v>1200</v>
      </c>
      <c r="AS27" s="28" t="s">
        <v>2047</v>
      </c>
      <c r="AT27" s="28" t="s">
        <v>1198</v>
      </c>
      <c r="AU27" s="28" t="s">
        <v>1211</v>
      </c>
      <c r="AV27" s="28" t="s">
        <v>1213</v>
      </c>
      <c r="AW27" s="163" t="s">
        <v>1530</v>
      </c>
      <c r="AX27" s="28" t="s">
        <v>1824</v>
      </c>
      <c r="AY27" s="28" t="s">
        <v>2048</v>
      </c>
      <c r="AZ27" s="28" t="s">
        <v>1464</v>
      </c>
      <c r="BA27" s="28" t="s">
        <v>1196</v>
      </c>
      <c r="BB27" s="28" t="s">
        <v>2049</v>
      </c>
      <c r="BC27" s="28" t="s">
        <v>1201</v>
      </c>
      <c r="BD27" s="28" t="s">
        <v>1202</v>
      </c>
      <c r="BE27" s="28" t="s">
        <v>2050</v>
      </c>
      <c r="BF27" s="28" t="s">
        <v>1198</v>
      </c>
      <c r="BG27" s="28" t="s">
        <v>1198</v>
      </c>
      <c r="BH27" s="28" t="s">
        <v>1198</v>
      </c>
      <c r="BI27" s="28" t="s">
        <v>1198</v>
      </c>
      <c r="BJ27" s="28" t="s">
        <v>2051</v>
      </c>
      <c r="BK27" s="28" t="s">
        <v>1198</v>
      </c>
      <c r="BL27" s="28" t="s">
        <v>1202</v>
      </c>
      <c r="BM27" s="28" t="s">
        <v>2052</v>
      </c>
      <c r="BN27" s="28" t="s">
        <v>2053</v>
      </c>
      <c r="BO27" s="28" t="s">
        <v>1217</v>
      </c>
      <c r="BP27" s="28" t="s">
        <v>1217</v>
      </c>
      <c r="BQ27" s="28" t="s">
        <v>2054</v>
      </c>
      <c r="BR27" s="28" t="s">
        <v>1473</v>
      </c>
      <c r="BS27" s="28" t="s">
        <v>1473</v>
      </c>
      <c r="BT27" s="28" t="s">
        <v>1205</v>
      </c>
      <c r="BU27" s="28" t="s">
        <v>1203</v>
      </c>
      <c r="BV27" s="28" t="s">
        <v>1204</v>
      </c>
      <c r="BW27" t="s">
        <v>2063</v>
      </c>
      <c r="BX27" t="s">
        <v>2064</v>
      </c>
      <c r="BY27" s="28" t="s">
        <v>2057</v>
      </c>
      <c r="BZ27" s="28" t="s">
        <v>2058</v>
      </c>
    </row>
    <row r="28" spans="1:91" s="28" customFormat="1" ht="16.5">
      <c r="A28" s="451">
        <v>154</v>
      </c>
      <c r="B28" s="28" t="s">
        <v>1813</v>
      </c>
      <c r="C28" s="28" t="s">
        <v>1212</v>
      </c>
      <c r="D28" s="28" t="s">
        <v>1814</v>
      </c>
      <c r="F28" s="468" t="s">
        <v>2134</v>
      </c>
      <c r="G28" s="28" t="s">
        <v>1195</v>
      </c>
      <c r="H28" s="28" t="s">
        <v>2065</v>
      </c>
      <c r="I28" s="28" t="s">
        <v>2066</v>
      </c>
      <c r="J28" s="466">
        <v>5</v>
      </c>
      <c r="K28" s="466">
        <v>1</v>
      </c>
      <c r="L28" s="466">
        <v>1</v>
      </c>
      <c r="M28" s="466">
        <v>5</v>
      </c>
      <c r="N28" s="452" t="s">
        <v>1397</v>
      </c>
      <c r="O28" s="28" t="s">
        <v>1458</v>
      </c>
      <c r="P28" s="28" t="s">
        <v>1459</v>
      </c>
      <c r="Q28" s="28" t="s">
        <v>1198</v>
      </c>
      <c r="R28" s="28" t="s">
        <v>1196</v>
      </c>
      <c r="S28" s="467" t="s">
        <v>1817</v>
      </c>
      <c r="T28" s="466">
        <v>30.1</v>
      </c>
      <c r="U28" s="466">
        <v>30.1</v>
      </c>
      <c r="V28" s="466"/>
      <c r="W28" s="466"/>
      <c r="X28" s="466"/>
      <c r="Y28" s="466"/>
      <c r="Z28" s="466"/>
      <c r="AA28" s="466"/>
      <c r="AB28" s="466"/>
      <c r="AC28" s="28" t="s">
        <v>1819</v>
      </c>
      <c r="AD28" s="28" t="s">
        <v>1495</v>
      </c>
      <c r="AE28" s="28" t="s">
        <v>1495</v>
      </c>
      <c r="AF28" s="28" t="s">
        <v>2067</v>
      </c>
      <c r="AG28" s="28" t="s">
        <v>2068</v>
      </c>
      <c r="AH28" s="28" t="s">
        <v>2069</v>
      </c>
      <c r="AI28" s="28" t="s">
        <v>1208</v>
      </c>
      <c r="AJ28" s="28" t="s">
        <v>1197</v>
      </c>
      <c r="AK28" s="28" t="s">
        <v>1198</v>
      </c>
      <c r="AL28" s="28" t="s">
        <v>1198</v>
      </c>
      <c r="AM28" s="28" t="s">
        <v>1485</v>
      </c>
      <c r="AN28" s="28" t="s">
        <v>1463</v>
      </c>
      <c r="AO28" s="28" t="s">
        <v>1226</v>
      </c>
      <c r="AP28" s="28" t="s">
        <v>1199</v>
      </c>
      <c r="AQ28" s="28" t="s">
        <v>1198</v>
      </c>
      <c r="AR28" s="28" t="s">
        <v>1200</v>
      </c>
      <c r="AS28" s="28" t="s">
        <v>2070</v>
      </c>
      <c r="AT28" s="28" t="s">
        <v>1198</v>
      </c>
      <c r="AU28" s="28" t="s">
        <v>1211</v>
      </c>
      <c r="AV28" s="28" t="s">
        <v>1213</v>
      </c>
      <c r="AW28" s="163" t="s">
        <v>1472</v>
      </c>
      <c r="AX28" s="28" t="s">
        <v>1824</v>
      </c>
      <c r="AY28" s="28" t="s">
        <v>2071</v>
      </c>
      <c r="AZ28" s="28" t="s">
        <v>1464</v>
      </c>
      <c r="BA28" s="28" t="s">
        <v>1196</v>
      </c>
      <c r="BB28" s="28" t="s">
        <v>1456</v>
      </c>
      <c r="BC28" s="28" t="s">
        <v>1201</v>
      </c>
      <c r="BD28" s="28" t="s">
        <v>1202</v>
      </c>
      <c r="BE28" s="28" t="s">
        <v>2072</v>
      </c>
      <c r="BF28" s="28" t="s">
        <v>1198</v>
      </c>
      <c r="BG28" s="28" t="s">
        <v>1198</v>
      </c>
      <c r="BH28" s="28" t="s">
        <v>1198</v>
      </c>
      <c r="BI28" s="28" t="s">
        <v>1198</v>
      </c>
      <c r="BJ28" s="28" t="s">
        <v>2073</v>
      </c>
      <c r="BK28" s="28" t="s">
        <v>1198</v>
      </c>
      <c r="BL28" s="28" t="s">
        <v>1202</v>
      </c>
      <c r="BM28" s="28" t="s">
        <v>2074</v>
      </c>
      <c r="BN28" s="28" t="s">
        <v>2075</v>
      </c>
      <c r="BO28" s="28" t="s">
        <v>1493</v>
      </c>
      <c r="BP28" s="28" t="s">
        <v>1493</v>
      </c>
      <c r="BQ28" s="28" t="s">
        <v>2076</v>
      </c>
      <c r="BR28" s="28" t="s">
        <v>1513</v>
      </c>
      <c r="BS28" s="28" t="s">
        <v>1198</v>
      </c>
      <c r="BT28" s="28" t="s">
        <v>1205</v>
      </c>
      <c r="BU28" s="28" t="s">
        <v>1203</v>
      </c>
      <c r="BV28" s="28" t="s">
        <v>1204</v>
      </c>
      <c r="BW28" t="s">
        <v>2077</v>
      </c>
      <c r="BX28" t="s">
        <v>2078</v>
      </c>
      <c r="BY28" s="28" t="s">
        <v>2079</v>
      </c>
      <c r="BZ28" s="28" t="s">
        <v>2080</v>
      </c>
    </row>
    <row r="29" spans="1:91" s="469" customFormat="1" ht="16.5">
      <c r="A29" s="451">
        <v>154</v>
      </c>
      <c r="B29" s="28" t="s">
        <v>2081</v>
      </c>
      <c r="C29" s="28" t="s">
        <v>1212</v>
      </c>
      <c r="D29" s="28" t="s">
        <v>1814</v>
      </c>
      <c r="E29" s="28"/>
      <c r="F29" s="468" t="s">
        <v>2134</v>
      </c>
      <c r="G29" s="28" t="s">
        <v>1195</v>
      </c>
      <c r="H29" s="28" t="s">
        <v>2043</v>
      </c>
      <c r="I29" s="28" t="s">
        <v>2044</v>
      </c>
      <c r="J29" s="466">
        <v>100</v>
      </c>
      <c r="K29" s="466">
        <v>1</v>
      </c>
      <c r="L29" s="466">
        <v>100</v>
      </c>
      <c r="M29" s="466">
        <v>100</v>
      </c>
      <c r="N29" s="452" t="s">
        <v>1397</v>
      </c>
      <c r="O29" s="28" t="s">
        <v>1458</v>
      </c>
      <c r="P29" s="28" t="s">
        <v>1459</v>
      </c>
      <c r="Q29" s="28" t="s">
        <v>1198</v>
      </c>
      <c r="R29" s="28" t="s">
        <v>1196</v>
      </c>
      <c r="S29" s="467" t="s">
        <v>1817</v>
      </c>
      <c r="T29" s="466">
        <v>35</v>
      </c>
      <c r="U29" s="466">
        <v>35</v>
      </c>
      <c r="V29" s="466"/>
      <c r="W29" s="466"/>
      <c r="X29" s="466"/>
      <c r="Y29" s="466"/>
      <c r="Z29" s="466"/>
      <c r="AA29" s="466"/>
      <c r="AB29" s="466"/>
      <c r="AC29" s="28" t="s">
        <v>2082</v>
      </c>
      <c r="AD29" s="28" t="s">
        <v>1495</v>
      </c>
      <c r="AE29" s="28" t="s">
        <v>1495</v>
      </c>
      <c r="AF29" s="28" t="s">
        <v>2045</v>
      </c>
      <c r="AG29" s="28" t="s">
        <v>2046</v>
      </c>
      <c r="AH29" s="28" t="s">
        <v>1851</v>
      </c>
      <c r="AI29" s="28" t="s">
        <v>1208</v>
      </c>
      <c r="AJ29" s="28" t="s">
        <v>1197</v>
      </c>
      <c r="AK29" s="28" t="s">
        <v>1198</v>
      </c>
      <c r="AL29" s="28" t="s">
        <v>1198</v>
      </c>
      <c r="AM29" s="28" t="s">
        <v>1512</v>
      </c>
      <c r="AN29" s="28" t="s">
        <v>1504</v>
      </c>
      <c r="AO29" s="28" t="s">
        <v>1476</v>
      </c>
      <c r="AP29" s="28" t="s">
        <v>1199</v>
      </c>
      <c r="AQ29" s="28" t="s">
        <v>1198</v>
      </c>
      <c r="AR29" s="28" t="s">
        <v>1200</v>
      </c>
      <c r="AS29" s="28" t="s">
        <v>2047</v>
      </c>
      <c r="AT29" s="28" t="s">
        <v>1198</v>
      </c>
      <c r="AU29" s="28" t="s">
        <v>1211</v>
      </c>
      <c r="AV29" s="28" t="s">
        <v>1213</v>
      </c>
      <c r="AW29" s="163" t="s">
        <v>1472</v>
      </c>
      <c r="AX29" s="28" t="s">
        <v>2083</v>
      </c>
      <c r="AY29" s="28" t="s">
        <v>2048</v>
      </c>
      <c r="AZ29" s="28" t="s">
        <v>1464</v>
      </c>
      <c r="BA29" s="28" t="s">
        <v>1196</v>
      </c>
      <c r="BB29" s="28" t="s">
        <v>2049</v>
      </c>
      <c r="BC29" s="28" t="s">
        <v>1201</v>
      </c>
      <c r="BD29" s="28" t="s">
        <v>1202</v>
      </c>
      <c r="BE29" s="28" t="s">
        <v>2050</v>
      </c>
      <c r="BF29" s="28" t="s">
        <v>1198</v>
      </c>
      <c r="BG29" s="28" t="s">
        <v>1198</v>
      </c>
      <c r="BH29" s="28" t="s">
        <v>1198</v>
      </c>
      <c r="BI29" s="28" t="s">
        <v>1198</v>
      </c>
      <c r="BJ29" s="28" t="s">
        <v>2051</v>
      </c>
      <c r="BK29" s="28" t="s">
        <v>1198</v>
      </c>
      <c r="BL29" s="28" t="s">
        <v>1202</v>
      </c>
      <c r="BM29" s="28" t="s">
        <v>2052</v>
      </c>
      <c r="BN29" s="28" t="s">
        <v>2053</v>
      </c>
      <c r="BO29" s="28" t="s">
        <v>1217</v>
      </c>
      <c r="BP29" s="28" t="s">
        <v>1217</v>
      </c>
      <c r="BQ29" s="28" t="s">
        <v>2054</v>
      </c>
      <c r="BR29" s="28" t="s">
        <v>1473</v>
      </c>
      <c r="BS29" s="28" t="s">
        <v>1473</v>
      </c>
      <c r="BT29" s="28" t="s">
        <v>1205</v>
      </c>
      <c r="BU29" s="28" t="s">
        <v>1203</v>
      </c>
      <c r="BV29" s="28" t="s">
        <v>1204</v>
      </c>
      <c r="BW29" t="s">
        <v>2084</v>
      </c>
      <c r="BX29" t="s">
        <v>2085</v>
      </c>
      <c r="BY29" s="28" t="s">
        <v>2057</v>
      </c>
      <c r="BZ29" s="28" t="s">
        <v>2058</v>
      </c>
      <c r="CA29" s="28"/>
      <c r="CB29" s="28"/>
      <c r="CC29" s="28"/>
      <c r="CD29" s="28"/>
      <c r="CE29" s="28"/>
      <c r="CF29" s="28"/>
      <c r="CG29" s="28"/>
      <c r="CH29" s="28"/>
      <c r="CI29" s="28"/>
      <c r="CJ29" s="28"/>
      <c r="CK29" s="28"/>
      <c r="CL29" s="28"/>
      <c r="CM29" s="28"/>
    </row>
    <row r="30" spans="1:91" s="28" customFormat="1" ht="16.5">
      <c r="A30" s="451">
        <v>46</v>
      </c>
      <c r="B30" s="28" t="s">
        <v>1813</v>
      </c>
      <c r="C30" s="28" t="s">
        <v>1490</v>
      </c>
      <c r="D30" s="28" t="s">
        <v>1814</v>
      </c>
      <c r="F30" s="468" t="s">
        <v>2134</v>
      </c>
      <c r="G30" s="28" t="s">
        <v>1195</v>
      </c>
      <c r="H30" s="28" t="s">
        <v>2086</v>
      </c>
      <c r="I30" s="28" t="s">
        <v>2087</v>
      </c>
      <c r="J30" s="466">
        <v>10</v>
      </c>
      <c r="K30" s="466">
        <v>1</v>
      </c>
      <c r="L30" s="466">
        <v>1</v>
      </c>
      <c r="M30" s="466">
        <v>10</v>
      </c>
      <c r="N30" s="452" t="s">
        <v>1393</v>
      </c>
      <c r="O30" s="28" t="s">
        <v>1458</v>
      </c>
      <c r="P30" s="28" t="s">
        <v>1459</v>
      </c>
      <c r="Q30" s="28" t="s">
        <v>1198</v>
      </c>
      <c r="R30" s="28" t="s">
        <v>1196</v>
      </c>
      <c r="S30" s="467" t="s">
        <v>1817</v>
      </c>
      <c r="T30" s="466">
        <v>156.80000000000001</v>
      </c>
      <c r="U30" s="466">
        <v>156.80000000000001</v>
      </c>
      <c r="V30" s="466"/>
      <c r="W30" s="466"/>
      <c r="X30" s="466"/>
      <c r="Y30" s="466"/>
      <c r="Z30" s="466"/>
      <c r="AA30" s="466"/>
      <c r="AB30" s="466"/>
      <c r="AC30" s="28" t="s">
        <v>1819</v>
      </c>
      <c r="AD30" s="28" t="s">
        <v>1495</v>
      </c>
      <c r="AE30" s="28" t="s">
        <v>1495</v>
      </c>
      <c r="AF30" s="28" t="s">
        <v>2088</v>
      </c>
      <c r="AG30" s="28" t="s">
        <v>2089</v>
      </c>
      <c r="AH30" s="28" t="s">
        <v>2090</v>
      </c>
      <c r="AI30" s="28" t="s">
        <v>1449</v>
      </c>
      <c r="AJ30" s="28" t="s">
        <v>1197</v>
      </c>
      <c r="AK30" s="28" t="s">
        <v>1198</v>
      </c>
      <c r="AL30" s="28" t="s">
        <v>1198</v>
      </c>
      <c r="AM30" s="28" t="s">
        <v>1215</v>
      </c>
      <c r="AN30" s="28" t="s">
        <v>1216</v>
      </c>
      <c r="AO30" s="28" t="s">
        <v>1505</v>
      </c>
      <c r="AP30" s="28" t="s">
        <v>1199</v>
      </c>
      <c r="AQ30" s="28" t="s">
        <v>1198</v>
      </c>
      <c r="AR30" s="28" t="s">
        <v>1200</v>
      </c>
      <c r="AS30" s="28" t="s">
        <v>2091</v>
      </c>
      <c r="AT30" s="28" t="s">
        <v>1198</v>
      </c>
      <c r="AU30" s="28" t="s">
        <v>1211</v>
      </c>
      <c r="AV30" s="28" t="s">
        <v>1213</v>
      </c>
      <c r="AW30" s="163" t="s">
        <v>1472</v>
      </c>
      <c r="AX30" s="28" t="s">
        <v>1824</v>
      </c>
      <c r="AY30" s="28" t="s">
        <v>2092</v>
      </c>
      <c r="AZ30" s="28" t="s">
        <v>1464</v>
      </c>
      <c r="BA30" s="28" t="s">
        <v>1196</v>
      </c>
      <c r="BB30" s="28" t="s">
        <v>1456</v>
      </c>
      <c r="BC30" s="28" t="s">
        <v>1201</v>
      </c>
      <c r="BD30" s="28" t="s">
        <v>1202</v>
      </c>
      <c r="BE30" s="28" t="s">
        <v>2093</v>
      </c>
      <c r="BF30" s="28" t="s">
        <v>1198</v>
      </c>
      <c r="BG30" s="28" t="s">
        <v>1198</v>
      </c>
      <c r="BH30" s="28" t="s">
        <v>1198</v>
      </c>
      <c r="BI30" s="28" t="s">
        <v>1198</v>
      </c>
      <c r="BJ30" s="28" t="s">
        <v>2094</v>
      </c>
      <c r="BK30" s="28" t="s">
        <v>1198</v>
      </c>
      <c r="BL30" s="28" t="s">
        <v>1195</v>
      </c>
      <c r="BM30" s="28" t="s">
        <v>1198</v>
      </c>
      <c r="BN30" s="28" t="s">
        <v>2095</v>
      </c>
      <c r="BO30" s="28" t="s">
        <v>1456</v>
      </c>
      <c r="BP30" s="28" t="s">
        <v>1456</v>
      </c>
      <c r="BQ30" s="28" t="s">
        <v>2096</v>
      </c>
      <c r="BR30" s="28" t="s">
        <v>2097</v>
      </c>
      <c r="BS30" s="28" t="s">
        <v>1481</v>
      </c>
      <c r="BT30" s="28" t="s">
        <v>1500</v>
      </c>
      <c r="BU30" s="28" t="s">
        <v>1203</v>
      </c>
      <c r="BV30" s="28" t="s">
        <v>1204</v>
      </c>
      <c r="BW30" t="s">
        <v>2098</v>
      </c>
      <c r="BX30" t="s">
        <v>2099</v>
      </c>
      <c r="BY30" s="28" t="s">
        <v>2100</v>
      </c>
      <c r="BZ30" s="28" t="s">
        <v>2101</v>
      </c>
    </row>
    <row r="31" spans="1:91" s="28" customFormat="1" ht="16.5">
      <c r="A31" s="451">
        <v>41</v>
      </c>
      <c r="B31" s="28" t="s">
        <v>1813</v>
      </c>
      <c r="C31" s="28" t="s">
        <v>1490</v>
      </c>
      <c r="D31" s="28" t="s">
        <v>1814</v>
      </c>
      <c r="F31" s="468" t="s">
        <v>2134</v>
      </c>
      <c r="G31" s="28" t="s">
        <v>1195</v>
      </c>
      <c r="H31" s="226" t="s">
        <v>2102</v>
      </c>
      <c r="I31" s="28" t="s">
        <v>2103</v>
      </c>
      <c r="J31" s="466">
        <v>100</v>
      </c>
      <c r="K31" s="466">
        <v>1</v>
      </c>
      <c r="L31" s="466">
        <v>1</v>
      </c>
      <c r="M31" s="466">
        <v>100</v>
      </c>
      <c r="N31" s="452" t="s">
        <v>115</v>
      </c>
      <c r="O31" s="28" t="s">
        <v>403</v>
      </c>
      <c r="P31" s="28" t="s">
        <v>1497</v>
      </c>
      <c r="Q31" s="28" t="s">
        <v>1198</v>
      </c>
      <c r="R31" s="28" t="s">
        <v>1196</v>
      </c>
      <c r="S31" s="467" t="s">
        <v>1817</v>
      </c>
      <c r="T31" s="466">
        <v>175</v>
      </c>
      <c r="U31" s="466">
        <v>175</v>
      </c>
      <c r="V31" s="466"/>
      <c r="W31" s="466"/>
      <c r="X31" s="466"/>
      <c r="Y31" s="466"/>
      <c r="Z31" s="466"/>
      <c r="AA31" s="466"/>
      <c r="AB31" s="466"/>
      <c r="AC31" s="28" t="s">
        <v>1819</v>
      </c>
      <c r="AD31" s="28" t="s">
        <v>1495</v>
      </c>
      <c r="AE31" s="28" t="s">
        <v>1495</v>
      </c>
      <c r="AF31" s="28" t="s">
        <v>2104</v>
      </c>
      <c r="AG31" s="28" t="s">
        <v>2105</v>
      </c>
      <c r="AH31" s="28" t="s">
        <v>2106</v>
      </c>
      <c r="AI31" s="28" t="s">
        <v>1208</v>
      </c>
      <c r="AJ31" s="28" t="s">
        <v>1197</v>
      </c>
      <c r="AK31" s="28" t="s">
        <v>1198</v>
      </c>
      <c r="AL31" s="28" t="s">
        <v>1198</v>
      </c>
      <c r="AM31" s="28" t="s">
        <v>1485</v>
      </c>
      <c r="AN31" s="28" t="s">
        <v>1486</v>
      </c>
      <c r="AO31" s="28" t="s">
        <v>1480</v>
      </c>
      <c r="AP31" s="28" t="s">
        <v>1199</v>
      </c>
      <c r="AQ31" s="28" t="s">
        <v>1198</v>
      </c>
      <c r="AR31" s="28" t="s">
        <v>1200</v>
      </c>
      <c r="AS31" s="28" t="s">
        <v>2107</v>
      </c>
      <c r="AT31" s="28" t="s">
        <v>1198</v>
      </c>
      <c r="AU31" s="28" t="s">
        <v>1211</v>
      </c>
      <c r="AV31" s="28" t="s">
        <v>1213</v>
      </c>
      <c r="AW31" s="163" t="s">
        <v>1472</v>
      </c>
      <c r="AX31" s="28" t="s">
        <v>1824</v>
      </c>
      <c r="AY31" s="28" t="s">
        <v>2108</v>
      </c>
      <c r="AZ31" s="28" t="s">
        <v>1464</v>
      </c>
      <c r="BA31" s="28" t="s">
        <v>1196</v>
      </c>
      <c r="BB31" s="28" t="s">
        <v>1217</v>
      </c>
      <c r="BC31" s="28" t="s">
        <v>1488</v>
      </c>
      <c r="BD31" s="28" t="s">
        <v>1202</v>
      </c>
      <c r="BE31" s="28" t="s">
        <v>2109</v>
      </c>
      <c r="BF31" s="28" t="s">
        <v>1198</v>
      </c>
      <c r="BG31" s="28" t="s">
        <v>1198</v>
      </c>
      <c r="BH31" s="28" t="s">
        <v>1198</v>
      </c>
      <c r="BI31" s="28" t="s">
        <v>1198</v>
      </c>
      <c r="BJ31" s="28" t="s">
        <v>2110</v>
      </c>
      <c r="BK31" s="28" t="s">
        <v>1198</v>
      </c>
      <c r="BL31" s="28" t="s">
        <v>1195</v>
      </c>
      <c r="BM31" s="28" t="s">
        <v>1198</v>
      </c>
      <c r="BN31" s="28" t="s">
        <v>2111</v>
      </c>
      <c r="BO31" s="28" t="s">
        <v>1217</v>
      </c>
      <c r="BP31" s="28" t="s">
        <v>1217</v>
      </c>
      <c r="BQ31" s="28" t="s">
        <v>2112</v>
      </c>
      <c r="BR31" s="28" t="s">
        <v>1481</v>
      </c>
      <c r="BS31" s="28" t="s">
        <v>1484</v>
      </c>
      <c r="BT31" s="28" t="s">
        <v>1205</v>
      </c>
      <c r="BU31" s="28" t="s">
        <v>1203</v>
      </c>
      <c r="BV31" s="28" t="s">
        <v>1204</v>
      </c>
      <c r="BW31" t="s">
        <v>2113</v>
      </c>
      <c r="BX31" t="s">
        <v>2114</v>
      </c>
      <c r="BY31" s="28" t="s">
        <v>2115</v>
      </c>
      <c r="BZ31" s="28" t="s">
        <v>2116</v>
      </c>
    </row>
    <row r="32" spans="1:91" s="28" customFormat="1" ht="16.5">
      <c r="A32" s="451">
        <v>41</v>
      </c>
      <c r="B32" s="28" t="s">
        <v>1813</v>
      </c>
      <c r="C32" s="28" t="s">
        <v>1490</v>
      </c>
      <c r="D32" s="28" t="s">
        <v>1814</v>
      </c>
      <c r="F32" s="468" t="s">
        <v>2134</v>
      </c>
      <c r="G32" s="28" t="s">
        <v>1195</v>
      </c>
      <c r="H32" s="28" t="s">
        <v>2117</v>
      </c>
      <c r="I32" s="28" t="s">
        <v>2118</v>
      </c>
      <c r="J32" s="466">
        <v>500</v>
      </c>
      <c r="K32" s="466">
        <v>1</v>
      </c>
      <c r="L32" s="466">
        <v>1</v>
      </c>
      <c r="M32" s="466">
        <v>500</v>
      </c>
      <c r="N32" s="452" t="s">
        <v>115</v>
      </c>
      <c r="O32" s="28" t="s">
        <v>115</v>
      </c>
      <c r="P32" s="28" t="s">
        <v>1457</v>
      </c>
      <c r="Q32" s="28" t="s">
        <v>1198</v>
      </c>
      <c r="R32" s="28" t="s">
        <v>1196</v>
      </c>
      <c r="S32" s="467" t="s">
        <v>1817</v>
      </c>
      <c r="T32" s="466">
        <v>43.4</v>
      </c>
      <c r="U32" s="466">
        <v>43.4</v>
      </c>
      <c r="V32" s="466"/>
      <c r="W32" s="466"/>
      <c r="X32" s="466"/>
      <c r="Y32" s="466"/>
      <c r="Z32" s="466"/>
      <c r="AA32" s="466"/>
      <c r="AB32" s="466"/>
      <c r="AC32" s="28" t="s">
        <v>1819</v>
      </c>
      <c r="AD32" s="28" t="s">
        <v>1495</v>
      </c>
      <c r="AE32" s="28" t="s">
        <v>1495</v>
      </c>
      <c r="AF32" s="28" t="s">
        <v>2119</v>
      </c>
      <c r="AG32" s="28" t="s">
        <v>2120</v>
      </c>
      <c r="AH32" s="28" t="s">
        <v>2121</v>
      </c>
      <c r="AI32" s="28" t="s">
        <v>1208</v>
      </c>
      <c r="AJ32" s="28" t="s">
        <v>1197</v>
      </c>
      <c r="AK32" s="28" t="s">
        <v>1198</v>
      </c>
      <c r="AL32" s="28" t="s">
        <v>1198</v>
      </c>
      <c r="AM32" s="28" t="s">
        <v>1215</v>
      </c>
      <c r="AN32" s="28" t="s">
        <v>1216</v>
      </c>
      <c r="AO32" s="28" t="s">
        <v>1453</v>
      </c>
      <c r="AP32" s="28" t="s">
        <v>1199</v>
      </c>
      <c r="AQ32" s="28" t="s">
        <v>1198</v>
      </c>
      <c r="AR32" s="28" t="s">
        <v>1200</v>
      </c>
      <c r="AS32" s="28" t="s">
        <v>2122</v>
      </c>
      <c r="AT32" s="28" t="s">
        <v>1198</v>
      </c>
      <c r="AU32" s="28" t="s">
        <v>1211</v>
      </c>
      <c r="AV32" s="28" t="s">
        <v>1213</v>
      </c>
      <c r="AW32" s="163" t="s">
        <v>1472</v>
      </c>
      <c r="AX32" s="28" t="s">
        <v>1824</v>
      </c>
      <c r="AY32" s="28" t="s">
        <v>2123</v>
      </c>
      <c r="AZ32" s="28" t="s">
        <v>1464</v>
      </c>
      <c r="BA32" s="28" t="s">
        <v>1196</v>
      </c>
      <c r="BB32" s="28" t="s">
        <v>1478</v>
      </c>
      <c r="BC32" s="28" t="s">
        <v>1201</v>
      </c>
      <c r="BD32" s="28" t="s">
        <v>1202</v>
      </c>
      <c r="BE32" s="28" t="s">
        <v>2124</v>
      </c>
      <c r="BF32" s="28" t="s">
        <v>1198</v>
      </c>
      <c r="BG32" s="28" t="s">
        <v>1198</v>
      </c>
      <c r="BH32" s="28" t="s">
        <v>1198</v>
      </c>
      <c r="BI32" s="28" t="s">
        <v>1198</v>
      </c>
      <c r="BJ32" s="28" t="s">
        <v>2125</v>
      </c>
      <c r="BK32" s="28" t="s">
        <v>2126</v>
      </c>
      <c r="BL32" s="28" t="s">
        <v>1202</v>
      </c>
      <c r="BM32" s="28" t="s">
        <v>1198</v>
      </c>
      <c r="BN32" s="28" t="s">
        <v>2127</v>
      </c>
      <c r="BO32" s="28" t="s">
        <v>1478</v>
      </c>
      <c r="BP32" s="28" t="s">
        <v>1478</v>
      </c>
      <c r="BQ32" s="28" t="s">
        <v>2128</v>
      </c>
      <c r="BR32" s="28" t="s">
        <v>1494</v>
      </c>
      <c r="BS32" s="28" t="s">
        <v>1481</v>
      </c>
      <c r="BT32" s="28" t="s">
        <v>1205</v>
      </c>
      <c r="BU32" s="28" t="s">
        <v>1203</v>
      </c>
      <c r="BV32" s="28" t="s">
        <v>1204</v>
      </c>
      <c r="BW32" t="s">
        <v>2129</v>
      </c>
      <c r="BX32" t="s">
        <v>2130</v>
      </c>
      <c r="BY32" s="28" t="s">
        <v>2131</v>
      </c>
      <c r="BZ32" s="28" t="s">
        <v>2132</v>
      </c>
    </row>
    <row r="33" spans="1:83" customFormat="1">
      <c r="A33" s="451"/>
      <c r="B33" s="451"/>
      <c r="C33" s="451"/>
      <c r="D33" s="451"/>
      <c r="E33" s="451"/>
      <c r="F33" s="451"/>
      <c r="G33" s="451"/>
      <c r="H33" s="451"/>
      <c r="I33" s="451"/>
      <c r="J33" s="451"/>
      <c r="K33" s="451"/>
      <c r="L33" s="451"/>
      <c r="M33" s="451"/>
      <c r="N33" s="452"/>
    </row>
    <row r="34" spans="1:83" customFormat="1">
      <c r="A34" s="451"/>
      <c r="B34" s="451"/>
      <c r="C34" s="451"/>
      <c r="D34" s="451"/>
      <c r="E34" s="451"/>
      <c r="F34" s="451"/>
      <c r="G34" s="451"/>
      <c r="H34" s="451"/>
      <c r="I34" s="451"/>
      <c r="J34" s="451"/>
      <c r="K34" s="451"/>
      <c r="L34" s="451"/>
      <c r="M34" s="451"/>
      <c r="N34" s="452"/>
      <c r="O34" s="464"/>
      <c r="P34" s="464"/>
      <c r="Q34" s="464"/>
      <c r="R34" s="464"/>
      <c r="S34" s="464"/>
      <c r="T34" s="464"/>
      <c r="U34" s="464"/>
      <c r="V34" s="464"/>
      <c r="W34" s="464"/>
      <c r="X34" s="464"/>
      <c r="Y34" s="464"/>
      <c r="Z34" s="464"/>
      <c r="AA34" s="464"/>
      <c r="AB34" s="464"/>
      <c r="AC34" s="464"/>
      <c r="AD34" s="464"/>
      <c r="AE34" s="464"/>
      <c r="AF34" s="464"/>
      <c r="AG34" s="464"/>
      <c r="AH34" s="464"/>
      <c r="AI34" s="464"/>
      <c r="AJ34" s="464"/>
      <c r="AK34" s="464"/>
      <c r="AL34" s="464"/>
      <c r="AM34" s="464"/>
      <c r="AN34" s="464"/>
      <c r="AO34" s="464"/>
      <c r="AP34" s="464"/>
      <c r="AQ34" s="464"/>
      <c r="AR34" s="464"/>
      <c r="AS34" s="464"/>
      <c r="AT34" s="464"/>
      <c r="AU34" s="464"/>
      <c r="AV34" s="464"/>
      <c r="AW34" s="464"/>
      <c r="AX34" s="464"/>
      <c r="AY34" s="464"/>
      <c r="AZ34" s="464"/>
      <c r="BA34" s="464"/>
      <c r="BB34" s="464"/>
      <c r="BC34" s="464"/>
      <c r="BD34" s="464"/>
      <c r="BE34" s="464"/>
      <c r="BF34" s="464"/>
      <c r="BG34" s="464"/>
      <c r="BH34" s="464"/>
      <c r="BI34" s="464"/>
      <c r="BJ34" s="464"/>
      <c r="BK34" s="464"/>
      <c r="BL34" s="464"/>
      <c r="BM34" s="464"/>
      <c r="BN34" s="464"/>
      <c r="BO34" s="464"/>
      <c r="BP34" s="464"/>
      <c r="BQ34" s="464"/>
      <c r="BR34" s="464"/>
      <c r="BS34" s="464"/>
      <c r="BT34" s="464"/>
      <c r="BU34" s="464"/>
      <c r="BV34" s="464"/>
      <c r="BW34" s="464"/>
      <c r="BX34" s="464"/>
      <c r="BY34" s="464"/>
      <c r="BZ34" s="464"/>
      <c r="CA34" s="464"/>
      <c r="CB34" s="464"/>
      <c r="CC34" s="464"/>
      <c r="CD34" s="464"/>
      <c r="CE34" s="464"/>
    </row>
    <row r="35" spans="1:83" s="465" customFormat="1">
      <c r="A35" s="451"/>
      <c r="B35" s="451"/>
      <c r="C35" s="451"/>
      <c r="D35" s="451"/>
      <c r="E35" s="451"/>
      <c r="F35" s="451"/>
      <c r="G35" s="451"/>
      <c r="H35" s="451"/>
      <c r="I35" s="451"/>
      <c r="J35" s="451"/>
      <c r="K35" s="451"/>
      <c r="L35" s="451"/>
      <c r="M35" s="451"/>
      <c r="N35" s="452"/>
      <c r="O35" s="464"/>
      <c r="P35" s="464"/>
      <c r="Q35" s="464"/>
      <c r="R35" s="464"/>
      <c r="S35" s="464"/>
      <c r="T35" s="464"/>
      <c r="U35" s="464"/>
      <c r="V35" s="464"/>
      <c r="W35" s="464"/>
      <c r="X35" s="464"/>
      <c r="Y35" s="464"/>
      <c r="Z35" s="464"/>
      <c r="AA35" s="464"/>
      <c r="AB35" s="464"/>
      <c r="AC35" s="464"/>
      <c r="AD35" s="464"/>
      <c r="AE35" s="464"/>
      <c r="AF35" s="464"/>
      <c r="AG35" s="464"/>
      <c r="AH35" s="464"/>
      <c r="AI35" s="464"/>
      <c r="AJ35" s="464"/>
      <c r="AK35" s="464"/>
      <c r="AL35" s="464"/>
      <c r="AM35" s="464"/>
      <c r="AN35" s="464"/>
      <c r="AO35" s="464"/>
      <c r="AP35" s="464"/>
      <c r="AQ35" s="464"/>
      <c r="AR35" s="464"/>
      <c r="AS35" s="464"/>
      <c r="AT35" s="464"/>
      <c r="AU35" s="464"/>
      <c r="AV35" s="464"/>
      <c r="AW35" s="464"/>
      <c r="AX35" s="464"/>
      <c r="AY35" s="464"/>
      <c r="AZ35" s="464"/>
      <c r="BA35" s="464"/>
      <c r="BB35" s="464"/>
      <c r="BC35" s="464"/>
      <c r="BD35" s="464"/>
      <c r="BE35" s="464"/>
      <c r="BF35" s="464"/>
      <c r="BG35" s="464"/>
      <c r="BH35" s="464"/>
      <c r="BI35" s="464"/>
      <c r="BJ35" s="464"/>
      <c r="BK35" s="464"/>
      <c r="BL35" s="464"/>
      <c r="BM35" s="464"/>
      <c r="BN35" s="464"/>
      <c r="BO35" s="464"/>
      <c r="BP35" s="464"/>
      <c r="BQ35" s="464"/>
      <c r="BR35" s="464"/>
      <c r="BS35" s="464"/>
      <c r="BT35" s="464"/>
      <c r="BU35" s="464"/>
      <c r="BV35" s="464"/>
      <c r="BW35" s="464"/>
      <c r="BX35" s="464"/>
      <c r="BY35" s="464"/>
      <c r="BZ35" s="464"/>
      <c r="CA35" s="464"/>
      <c r="CB35" s="464"/>
      <c r="CC35" s="464"/>
      <c r="CD35" s="464"/>
      <c r="CE35" s="464"/>
    </row>
    <row r="36" spans="1:83" s="465" customFormat="1">
      <c r="A36" s="451"/>
      <c r="B36" s="451"/>
      <c r="C36" s="451"/>
      <c r="D36" s="451"/>
      <c r="E36" s="451"/>
      <c r="F36" s="451"/>
      <c r="G36" s="451"/>
      <c r="H36" s="451"/>
      <c r="I36" s="451"/>
      <c r="J36" s="451"/>
      <c r="K36" s="451"/>
      <c r="L36" s="451"/>
      <c r="M36" s="451"/>
      <c r="N36" s="452"/>
      <c r="O36" s="464"/>
      <c r="P36" s="464"/>
      <c r="Q36" s="464"/>
      <c r="R36" s="464"/>
      <c r="S36" s="464"/>
      <c r="T36" s="464"/>
      <c r="U36" s="464"/>
      <c r="V36" s="464"/>
      <c r="W36" s="464"/>
      <c r="X36" s="464"/>
      <c r="Y36" s="464"/>
      <c r="Z36" s="464"/>
      <c r="AA36" s="464"/>
      <c r="AB36" s="464"/>
      <c r="AC36" s="464"/>
      <c r="AD36" s="464"/>
      <c r="AE36" s="464"/>
      <c r="AF36" s="464"/>
      <c r="AG36" s="464"/>
      <c r="AH36" s="464"/>
      <c r="AI36" s="464"/>
      <c r="AJ36" s="464"/>
      <c r="AK36" s="464"/>
      <c r="AL36" s="464"/>
      <c r="AM36" s="464"/>
      <c r="AN36" s="464"/>
      <c r="AO36" s="464"/>
      <c r="AP36" s="464"/>
      <c r="AQ36" s="464"/>
      <c r="AR36" s="464"/>
      <c r="AS36" s="464"/>
      <c r="AT36" s="464"/>
      <c r="AU36" s="464"/>
      <c r="AV36" s="464"/>
      <c r="AW36" s="464"/>
      <c r="AX36" s="464"/>
      <c r="AY36" s="464"/>
      <c r="AZ36" s="464"/>
      <c r="BA36" s="464"/>
      <c r="BB36" s="464"/>
      <c r="BC36" s="464"/>
      <c r="BD36" s="464"/>
      <c r="BE36" s="464"/>
      <c r="BF36" s="464"/>
      <c r="BG36" s="464"/>
      <c r="BH36" s="464"/>
      <c r="BI36" s="464"/>
      <c r="BJ36" s="464"/>
      <c r="BK36" s="464"/>
      <c r="BL36" s="464"/>
      <c r="BM36" s="464"/>
      <c r="BN36" s="464"/>
      <c r="BO36" s="464"/>
      <c r="BP36" s="464"/>
      <c r="BQ36" s="464"/>
      <c r="BR36" s="464"/>
      <c r="BS36" s="464"/>
      <c r="BT36" s="464"/>
      <c r="BU36" s="464"/>
      <c r="BV36" s="464"/>
      <c r="BW36" s="464"/>
      <c r="BX36" s="464"/>
      <c r="BY36" s="464"/>
      <c r="BZ36" s="464"/>
      <c r="CA36" s="464"/>
      <c r="CB36" s="464"/>
      <c r="CC36" s="464"/>
      <c r="CD36" s="464"/>
      <c r="CE36" s="464"/>
    </row>
    <row r="37" spans="1:83" s="465" customFormat="1">
      <c r="A37" s="451"/>
      <c r="B37" s="451"/>
      <c r="C37" s="451"/>
      <c r="D37" s="451"/>
      <c r="E37" s="451"/>
      <c r="F37" s="451"/>
      <c r="G37" s="451"/>
      <c r="H37" s="451"/>
      <c r="I37" s="451"/>
      <c r="J37" s="451"/>
      <c r="K37" s="451"/>
      <c r="L37" s="451"/>
      <c r="M37" s="451"/>
      <c r="N37" s="452"/>
      <c r="O37" s="464"/>
      <c r="P37" s="464"/>
      <c r="Q37" s="464"/>
      <c r="R37" s="464"/>
      <c r="S37" s="464"/>
      <c r="T37" s="464"/>
      <c r="U37" s="464"/>
      <c r="V37" s="464"/>
      <c r="W37" s="464"/>
      <c r="X37" s="464"/>
      <c r="Y37" s="464"/>
      <c r="Z37" s="464"/>
      <c r="AA37" s="464"/>
      <c r="AB37" s="464"/>
      <c r="AC37" s="464"/>
      <c r="AD37" s="464"/>
      <c r="AE37" s="464"/>
      <c r="AF37" s="464"/>
      <c r="AG37" s="464"/>
      <c r="AH37" s="464"/>
      <c r="AI37" s="464"/>
      <c r="AJ37" s="464"/>
      <c r="AK37" s="464"/>
      <c r="AL37" s="464"/>
      <c r="AM37" s="464"/>
      <c r="AN37" s="464"/>
      <c r="AO37" s="464"/>
      <c r="AP37" s="464"/>
      <c r="AQ37" s="464"/>
      <c r="AR37" s="464"/>
      <c r="AS37" s="464"/>
      <c r="AT37" s="464"/>
      <c r="AU37" s="464"/>
      <c r="AV37" s="464"/>
      <c r="AW37" s="464"/>
      <c r="AX37" s="464"/>
      <c r="AY37" s="464"/>
      <c r="AZ37" s="464"/>
      <c r="BA37" s="464"/>
      <c r="BB37" s="464"/>
      <c r="BC37" s="464"/>
      <c r="BD37" s="464"/>
      <c r="BE37" s="464"/>
      <c r="BF37" s="464"/>
      <c r="BG37" s="464"/>
      <c r="BH37" s="464"/>
      <c r="BI37" s="464"/>
      <c r="BJ37" s="464"/>
      <c r="BK37" s="464"/>
      <c r="BL37" s="464"/>
      <c r="BM37" s="464"/>
      <c r="BN37" s="464"/>
      <c r="BO37" s="464"/>
      <c r="BP37" s="464"/>
      <c r="BQ37" s="464"/>
      <c r="BR37" s="464"/>
      <c r="BS37" s="464"/>
      <c r="BT37" s="464"/>
      <c r="BU37" s="464"/>
      <c r="BV37" s="464"/>
      <c r="BW37" s="464"/>
      <c r="BX37" s="464"/>
      <c r="BY37" s="464"/>
      <c r="BZ37" s="464"/>
      <c r="CA37" s="464"/>
      <c r="CB37" s="464"/>
      <c r="CC37" s="464"/>
      <c r="CD37" s="464"/>
      <c r="CE37" s="464"/>
    </row>
    <row r="38" spans="1:83" s="465" customFormat="1">
      <c r="A38" s="451"/>
      <c r="B38" s="451"/>
      <c r="C38" s="451"/>
      <c r="D38" s="451"/>
      <c r="E38" s="451"/>
      <c r="F38" s="451"/>
      <c r="G38" s="451"/>
      <c r="H38" s="451"/>
      <c r="I38" s="451"/>
      <c r="J38" s="451"/>
      <c r="K38" s="451"/>
      <c r="L38" s="451"/>
      <c r="M38" s="451"/>
      <c r="N38" s="452"/>
      <c r="O38" s="464"/>
      <c r="P38" s="464"/>
      <c r="Q38" s="464"/>
      <c r="R38" s="464"/>
      <c r="S38" s="464"/>
      <c r="T38" s="464"/>
      <c r="U38" s="464"/>
      <c r="V38" s="464"/>
      <c r="W38" s="464"/>
      <c r="X38" s="464"/>
      <c r="Y38" s="464"/>
      <c r="Z38" s="464"/>
      <c r="AA38" s="464"/>
      <c r="AB38" s="464"/>
      <c r="AC38" s="464"/>
      <c r="AD38" s="464"/>
      <c r="AE38" s="464"/>
      <c r="AF38" s="464"/>
      <c r="AG38" s="464"/>
      <c r="AH38" s="464"/>
      <c r="AI38" s="464"/>
      <c r="AJ38" s="464"/>
      <c r="AK38" s="464"/>
      <c r="AL38" s="464"/>
      <c r="AM38" s="464"/>
      <c r="AN38" s="464"/>
      <c r="AO38" s="464"/>
      <c r="AP38" s="464"/>
      <c r="AQ38" s="464"/>
      <c r="AR38" s="464"/>
      <c r="AS38" s="464"/>
      <c r="AT38" s="464"/>
      <c r="AU38" s="464"/>
      <c r="AV38" s="464"/>
      <c r="AW38" s="464"/>
      <c r="AX38" s="464"/>
      <c r="AY38" s="464"/>
      <c r="AZ38" s="464"/>
      <c r="BA38" s="464"/>
      <c r="BB38" s="464"/>
      <c r="BC38" s="464"/>
      <c r="BD38" s="464"/>
      <c r="BE38" s="464"/>
      <c r="BF38" s="464"/>
      <c r="BG38" s="464"/>
      <c r="BH38" s="464"/>
      <c r="BI38" s="464"/>
      <c r="BJ38" s="464"/>
      <c r="BK38" s="464"/>
      <c r="BL38" s="464"/>
      <c r="BM38" s="464"/>
      <c r="BN38" s="464"/>
      <c r="BO38" s="464"/>
      <c r="BP38" s="464"/>
      <c r="BQ38" s="464"/>
      <c r="BR38" s="464"/>
      <c r="BS38" s="464"/>
      <c r="BT38" s="464"/>
      <c r="BU38" s="464"/>
      <c r="BV38" s="464"/>
      <c r="BW38" s="464"/>
      <c r="BX38" s="464"/>
      <c r="BY38" s="464"/>
      <c r="BZ38" s="464"/>
      <c r="CA38" s="464"/>
      <c r="CB38" s="464"/>
      <c r="CC38" s="464"/>
      <c r="CD38" s="464"/>
      <c r="CE38" s="464"/>
    </row>
    <row r="39" spans="1:83" customFormat="1">
      <c r="A39" s="451"/>
      <c r="B39" s="451"/>
      <c r="C39" s="451"/>
      <c r="D39" s="451"/>
      <c r="E39" s="451"/>
      <c r="F39" s="451"/>
      <c r="G39" s="451"/>
      <c r="H39" s="451"/>
      <c r="I39" s="451"/>
      <c r="J39" s="451"/>
      <c r="K39" s="451"/>
      <c r="L39" s="451"/>
      <c r="M39" s="451"/>
      <c r="N39" s="452"/>
      <c r="O39" s="464"/>
      <c r="P39" s="464"/>
      <c r="Q39" s="464"/>
      <c r="R39" s="464"/>
      <c r="S39" s="464"/>
      <c r="T39" s="464"/>
      <c r="U39" s="464"/>
      <c r="V39" s="464"/>
      <c r="W39" s="464"/>
      <c r="X39" s="464"/>
      <c r="Y39" s="464"/>
      <c r="Z39" s="464"/>
      <c r="AA39" s="464"/>
      <c r="AB39" s="464"/>
      <c r="AC39" s="464"/>
      <c r="AD39" s="464"/>
      <c r="AE39" s="464"/>
      <c r="AF39" s="464"/>
      <c r="AG39" s="464"/>
      <c r="AH39" s="464"/>
      <c r="AI39" s="464"/>
      <c r="AJ39" s="464"/>
      <c r="AK39" s="464"/>
      <c r="AL39" s="464"/>
      <c r="AM39" s="464"/>
      <c r="AN39" s="464"/>
      <c r="AO39" s="464"/>
      <c r="AP39" s="464"/>
      <c r="AQ39" s="464"/>
      <c r="AR39" s="464"/>
      <c r="AS39" s="464"/>
      <c r="AT39" s="464"/>
      <c r="AU39" s="464"/>
      <c r="AV39" s="464"/>
      <c r="AW39" s="464"/>
      <c r="AX39" s="464"/>
      <c r="AY39" s="464"/>
      <c r="AZ39" s="464"/>
      <c r="BA39" s="464"/>
      <c r="BB39" s="464"/>
      <c r="BC39" s="464"/>
      <c r="BD39" s="464"/>
      <c r="BE39" s="464"/>
      <c r="BF39" s="464"/>
      <c r="BG39" s="464"/>
      <c r="BH39" s="464"/>
      <c r="BI39" s="464"/>
      <c r="BJ39" s="464"/>
      <c r="BK39" s="464"/>
      <c r="BL39" s="464"/>
      <c r="BM39" s="464"/>
      <c r="BN39" s="464"/>
      <c r="BO39" s="464"/>
      <c r="BP39" s="464"/>
      <c r="BQ39" s="464"/>
      <c r="BR39" s="464"/>
      <c r="BS39" s="464"/>
      <c r="BT39" s="464"/>
      <c r="BU39" s="464"/>
      <c r="BV39" s="464"/>
      <c r="BW39" s="464"/>
      <c r="BX39" s="464"/>
      <c r="BY39" s="464"/>
      <c r="BZ39" s="464"/>
      <c r="CA39" s="464"/>
      <c r="CB39" s="464"/>
      <c r="CC39" s="464"/>
      <c r="CD39" s="464"/>
      <c r="CE39" s="464"/>
    </row>
    <row r="40" spans="1:83" customFormat="1">
      <c r="A40" s="451"/>
      <c r="B40" s="451"/>
      <c r="C40" s="451"/>
      <c r="D40" s="451"/>
      <c r="E40" s="451"/>
      <c r="F40" s="451"/>
      <c r="G40" s="451"/>
      <c r="H40" s="451"/>
      <c r="I40" s="451"/>
      <c r="J40" s="451"/>
      <c r="K40" s="451"/>
      <c r="L40" s="451"/>
      <c r="M40" s="451"/>
      <c r="N40" s="452"/>
      <c r="O40" s="464"/>
      <c r="P40" s="464"/>
      <c r="Q40" s="464"/>
      <c r="R40" s="464"/>
      <c r="S40" s="464"/>
      <c r="T40" s="464"/>
      <c r="U40" s="464"/>
      <c r="V40" s="464"/>
      <c r="W40" s="464"/>
      <c r="X40" s="464"/>
      <c r="Y40" s="464"/>
      <c r="Z40" s="464"/>
      <c r="AA40" s="464"/>
      <c r="AB40" s="464"/>
      <c r="AC40" s="464"/>
      <c r="AD40" s="464"/>
      <c r="AE40" s="464"/>
      <c r="AF40" s="464"/>
      <c r="AG40" s="464"/>
      <c r="AH40" s="464"/>
      <c r="AI40" s="464"/>
      <c r="AJ40" s="464"/>
      <c r="AK40" s="464"/>
      <c r="AL40" s="464"/>
      <c r="AM40" s="464"/>
      <c r="AN40" s="464"/>
      <c r="AO40" s="464"/>
      <c r="AP40" s="464"/>
      <c r="AQ40" s="464"/>
      <c r="AR40" s="464"/>
      <c r="AS40" s="464"/>
      <c r="AT40" s="464"/>
      <c r="AU40" s="464"/>
      <c r="AV40" s="464"/>
      <c r="AW40" s="464"/>
      <c r="AX40" s="464"/>
      <c r="AY40" s="464"/>
      <c r="AZ40" s="464"/>
      <c r="BA40" s="464"/>
      <c r="BB40" s="464"/>
      <c r="BC40" s="464"/>
      <c r="BD40" s="464"/>
      <c r="BE40" s="464"/>
      <c r="BF40" s="464"/>
      <c r="BG40" s="464"/>
      <c r="BH40" s="464"/>
      <c r="BI40" s="464"/>
      <c r="BJ40" s="464"/>
      <c r="BK40" s="464"/>
      <c r="BL40" s="464"/>
      <c r="BM40" s="464"/>
      <c r="BN40" s="464"/>
      <c r="BO40" s="464"/>
      <c r="BP40" s="464"/>
      <c r="BQ40" s="464"/>
      <c r="BR40" s="464"/>
      <c r="BS40" s="464"/>
      <c r="BT40" s="464"/>
      <c r="BU40" s="464"/>
      <c r="BV40" s="464"/>
      <c r="BW40" s="464"/>
      <c r="BX40" s="464"/>
      <c r="BY40" s="464"/>
      <c r="BZ40" s="464"/>
      <c r="CA40" s="464"/>
      <c r="CB40" s="464"/>
      <c r="CC40" s="464"/>
      <c r="CD40" s="464"/>
      <c r="CE40" s="464"/>
    </row>
    <row r="41" spans="1:83" customFormat="1">
      <c r="A41" s="451"/>
      <c r="B41" s="451"/>
      <c r="C41" s="451"/>
      <c r="D41" s="451"/>
      <c r="E41" s="451"/>
      <c r="F41" s="451"/>
      <c r="G41" s="451"/>
      <c r="H41" s="451"/>
      <c r="I41" s="451"/>
      <c r="J41" s="451"/>
      <c r="K41" s="451"/>
      <c r="L41" s="451"/>
      <c r="M41" s="451"/>
      <c r="N41" s="452"/>
      <c r="O41" s="464"/>
      <c r="P41" s="464"/>
      <c r="Q41" s="464"/>
      <c r="R41" s="464"/>
      <c r="S41" s="464"/>
      <c r="T41" s="464"/>
      <c r="U41" s="464"/>
      <c r="V41" s="464"/>
      <c r="W41" s="464"/>
      <c r="X41" s="464"/>
      <c r="Y41" s="464"/>
      <c r="Z41" s="464"/>
      <c r="AA41" s="464"/>
      <c r="AB41" s="464"/>
      <c r="AC41" s="464"/>
      <c r="AD41" s="464"/>
      <c r="AE41" s="464"/>
      <c r="AF41" s="464"/>
      <c r="AG41" s="464"/>
      <c r="AH41" s="464"/>
      <c r="AI41" s="464"/>
      <c r="AJ41" s="464"/>
      <c r="AK41" s="464"/>
      <c r="AL41" s="464"/>
      <c r="AM41" s="464"/>
      <c r="AN41" s="464"/>
      <c r="AO41" s="464"/>
      <c r="AP41" s="464"/>
      <c r="AQ41" s="464"/>
      <c r="AR41" s="464"/>
      <c r="AS41" s="464"/>
      <c r="AT41" s="464"/>
      <c r="AU41" s="464"/>
      <c r="AV41" s="464"/>
      <c r="AW41" s="464"/>
      <c r="AX41" s="464"/>
      <c r="AY41" s="464"/>
      <c r="AZ41" s="464"/>
      <c r="BA41" s="464"/>
      <c r="BB41" s="464"/>
      <c r="BC41" s="464"/>
      <c r="BD41" s="464"/>
      <c r="BE41" s="464"/>
      <c r="BF41" s="464"/>
      <c r="BG41" s="464"/>
      <c r="BH41" s="464"/>
      <c r="BI41" s="464"/>
      <c r="BJ41" s="464"/>
      <c r="BK41" s="464"/>
      <c r="BL41" s="464"/>
      <c r="BM41" s="464"/>
      <c r="BN41" s="464"/>
      <c r="BO41" s="464"/>
      <c r="BP41" s="464"/>
      <c r="BQ41" s="464"/>
      <c r="BR41" s="464"/>
      <c r="BS41" s="464"/>
      <c r="BT41" s="464"/>
      <c r="BU41" s="464"/>
      <c r="BV41" s="464"/>
      <c r="BW41" s="464"/>
      <c r="BX41" s="464"/>
      <c r="BY41" s="464"/>
      <c r="BZ41" s="464"/>
      <c r="CA41" s="464"/>
      <c r="CB41" s="464"/>
      <c r="CC41" s="464"/>
      <c r="CD41" s="464"/>
      <c r="CE41" s="464"/>
    </row>
    <row r="42" spans="1:83" customFormat="1">
      <c r="A42" s="451"/>
      <c r="B42" s="451"/>
      <c r="C42" s="451"/>
      <c r="D42" s="451"/>
      <c r="E42" s="451"/>
      <c r="F42" s="451"/>
      <c r="G42" s="451"/>
      <c r="H42" s="451"/>
      <c r="I42" s="451"/>
      <c r="J42" s="451"/>
      <c r="K42" s="451"/>
      <c r="L42" s="451"/>
      <c r="M42" s="451"/>
      <c r="N42" s="452"/>
      <c r="O42" s="464"/>
      <c r="P42" s="464"/>
      <c r="Q42" s="464"/>
      <c r="R42" s="464"/>
      <c r="S42" s="464"/>
      <c r="T42" s="464"/>
      <c r="U42" s="464"/>
      <c r="V42" s="464"/>
      <c r="W42" s="464"/>
      <c r="X42" s="464"/>
      <c r="Y42" s="464"/>
      <c r="Z42" s="464"/>
      <c r="AA42" s="464"/>
      <c r="AB42" s="464"/>
      <c r="AC42" s="464"/>
      <c r="AD42" s="464"/>
      <c r="AE42" s="464"/>
      <c r="AF42" s="464"/>
      <c r="AG42" s="464"/>
      <c r="AH42" s="464"/>
      <c r="AI42" s="464"/>
      <c r="AJ42" s="464"/>
      <c r="AK42" s="464"/>
      <c r="AL42" s="464"/>
      <c r="AM42" s="464"/>
      <c r="AN42" s="464"/>
      <c r="AO42" s="464"/>
      <c r="AP42" s="464"/>
      <c r="AQ42" s="464"/>
      <c r="AR42" s="464"/>
      <c r="AS42" s="464"/>
      <c r="AT42" s="464"/>
      <c r="AU42" s="464"/>
      <c r="AV42" s="464"/>
      <c r="AW42" s="464"/>
      <c r="AX42" s="464"/>
      <c r="AY42" s="464"/>
      <c r="AZ42" s="464"/>
      <c r="BA42" s="464"/>
      <c r="BB42" s="464"/>
      <c r="BC42" s="464"/>
      <c r="BD42" s="464"/>
      <c r="BE42" s="464"/>
      <c r="BF42" s="464"/>
      <c r="BG42" s="464"/>
      <c r="BH42" s="464"/>
      <c r="BI42" s="464"/>
      <c r="BJ42" s="464"/>
      <c r="BK42" s="464"/>
      <c r="BL42" s="464"/>
      <c r="BM42" s="464"/>
      <c r="BN42" s="464"/>
      <c r="BO42" s="464"/>
      <c r="BP42" s="464"/>
      <c r="BQ42" s="464"/>
      <c r="BR42" s="464"/>
      <c r="BS42" s="464"/>
      <c r="BT42" s="464"/>
      <c r="BU42" s="464"/>
      <c r="BV42" s="464"/>
      <c r="BW42" s="464"/>
      <c r="BX42" s="464"/>
      <c r="BY42" s="464"/>
      <c r="BZ42" s="464"/>
      <c r="CA42" s="464"/>
      <c r="CB42" s="464"/>
      <c r="CC42" s="464"/>
      <c r="CD42" s="464"/>
      <c r="CE42" s="464"/>
    </row>
    <row r="43" spans="1:83" customFormat="1">
      <c r="A43" s="451"/>
      <c r="B43" s="451"/>
      <c r="C43" s="451"/>
      <c r="D43" s="451"/>
      <c r="E43" s="451"/>
      <c r="F43" s="451"/>
      <c r="G43" s="451"/>
      <c r="H43" s="451"/>
      <c r="I43" s="451"/>
      <c r="J43" s="451"/>
      <c r="K43" s="451"/>
      <c r="L43" s="451"/>
      <c r="M43" s="451"/>
      <c r="N43" s="452"/>
      <c r="O43" s="464"/>
      <c r="P43" s="464"/>
      <c r="Q43" s="464"/>
      <c r="R43" s="464"/>
      <c r="S43" s="464"/>
      <c r="T43" s="464"/>
      <c r="U43" s="464"/>
      <c r="V43" s="464"/>
      <c r="W43" s="464"/>
      <c r="X43" s="464"/>
      <c r="Y43" s="464"/>
      <c r="Z43" s="464"/>
      <c r="AA43" s="464"/>
      <c r="AB43" s="464"/>
      <c r="AC43" s="464"/>
      <c r="AD43" s="464"/>
      <c r="AE43" s="464"/>
      <c r="AF43" s="464"/>
      <c r="AG43" s="464"/>
      <c r="AH43" s="464"/>
      <c r="AI43" s="464"/>
      <c r="AJ43" s="464"/>
      <c r="AK43" s="464"/>
      <c r="AL43" s="464"/>
      <c r="AM43" s="464"/>
      <c r="AN43" s="464"/>
      <c r="AO43" s="464"/>
      <c r="AP43" s="464"/>
      <c r="AQ43" s="464"/>
      <c r="AR43" s="464"/>
      <c r="AS43" s="464"/>
      <c r="AT43" s="464"/>
      <c r="AU43" s="464"/>
      <c r="AV43" s="464"/>
      <c r="AW43" s="464"/>
      <c r="AX43" s="464"/>
      <c r="AY43" s="464"/>
      <c r="AZ43" s="464"/>
      <c r="BA43" s="464"/>
      <c r="BB43" s="464"/>
      <c r="BC43" s="464"/>
      <c r="BD43" s="464"/>
      <c r="BE43" s="464"/>
      <c r="BF43" s="464"/>
      <c r="BG43" s="464"/>
      <c r="BH43" s="464"/>
      <c r="BI43" s="464"/>
      <c r="BJ43" s="464"/>
      <c r="BK43" s="464"/>
      <c r="BL43" s="464"/>
      <c r="BM43" s="464"/>
      <c r="BN43" s="464"/>
      <c r="BO43" s="464"/>
      <c r="BP43" s="464"/>
      <c r="BQ43" s="464"/>
      <c r="BR43" s="464"/>
      <c r="BS43" s="464"/>
      <c r="BT43" s="464"/>
      <c r="BU43" s="464"/>
      <c r="BV43" s="464"/>
      <c r="BW43" s="464"/>
      <c r="BX43" s="464"/>
      <c r="BY43" s="464"/>
      <c r="BZ43" s="464"/>
      <c r="CA43" s="464"/>
      <c r="CB43" s="464"/>
      <c r="CC43" s="464"/>
      <c r="CD43" s="464"/>
      <c r="CE43" s="464"/>
    </row>
    <row r="44" spans="1:83" customFormat="1">
      <c r="A44" s="451"/>
      <c r="B44" s="451"/>
      <c r="C44" s="451"/>
      <c r="D44" s="451"/>
      <c r="E44" s="451"/>
      <c r="F44" s="451"/>
      <c r="G44" s="451"/>
      <c r="H44" s="451"/>
      <c r="I44" s="451"/>
      <c r="J44" s="451"/>
      <c r="K44" s="451"/>
      <c r="L44" s="451"/>
      <c r="M44" s="451"/>
      <c r="N44" s="452"/>
      <c r="O44" s="464"/>
      <c r="P44" s="464"/>
      <c r="Q44" s="464"/>
      <c r="R44" s="464"/>
      <c r="S44" s="464"/>
      <c r="T44" s="464"/>
      <c r="U44" s="464"/>
      <c r="V44" s="464"/>
      <c r="W44" s="464"/>
      <c r="X44" s="464"/>
      <c r="Y44" s="464"/>
      <c r="Z44" s="464"/>
      <c r="AA44" s="464"/>
      <c r="AB44" s="464"/>
      <c r="AC44" s="464"/>
      <c r="AD44" s="464"/>
      <c r="AE44" s="464"/>
      <c r="AF44" s="464"/>
      <c r="AG44" s="464"/>
      <c r="AH44" s="464"/>
      <c r="AI44" s="464"/>
      <c r="AJ44" s="464"/>
      <c r="AK44" s="464"/>
      <c r="AL44" s="464"/>
      <c r="AM44" s="464"/>
      <c r="AN44" s="464"/>
      <c r="AO44" s="464"/>
      <c r="AP44" s="464"/>
      <c r="AQ44" s="464"/>
      <c r="AR44" s="464"/>
      <c r="AS44" s="464"/>
      <c r="AT44" s="464"/>
      <c r="AU44" s="464"/>
      <c r="AV44" s="464"/>
      <c r="AW44" s="464"/>
      <c r="AX44" s="464"/>
      <c r="AY44" s="464"/>
      <c r="AZ44" s="464"/>
      <c r="BA44" s="464"/>
      <c r="BB44" s="464"/>
      <c r="BC44" s="464"/>
      <c r="BD44" s="464"/>
      <c r="BE44" s="464"/>
      <c r="BF44" s="464"/>
      <c r="BG44" s="464"/>
      <c r="BH44" s="464"/>
      <c r="BI44" s="464"/>
      <c r="BJ44" s="464"/>
      <c r="BK44" s="464"/>
      <c r="BL44" s="464"/>
      <c r="BM44" s="464"/>
      <c r="BN44" s="464"/>
      <c r="BO44" s="464"/>
      <c r="BP44" s="464"/>
      <c r="BQ44" s="464"/>
      <c r="BR44" s="464"/>
      <c r="BS44" s="464"/>
      <c r="BT44" s="464"/>
      <c r="BU44" s="464"/>
      <c r="BV44" s="464"/>
      <c r="BW44" s="464"/>
      <c r="BX44" s="464"/>
      <c r="BY44" s="464"/>
      <c r="BZ44" s="464"/>
      <c r="CA44" s="464"/>
      <c r="CB44" s="464"/>
      <c r="CC44" s="464"/>
      <c r="CD44" s="464"/>
      <c r="CE44" s="464"/>
    </row>
    <row r="45" spans="1:83" customFormat="1">
      <c r="A45" s="451"/>
      <c r="B45" s="451"/>
      <c r="C45" s="451"/>
      <c r="D45" s="451"/>
      <c r="E45" s="451"/>
      <c r="F45" s="451"/>
      <c r="G45" s="451"/>
      <c r="H45" s="451"/>
      <c r="I45" s="451"/>
      <c r="J45" s="451"/>
      <c r="K45" s="451"/>
      <c r="L45" s="451"/>
      <c r="M45" s="451"/>
      <c r="N45" s="452"/>
      <c r="O45" s="464"/>
      <c r="P45" s="464"/>
      <c r="Q45" s="464"/>
      <c r="R45" s="464"/>
      <c r="S45" s="464"/>
      <c r="T45" s="464"/>
      <c r="U45" s="464"/>
      <c r="V45" s="464"/>
      <c r="W45" s="464"/>
      <c r="X45" s="464"/>
      <c r="Y45" s="464"/>
      <c r="Z45" s="464"/>
      <c r="AA45" s="464"/>
      <c r="AB45" s="464"/>
      <c r="AC45" s="464"/>
      <c r="AD45" s="464"/>
      <c r="AE45" s="464"/>
      <c r="AF45" s="464"/>
      <c r="AG45" s="464"/>
      <c r="AH45" s="464"/>
      <c r="AI45" s="464"/>
      <c r="AJ45" s="464"/>
      <c r="AK45" s="464"/>
      <c r="AL45" s="464"/>
      <c r="AM45" s="464"/>
      <c r="AN45" s="464"/>
      <c r="AO45" s="464"/>
      <c r="AP45" s="464"/>
      <c r="AQ45" s="464"/>
      <c r="AR45" s="464"/>
      <c r="AS45" s="464"/>
      <c r="AT45" s="464"/>
      <c r="AU45" s="464"/>
      <c r="AV45" s="464"/>
      <c r="AW45" s="464"/>
      <c r="AX45" s="464"/>
      <c r="AY45" s="464"/>
      <c r="AZ45" s="464"/>
      <c r="BA45" s="464"/>
      <c r="BB45" s="464"/>
      <c r="BC45" s="464"/>
      <c r="BD45" s="464"/>
      <c r="BE45" s="464"/>
      <c r="BF45" s="464"/>
      <c r="BG45" s="464"/>
      <c r="BH45" s="464"/>
      <c r="BI45" s="464"/>
      <c r="BJ45" s="464"/>
      <c r="BK45" s="464"/>
      <c r="BL45" s="464"/>
      <c r="BM45" s="464"/>
      <c r="BN45" s="464"/>
      <c r="BO45" s="464"/>
      <c r="BP45" s="464"/>
      <c r="BQ45" s="464"/>
      <c r="BR45" s="464"/>
      <c r="BS45" s="464"/>
      <c r="BT45" s="464"/>
      <c r="BU45" s="464"/>
      <c r="BV45" s="464"/>
      <c r="BW45" s="464"/>
      <c r="BX45" s="464"/>
      <c r="BY45" s="464"/>
      <c r="BZ45" s="464"/>
      <c r="CA45" s="464"/>
      <c r="CB45" s="464"/>
      <c r="CC45" s="464"/>
      <c r="CD45" s="464"/>
      <c r="CE45" s="464"/>
    </row>
    <row r="46" spans="1:83" customFormat="1">
      <c r="A46" s="451"/>
      <c r="B46" s="451"/>
      <c r="C46" s="451"/>
      <c r="D46" s="451"/>
      <c r="E46" s="451"/>
      <c r="F46" s="451"/>
      <c r="G46" s="451"/>
      <c r="H46" s="451"/>
      <c r="I46" s="451"/>
      <c r="J46" s="451"/>
      <c r="K46" s="451"/>
      <c r="L46" s="451"/>
      <c r="M46" s="451"/>
      <c r="N46" s="452"/>
      <c r="O46" s="464"/>
      <c r="P46" s="464"/>
      <c r="Q46" s="464"/>
      <c r="R46" s="464"/>
      <c r="S46" s="464"/>
      <c r="T46" s="464"/>
      <c r="U46" s="464"/>
      <c r="V46" s="464"/>
      <c r="W46" s="464"/>
      <c r="X46" s="464"/>
      <c r="Y46" s="464"/>
      <c r="Z46" s="464"/>
      <c r="AA46" s="464"/>
      <c r="AB46" s="464"/>
      <c r="AC46" s="464"/>
      <c r="AD46" s="464"/>
      <c r="AE46" s="464"/>
      <c r="AF46" s="464"/>
      <c r="AG46" s="464"/>
      <c r="AH46" s="464"/>
      <c r="AI46" s="464"/>
      <c r="AJ46" s="464"/>
      <c r="AK46" s="464"/>
      <c r="AL46" s="464"/>
      <c r="AM46" s="464"/>
      <c r="AN46" s="464"/>
      <c r="AO46" s="464"/>
      <c r="AP46" s="464"/>
      <c r="AQ46" s="464"/>
      <c r="AR46" s="464"/>
      <c r="AS46" s="464"/>
      <c r="AT46" s="464"/>
      <c r="AU46" s="464"/>
      <c r="AV46" s="464"/>
      <c r="AW46" s="464"/>
      <c r="AX46" s="464"/>
      <c r="AY46" s="464"/>
      <c r="AZ46" s="464"/>
      <c r="BA46" s="464"/>
      <c r="BB46" s="464"/>
      <c r="BC46" s="464"/>
      <c r="BD46" s="464"/>
      <c r="BE46" s="464"/>
      <c r="BF46" s="464"/>
      <c r="BG46" s="464"/>
      <c r="BH46" s="464"/>
      <c r="BI46" s="464"/>
      <c r="BJ46" s="464"/>
      <c r="BK46" s="464"/>
      <c r="BL46" s="464"/>
      <c r="BM46" s="464"/>
      <c r="BN46" s="464"/>
      <c r="BO46" s="464"/>
      <c r="BP46" s="464"/>
      <c r="BQ46" s="464"/>
      <c r="BR46" s="464"/>
      <c r="BS46" s="464"/>
      <c r="BT46" s="464"/>
      <c r="BU46" s="464"/>
      <c r="BV46" s="464"/>
      <c r="BW46" s="464"/>
      <c r="BX46" s="464"/>
      <c r="BY46" s="464"/>
      <c r="BZ46" s="464"/>
      <c r="CA46" s="464"/>
      <c r="CB46" s="464"/>
      <c r="CC46" s="464"/>
      <c r="CD46" s="464"/>
      <c r="CE46" s="464"/>
    </row>
    <row r="47" spans="1:83" s="451" customFormat="1"/>
    <row r="48" spans="1:83" s="451" customFormat="1"/>
    <row r="49" s="451" customFormat="1"/>
    <row r="50" s="451" customFormat="1"/>
    <row r="51" s="451" customFormat="1"/>
    <row r="52" s="451" customFormat="1"/>
    <row r="53" s="451" customFormat="1"/>
    <row r="54" s="451" customFormat="1"/>
    <row r="55" s="451" customFormat="1"/>
    <row r="56" s="451" customFormat="1"/>
    <row r="57" s="451" customFormat="1"/>
    <row r="58" s="451" customFormat="1"/>
    <row r="59" s="451" customFormat="1"/>
    <row r="60" s="451" customFormat="1"/>
    <row r="61" s="451" customFormat="1"/>
    <row r="62" s="451" customFormat="1"/>
    <row r="63" s="451" customFormat="1"/>
    <row r="64" s="451" customFormat="1"/>
    <row r="65" s="451" customFormat="1"/>
    <row r="66" s="451" customFormat="1"/>
    <row r="67" s="451" customFormat="1"/>
    <row r="68" s="451" customFormat="1"/>
    <row r="69" s="451" customFormat="1"/>
    <row r="70" s="451" customFormat="1"/>
    <row r="71" s="451" customFormat="1"/>
    <row r="72" s="451" customFormat="1"/>
    <row r="73" s="451" customFormat="1"/>
    <row r="74" s="451" customFormat="1"/>
    <row r="75" s="451" customFormat="1"/>
    <row r="76" s="451" customFormat="1"/>
    <row r="77" s="451" customFormat="1"/>
    <row r="78" s="451" customFormat="1"/>
    <row r="79" s="451" customFormat="1"/>
    <row r="80" s="451" customFormat="1"/>
    <row r="81" s="451" customFormat="1"/>
    <row r="82" s="451" customFormat="1"/>
    <row r="83" s="451" customFormat="1"/>
    <row r="84" s="451" customFormat="1"/>
    <row r="85" s="451" customFormat="1"/>
    <row r="86" s="451" customFormat="1"/>
    <row r="87" s="451" customFormat="1"/>
    <row r="88" s="451" customFormat="1"/>
    <row r="89" s="451" customFormat="1"/>
    <row r="90" s="451" customFormat="1"/>
    <row r="91" s="451" customFormat="1"/>
    <row r="92" s="451" customFormat="1"/>
    <row r="93" s="451" customFormat="1"/>
    <row r="94" s="451" customFormat="1"/>
    <row r="95" s="451" customFormat="1"/>
    <row r="96" s="451" customFormat="1"/>
    <row r="97" s="451" customFormat="1"/>
    <row r="98" s="451" customFormat="1"/>
    <row r="99" s="451" customFormat="1"/>
    <row r="100" s="451" customFormat="1"/>
    <row r="101" s="451" customFormat="1"/>
    <row r="102" s="451" customFormat="1"/>
    <row r="103" s="451" customFormat="1"/>
    <row r="104" s="451" customFormat="1"/>
    <row r="105" s="451" customFormat="1"/>
    <row r="106" s="451" customFormat="1"/>
    <row r="107" s="451" customFormat="1"/>
    <row r="108" s="451" customFormat="1"/>
    <row r="109" s="451" customFormat="1"/>
    <row r="110" s="451" customFormat="1"/>
    <row r="111" s="451" customFormat="1"/>
    <row r="112" s="451" customFormat="1"/>
    <row r="113" s="451" customFormat="1"/>
    <row r="114" s="451" customFormat="1"/>
    <row r="115" s="451" customFormat="1"/>
    <row r="116" s="451" customFormat="1"/>
    <row r="117" s="451" customFormat="1"/>
    <row r="118" s="451" customFormat="1"/>
    <row r="119" s="451" customFormat="1"/>
    <row r="120" s="451" customFormat="1"/>
    <row r="121" s="451" customFormat="1"/>
    <row r="122" s="451" customFormat="1"/>
    <row r="123" s="451" customFormat="1"/>
    <row r="124" s="451" customFormat="1"/>
    <row r="125" s="451" customFormat="1"/>
    <row r="126" s="451" customFormat="1"/>
    <row r="127" s="451" customFormat="1"/>
    <row r="128" s="451" customFormat="1"/>
    <row r="129" s="451" customFormat="1"/>
    <row r="130" s="451" customFormat="1"/>
    <row r="131" s="451" customFormat="1"/>
    <row r="132" s="451" customFormat="1"/>
    <row r="133" s="451" customFormat="1"/>
    <row r="134" s="451" customFormat="1"/>
    <row r="135" s="451" customFormat="1"/>
    <row r="136" s="451" customFormat="1"/>
    <row r="137" s="451" customFormat="1"/>
    <row r="138" s="451" customFormat="1"/>
    <row r="139" s="451" customFormat="1"/>
    <row r="140" s="451" customFormat="1"/>
    <row r="141" s="451" customFormat="1"/>
    <row r="142" s="451" customFormat="1"/>
    <row r="143" s="451" customFormat="1"/>
    <row r="144" s="451" customFormat="1"/>
    <row r="145" s="451" customFormat="1"/>
    <row r="146" s="451" customFormat="1"/>
    <row r="147" s="451" customFormat="1"/>
    <row r="148" s="451" customFormat="1"/>
    <row r="149" s="451" customFormat="1"/>
    <row r="150" s="451" customFormat="1"/>
    <row r="151" s="451" customFormat="1"/>
    <row r="152" s="451" customFormat="1"/>
    <row r="153" s="451" customFormat="1"/>
    <row r="154" s="451" customFormat="1"/>
    <row r="155" s="451" customFormat="1"/>
    <row r="156" s="451" customFormat="1"/>
    <row r="157" s="451" customFormat="1"/>
    <row r="158" s="451" customFormat="1"/>
    <row r="159" s="451" customFormat="1"/>
    <row r="160" s="451" customFormat="1"/>
    <row r="161" s="451" customFormat="1"/>
    <row r="162" s="451" customFormat="1"/>
    <row r="163" s="451" customFormat="1"/>
    <row r="164" s="451" customFormat="1"/>
    <row r="165" s="451" customFormat="1"/>
    <row r="166" s="451" customFormat="1"/>
    <row r="167" s="451" customFormat="1"/>
    <row r="168" s="451" customFormat="1"/>
    <row r="169" s="451" customFormat="1"/>
    <row r="170" s="451" customFormat="1"/>
    <row r="171" s="451" customFormat="1"/>
    <row r="172" s="451" customFormat="1"/>
    <row r="173" s="451" customFormat="1"/>
    <row r="174" s="451" customFormat="1"/>
    <row r="175" s="451" customFormat="1"/>
    <row r="176" s="451" customFormat="1"/>
    <row r="177" s="451" customFormat="1"/>
    <row r="178" s="451" customFormat="1"/>
    <row r="179" s="451" customFormat="1"/>
    <row r="180" s="451" customFormat="1"/>
    <row r="181" s="451" customFormat="1"/>
    <row r="182" s="451" customFormat="1"/>
    <row r="183" s="451" customFormat="1"/>
    <row r="184" s="451" customFormat="1"/>
    <row r="185" s="451" customFormat="1"/>
    <row r="186" s="451" customFormat="1"/>
    <row r="187" s="451" customFormat="1"/>
    <row r="188" s="451" customFormat="1"/>
    <row r="189" s="451" customFormat="1"/>
    <row r="190" s="451" customFormat="1"/>
    <row r="191" s="451" customFormat="1"/>
    <row r="192" s="451" customFormat="1"/>
    <row r="193" s="451" customFormat="1"/>
    <row r="194" s="451" customFormat="1"/>
    <row r="195" s="451" customFormat="1"/>
    <row r="196" s="451" customFormat="1"/>
    <row r="197" s="451" customFormat="1"/>
    <row r="198" s="451" customFormat="1"/>
    <row r="199" s="451" customFormat="1"/>
    <row r="200" s="451" customFormat="1"/>
    <row r="201" s="451" customFormat="1"/>
    <row r="202" s="451" customFormat="1"/>
    <row r="203" s="451" customFormat="1"/>
    <row r="204" s="451" customFormat="1"/>
    <row r="205" s="451" customFormat="1"/>
    <row r="206" s="451" customFormat="1"/>
    <row r="207" s="451" customFormat="1"/>
    <row r="208" s="451" customFormat="1"/>
    <row r="209" s="451" customFormat="1"/>
    <row r="210" s="451" customFormat="1"/>
    <row r="211" s="451" customFormat="1"/>
    <row r="212" s="451" customFormat="1"/>
    <row r="213" s="451" customFormat="1"/>
    <row r="214" s="451" customFormat="1"/>
    <row r="215" s="451" customFormat="1"/>
    <row r="216" s="451" customFormat="1"/>
    <row r="217" s="451" customFormat="1"/>
    <row r="218" s="451" customFormat="1"/>
    <row r="219" s="451" customFormat="1"/>
    <row r="220" s="451" customFormat="1"/>
    <row r="221" s="451" customFormat="1"/>
    <row r="222" s="451" customFormat="1"/>
    <row r="223" s="451" customFormat="1"/>
    <row r="224" s="451" customFormat="1"/>
    <row r="225" s="451" customFormat="1"/>
    <row r="226" s="451" customFormat="1"/>
    <row r="227" s="451" customFormat="1"/>
    <row r="228" s="451" customFormat="1"/>
    <row r="229" s="451" customFormat="1"/>
    <row r="230" s="451" customFormat="1"/>
    <row r="231" s="451" customFormat="1"/>
    <row r="232" s="451" customFormat="1"/>
    <row r="233" s="451" customFormat="1"/>
    <row r="234" s="451" customFormat="1"/>
    <row r="235" s="451" customFormat="1"/>
    <row r="236" s="451" customFormat="1"/>
    <row r="237" s="451" customFormat="1"/>
    <row r="238" s="451" customFormat="1"/>
    <row r="239" s="451" customFormat="1"/>
    <row r="240" s="451" customFormat="1"/>
    <row r="241" s="451" customFormat="1"/>
    <row r="242" s="451" customFormat="1"/>
    <row r="243" s="451" customFormat="1"/>
    <row r="244" s="451" customFormat="1"/>
    <row r="245" s="451" customFormat="1"/>
    <row r="246" s="451" customFormat="1"/>
    <row r="247" s="451" customFormat="1"/>
    <row r="248" s="451" customFormat="1"/>
    <row r="249" s="451" customFormat="1"/>
    <row r="250" s="451" customFormat="1"/>
    <row r="251" s="451" customFormat="1"/>
    <row r="252" s="451" customFormat="1"/>
    <row r="253" s="451" customFormat="1" ht="14.25" customHeight="1"/>
    <row r="254" s="451" customFormat="1"/>
    <row r="255" s="451" customFormat="1"/>
    <row r="256" s="451" customFormat="1"/>
    <row r="257" s="451" customFormat="1"/>
    <row r="258" s="451" customFormat="1"/>
    <row r="259" s="451" customFormat="1"/>
    <row r="260" s="451" customFormat="1"/>
    <row r="261" s="451" customFormat="1"/>
    <row r="262" s="451" customFormat="1"/>
    <row r="263" s="451" customFormat="1"/>
    <row r="264" s="451" customFormat="1"/>
    <row r="265" s="451" customFormat="1"/>
    <row r="266" s="451" customFormat="1"/>
    <row r="267" s="451" customFormat="1"/>
    <row r="268" s="451" customFormat="1"/>
    <row r="269" s="451" customFormat="1"/>
    <row r="270" s="451" customFormat="1"/>
    <row r="271" s="451" customFormat="1"/>
    <row r="272" s="451" customFormat="1"/>
    <row r="273" s="451" customFormat="1"/>
    <row r="274" s="451" customFormat="1"/>
    <row r="275" s="451" customFormat="1"/>
    <row r="276" s="451" customFormat="1"/>
    <row r="277" s="451" customFormat="1"/>
    <row r="278" s="451" customFormat="1"/>
    <row r="279" s="451" customFormat="1"/>
    <row r="280" s="451" customFormat="1"/>
    <row r="281" s="451" customFormat="1"/>
    <row r="282" s="451" customFormat="1"/>
    <row r="283" s="451" customFormat="1"/>
    <row r="284" s="451" customFormat="1"/>
    <row r="285" s="451" customFormat="1"/>
    <row r="286" s="451" customFormat="1"/>
    <row r="287" s="451" customFormat="1"/>
    <row r="288" s="451" customFormat="1"/>
    <row r="289" s="451" customFormat="1"/>
    <row r="290" s="451" customFormat="1"/>
    <row r="291" s="451" customFormat="1"/>
    <row r="292" s="451" customFormat="1"/>
    <row r="293" s="451" customFormat="1"/>
    <row r="294" s="451" customFormat="1"/>
    <row r="295" s="451" customFormat="1"/>
    <row r="296" s="451" customFormat="1"/>
    <row r="297" s="451" customFormat="1"/>
    <row r="298" s="451" customFormat="1"/>
    <row r="299" s="451" customFormat="1"/>
    <row r="300" s="451" customFormat="1"/>
    <row r="301" s="451" customFormat="1"/>
    <row r="302" s="451" customFormat="1"/>
    <row r="303" s="451" customFormat="1"/>
    <row r="304" s="451" customFormat="1"/>
    <row r="305" spans="1:85" s="451" customFormat="1"/>
    <row r="306" spans="1:85" s="17" customFormat="1" ht="15">
      <c r="A306" s="298"/>
      <c r="S306" s="343"/>
    </row>
    <row r="307" spans="1:85" s="17" customFormat="1" ht="15">
      <c r="A307" s="298"/>
      <c r="S307" s="343"/>
    </row>
    <row r="308" spans="1:85" s="17" customFormat="1" ht="15">
      <c r="A308" s="298"/>
      <c r="S308" s="343"/>
    </row>
    <row r="309" spans="1:85" s="17" customFormat="1" ht="15">
      <c r="A309" s="298"/>
      <c r="S309" s="343"/>
    </row>
    <row r="310" spans="1:85" s="17" customFormat="1" ht="15">
      <c r="A310" s="298"/>
      <c r="S310" s="343"/>
    </row>
    <row r="311" spans="1:85" ht="15">
      <c r="A311" s="298"/>
      <c r="B311" s="17"/>
      <c r="C311" s="17"/>
      <c r="D311" s="17"/>
      <c r="E311" s="17"/>
      <c r="F311" s="17"/>
      <c r="G311" s="17"/>
      <c r="H311" s="17"/>
      <c r="I311" s="17"/>
      <c r="J311" s="17"/>
      <c r="K311" s="17"/>
      <c r="L311" s="17"/>
      <c r="M311" s="17"/>
      <c r="N311" s="17"/>
      <c r="O311" s="17"/>
      <c r="P311" s="17"/>
      <c r="Q311" s="17"/>
      <c r="R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17"/>
      <c r="BK311" s="17"/>
      <c r="BL311" s="17"/>
      <c r="BM311" s="17"/>
      <c r="BN311" s="17"/>
      <c r="BO311" s="17"/>
      <c r="BP311" s="17"/>
      <c r="BQ311" s="17"/>
      <c r="BR311" s="17"/>
      <c r="BS311" s="17"/>
      <c r="BT311" s="17"/>
      <c r="BU311" s="17"/>
      <c r="BV311" s="17"/>
      <c r="BW311" s="17"/>
      <c r="BX311" s="17"/>
      <c r="BY311" s="17"/>
      <c r="BZ311" s="17"/>
      <c r="CA311" s="17"/>
      <c r="CB311" s="17"/>
      <c r="CC311" s="17"/>
      <c r="CD311" s="17"/>
      <c r="CE311" s="17"/>
      <c r="CF311" s="17"/>
      <c r="CG311" s="17"/>
    </row>
  </sheetData>
  <phoneticPr fontId="1" type="noConversion"/>
  <conditionalFormatting sqref="D311:F311">
    <cfRule type="cellIs" dxfId="375" priority="145" operator="greaterThan">
      <formula>1</formula>
    </cfRule>
    <cfRule type="cellIs" dxfId="374" priority="146" operator="greaterThan">
      <formula>1</formula>
    </cfRule>
  </conditionalFormatting>
  <conditionalFormatting sqref="K311">
    <cfRule type="cellIs" dxfId="373" priority="144" operator="greaterThan">
      <formula>1</formula>
    </cfRule>
  </conditionalFormatting>
  <conditionalFormatting sqref="E113 E231 E216">
    <cfRule type="expression" dxfId="372" priority="143">
      <formula>BN113="Shipper"</formula>
    </cfRule>
  </conditionalFormatting>
  <conditionalFormatting sqref="N137 N126 N152 N165 N176 N191 N262 N244 N280 N294">
    <cfRule type="cellIs" dxfId="371" priority="142" operator="greaterThan">
      <formula>1</formula>
    </cfRule>
  </conditionalFormatting>
  <conditionalFormatting sqref="E101:E112 E114:E125 E127:E136 E138:E151 E153:E164 E166:E175 E177:E190 E192:E202 E204:E215 E217:E230 E232:E243 E245:E261 E263:E279 E281:E293 E295:E310 D101:D310 F101:F310">
    <cfRule type="cellIs" dxfId="370" priority="140" operator="greaterThan">
      <formula>1</formula>
    </cfRule>
    <cfRule type="cellIs" dxfId="369" priority="141" operator="greaterThan">
      <formula>1</formula>
    </cfRule>
  </conditionalFormatting>
  <conditionalFormatting sqref="K101:K102">
    <cfRule type="cellIs" dxfId="368" priority="139" operator="greaterThan">
      <formula>1</formula>
    </cfRule>
  </conditionalFormatting>
  <conditionalFormatting sqref="K103:K112">
    <cfRule type="cellIs" dxfId="367" priority="138" operator="greaterThan">
      <formula>1</formula>
    </cfRule>
  </conditionalFormatting>
  <conditionalFormatting sqref="E203">
    <cfRule type="expression" dxfId="366" priority="137">
      <formula>BN203="Shipper"</formula>
    </cfRule>
  </conditionalFormatting>
  <conditionalFormatting sqref="T137">
    <cfRule type="containsText" dxfId="365" priority="133" operator="containsText" text="合并">
      <formula>NOT(ISERROR(SEARCH("合并",T137)))</formula>
    </cfRule>
  </conditionalFormatting>
  <conditionalFormatting sqref="M137">
    <cfRule type="cellIs" dxfId="364" priority="132" operator="greaterThan">
      <formula>1</formula>
    </cfRule>
  </conditionalFormatting>
  <conditionalFormatting sqref="AZ137">
    <cfRule type="containsText" dxfId="363" priority="131" operator="containsText" text="深圳">
      <formula>NOT(ISERROR(SEARCH("深圳",AZ137)))</formula>
    </cfRule>
  </conditionalFormatting>
  <conditionalFormatting sqref="T126">
    <cfRule type="containsText" dxfId="362" priority="136" operator="containsText" text="合并">
      <formula>NOT(ISERROR(SEARCH("合并",T126)))</formula>
    </cfRule>
  </conditionalFormatting>
  <conditionalFormatting sqref="M126">
    <cfRule type="cellIs" dxfId="361" priority="135" operator="greaterThan">
      <formula>1</formula>
    </cfRule>
  </conditionalFormatting>
  <conditionalFormatting sqref="AZ126">
    <cfRule type="containsText" dxfId="360" priority="134" operator="containsText" text="深圳">
      <formula>NOT(ISERROR(SEARCH("深圳",AZ126)))</formula>
    </cfRule>
  </conditionalFormatting>
  <conditionalFormatting sqref="T152 T165">
    <cfRule type="containsText" dxfId="359" priority="130" operator="containsText" text="合并">
      <formula>NOT(ISERROR(SEARCH("合并",T152)))</formula>
    </cfRule>
  </conditionalFormatting>
  <conditionalFormatting sqref="M152 M165">
    <cfRule type="cellIs" dxfId="358" priority="129" operator="greaterThan">
      <formula>1</formula>
    </cfRule>
  </conditionalFormatting>
  <conditionalFormatting sqref="AZ152 AZ165">
    <cfRule type="containsText" dxfId="357" priority="128" operator="containsText" text="深圳">
      <formula>NOT(ISERROR(SEARCH("深圳",AZ152)))</formula>
    </cfRule>
  </conditionalFormatting>
  <conditionalFormatting sqref="T176">
    <cfRule type="containsText" dxfId="356" priority="126" operator="containsText" text="合并">
      <formula>NOT(ISERROR(SEARCH("合并",T176)))</formula>
    </cfRule>
  </conditionalFormatting>
  <conditionalFormatting sqref="M176">
    <cfRule type="cellIs" dxfId="355" priority="125" operator="greaterThan">
      <formula>1</formula>
    </cfRule>
  </conditionalFormatting>
  <conditionalFormatting sqref="AZ176">
    <cfRule type="containsText" dxfId="354" priority="124" operator="containsText" text="深圳">
      <formula>NOT(ISERROR(SEARCH("深圳",AZ176)))</formula>
    </cfRule>
  </conditionalFormatting>
  <conditionalFormatting sqref="H152 H165">
    <cfRule type="containsText" dxfId="353" priority="127" operator="containsText" text="合并">
      <formula>NOT(ISERROR(SEARCH("合并",H152)))</formula>
    </cfRule>
  </conditionalFormatting>
  <conditionalFormatting sqref="T191">
    <cfRule type="containsText" dxfId="352" priority="123" operator="containsText" text="合并">
      <formula>NOT(ISERROR(SEARCH("合并",T191)))</formula>
    </cfRule>
  </conditionalFormatting>
  <conditionalFormatting sqref="M191">
    <cfRule type="cellIs" dxfId="351" priority="122" operator="greaterThan">
      <formula>1</formula>
    </cfRule>
  </conditionalFormatting>
  <conditionalFormatting sqref="AZ191">
    <cfRule type="containsText" dxfId="350" priority="121" operator="containsText" text="深圳">
      <formula>NOT(ISERROR(SEARCH("深圳",AZ191)))</formula>
    </cfRule>
  </conditionalFormatting>
  <conditionalFormatting sqref="K114:K121">
    <cfRule type="cellIs" dxfId="349" priority="120" operator="greaterThan">
      <formula>1</formula>
    </cfRule>
  </conditionalFormatting>
  <conditionalFormatting sqref="K122:K125">
    <cfRule type="cellIs" dxfId="348" priority="119" operator="greaterThan">
      <formula>1</formula>
    </cfRule>
  </conditionalFormatting>
  <conditionalFormatting sqref="K127:K136">
    <cfRule type="cellIs" dxfId="347" priority="118" operator="greaterThan">
      <formula>1</formula>
    </cfRule>
  </conditionalFormatting>
  <conditionalFormatting sqref="K138:K145">
    <cfRule type="cellIs" dxfId="346" priority="117" operator="greaterThan">
      <formula>1</formula>
    </cfRule>
  </conditionalFormatting>
  <conditionalFormatting sqref="K146:K151">
    <cfRule type="cellIs" dxfId="345" priority="116" operator="greaterThan">
      <formula>1</formula>
    </cfRule>
  </conditionalFormatting>
  <conditionalFormatting sqref="K153:K162">
    <cfRule type="cellIs" dxfId="344" priority="115" operator="greaterThan">
      <formula>1</formula>
    </cfRule>
  </conditionalFormatting>
  <conditionalFormatting sqref="K163:K164">
    <cfRule type="cellIs" dxfId="343" priority="114" operator="greaterThan">
      <formula>1</formula>
    </cfRule>
  </conditionalFormatting>
  <conditionalFormatting sqref="K166:K175">
    <cfRule type="cellIs" dxfId="342" priority="113" operator="greaterThan">
      <formula>1</formula>
    </cfRule>
  </conditionalFormatting>
  <conditionalFormatting sqref="K177:K184">
    <cfRule type="cellIs" dxfId="341" priority="112" operator="greaterThan">
      <formula>1</formula>
    </cfRule>
  </conditionalFormatting>
  <conditionalFormatting sqref="K185:K190">
    <cfRule type="cellIs" dxfId="340" priority="111" operator="greaterThan">
      <formula>1</formula>
    </cfRule>
  </conditionalFormatting>
  <conditionalFormatting sqref="K192:K200">
    <cfRule type="cellIs" dxfId="339" priority="110" operator="greaterThan">
      <formula>1</formula>
    </cfRule>
  </conditionalFormatting>
  <conditionalFormatting sqref="K201:K202">
    <cfRule type="cellIs" dxfId="338" priority="109" operator="greaterThan">
      <formula>1</formula>
    </cfRule>
  </conditionalFormatting>
  <conditionalFormatting sqref="K204:K211">
    <cfRule type="cellIs" dxfId="337" priority="108" operator="greaterThan">
      <formula>1</formula>
    </cfRule>
  </conditionalFormatting>
  <conditionalFormatting sqref="K212:K215">
    <cfRule type="cellIs" dxfId="336" priority="107" operator="greaterThan">
      <formula>1</formula>
    </cfRule>
  </conditionalFormatting>
  <conditionalFormatting sqref="K217:K226">
    <cfRule type="cellIs" dxfId="335" priority="106" operator="greaterThan">
      <formula>1</formula>
    </cfRule>
  </conditionalFormatting>
  <conditionalFormatting sqref="K227:K230">
    <cfRule type="cellIs" dxfId="334" priority="105" operator="greaterThan">
      <formula>1</formula>
    </cfRule>
  </conditionalFormatting>
  <conditionalFormatting sqref="T262">
    <cfRule type="containsText" dxfId="333" priority="101" operator="containsText" text="合并">
      <formula>NOT(ISERROR(SEARCH("合并",T262)))</formula>
    </cfRule>
  </conditionalFormatting>
  <conditionalFormatting sqref="M262">
    <cfRule type="cellIs" dxfId="332" priority="100" operator="greaterThan">
      <formula>1</formula>
    </cfRule>
  </conditionalFormatting>
  <conditionalFormatting sqref="AZ262">
    <cfRule type="containsText" dxfId="331" priority="99" operator="containsText" text="深圳">
      <formula>NOT(ISERROR(SEARCH("深圳",AZ262)))</formula>
    </cfRule>
  </conditionalFormatting>
  <conditionalFormatting sqref="T244">
    <cfRule type="containsText" dxfId="330" priority="104" operator="containsText" text="合并">
      <formula>NOT(ISERROR(SEARCH("合并",T244)))</formula>
    </cfRule>
  </conditionalFormatting>
  <conditionalFormatting sqref="M244">
    <cfRule type="cellIs" dxfId="329" priority="103" operator="greaterThan">
      <formula>1</formula>
    </cfRule>
  </conditionalFormatting>
  <conditionalFormatting sqref="AZ244">
    <cfRule type="containsText" dxfId="328" priority="102" operator="containsText" text="深圳">
      <formula>NOT(ISERROR(SEARCH("深圳",AZ244)))</formula>
    </cfRule>
  </conditionalFormatting>
  <conditionalFormatting sqref="T280">
    <cfRule type="containsText" dxfId="327" priority="98" operator="containsText" text="合并">
      <formula>NOT(ISERROR(SEARCH("合并",T280)))</formula>
    </cfRule>
  </conditionalFormatting>
  <conditionalFormatting sqref="M280">
    <cfRule type="cellIs" dxfId="326" priority="97" operator="greaterThan">
      <formula>1</formula>
    </cfRule>
  </conditionalFormatting>
  <conditionalFormatting sqref="AZ280">
    <cfRule type="containsText" dxfId="325" priority="96" operator="containsText" text="深圳">
      <formula>NOT(ISERROR(SEARCH("深圳",AZ280)))</formula>
    </cfRule>
  </conditionalFormatting>
  <conditionalFormatting sqref="T294">
    <cfRule type="containsText" dxfId="324" priority="94" operator="containsText" text="合并">
      <formula>NOT(ISERROR(SEARCH("合并",T294)))</formula>
    </cfRule>
  </conditionalFormatting>
  <conditionalFormatting sqref="M294">
    <cfRule type="cellIs" dxfId="323" priority="93" operator="greaterThan">
      <formula>1</formula>
    </cfRule>
  </conditionalFormatting>
  <conditionalFormatting sqref="AZ294">
    <cfRule type="containsText" dxfId="322" priority="92" operator="containsText" text="深圳">
      <formula>NOT(ISERROR(SEARCH("深圳",AZ294)))</formula>
    </cfRule>
  </conditionalFormatting>
  <conditionalFormatting sqref="H280">
    <cfRule type="containsText" dxfId="321" priority="95" operator="containsText" text="合并">
      <formula>NOT(ISERROR(SEARCH("合并",H280)))</formula>
    </cfRule>
  </conditionalFormatting>
  <conditionalFormatting sqref="K232:K239">
    <cfRule type="cellIs" dxfId="320" priority="91" operator="greaterThan">
      <formula>1</formula>
    </cfRule>
  </conditionalFormatting>
  <conditionalFormatting sqref="K240:K243">
    <cfRule type="cellIs" dxfId="319" priority="90" operator="greaterThan">
      <formula>1</formula>
    </cfRule>
  </conditionalFormatting>
  <conditionalFormatting sqref="K245:K251">
    <cfRule type="cellIs" dxfId="318" priority="89" operator="greaterThan">
      <formula>1</formula>
    </cfRule>
  </conditionalFormatting>
  <conditionalFormatting sqref="K252:K261">
    <cfRule type="cellIs" dxfId="317" priority="88" operator="greaterThan">
      <formula>1</formula>
    </cfRule>
  </conditionalFormatting>
  <conditionalFormatting sqref="K263:K271">
    <cfRule type="cellIs" dxfId="316" priority="87" operator="greaterThan">
      <formula>1</formula>
    </cfRule>
  </conditionalFormatting>
  <conditionalFormatting sqref="K272:K279">
    <cfRule type="cellIs" dxfId="315" priority="86" operator="greaterThan">
      <formula>1</formula>
    </cfRule>
  </conditionalFormatting>
  <conditionalFormatting sqref="K281:K289">
    <cfRule type="cellIs" dxfId="314" priority="85" operator="greaterThan">
      <formula>1</formula>
    </cfRule>
  </conditionalFormatting>
  <conditionalFormatting sqref="K290:K293">
    <cfRule type="cellIs" dxfId="313" priority="84" operator="greaterThan">
      <formula>1</formula>
    </cfRule>
  </conditionalFormatting>
  <conditionalFormatting sqref="K295:K304">
    <cfRule type="cellIs" dxfId="312" priority="83" operator="greaterThan">
      <formula>1</formula>
    </cfRule>
  </conditionalFormatting>
  <conditionalFormatting sqref="K305:K310">
    <cfRule type="cellIs" dxfId="311" priority="82" operator="greaterThan">
      <formula>1</formula>
    </cfRule>
  </conditionalFormatting>
  <conditionalFormatting sqref="D1">
    <cfRule type="expression" dxfId="310" priority="81">
      <formula>BC1="Shipper"</formula>
    </cfRule>
  </conditionalFormatting>
  <conditionalFormatting sqref="K2:K32">
    <cfRule type="cellIs" dxfId="309" priority="1" operator="greaterThan">
      <formula>1</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79" operator="containsText" text="合并" id="{681651BA-EC56-45B1-87C0-D028A966C0E8}">
            <xm:f>NOT(ISERROR(SEARCH("合并",'\我的文件\FC发货文件\2019\11月\发货表\[FC发货表11.12.xlsx]操作页'!#REF!)))</xm:f>
            <x14:dxf>
              <fill>
                <patternFill>
                  <bgColor rgb="FFFFFF00"/>
                </patternFill>
              </fill>
            </x14:dxf>
          </x14:cfRule>
          <xm:sqref>Q47:Q52</xm:sqref>
        </x14:conditionalFormatting>
        <x14:conditionalFormatting xmlns:xm="http://schemas.microsoft.com/office/excel/2006/main">
          <x14:cfRule type="containsText" priority="80" operator="containsText" text="深圳" id="{4436F932-26B8-463B-8B49-46AD5658EB92}">
            <xm:f>NOT(ISERROR(SEARCH("深圳",'\我的文件\FC发货文件\2019\11月\发货表\[FC发货表11.12.xlsx]操作页'!#REF!)))</xm:f>
            <x14:dxf>
              <fill>
                <patternFill>
                  <bgColor theme="9" tint="-0.24994659260841701"/>
                </patternFill>
              </fill>
            </x14:dxf>
          </x14:cfRule>
          <xm:sqref>AP47:AP52</xm:sqref>
        </x14:conditionalFormatting>
        <x14:conditionalFormatting xmlns:xm="http://schemas.microsoft.com/office/excel/2006/main">
          <x14:cfRule type="containsText" priority="2" operator="containsText" text="合并" id="{69C6111F-5455-4C0A-814A-C3D7E909150E}">
            <xm:f>NOT(ISERROR(SEARCH("合并",'\FC模版\2020\1月\发货表\[FC发货表1.9.xlsm]操作页'!#REF!)))</xm:f>
            <x14:dxf>
              <fill>
                <patternFill>
                  <bgColor rgb="FFFFFF00"/>
                </patternFill>
              </fill>
            </x14:dxf>
          </x14:cfRule>
          <xm:sqref>Q2:Q21 Q23:Q28</xm:sqref>
        </x14:conditionalFormatting>
        <x14:conditionalFormatting xmlns:xm="http://schemas.microsoft.com/office/excel/2006/main">
          <x14:cfRule type="containsText" priority="3" operator="containsText" text="深圳" id="{DACCA080-3494-48B0-8D47-2B738A2AA574}">
            <xm:f>NOT(ISERROR(SEARCH("深圳",'\FC模版\2020\1月\发货表\[FC发货表1.9.xlsm]操作页'!#REF!)))</xm:f>
            <x14:dxf>
              <fill>
                <patternFill>
                  <bgColor theme="9" tint="-0.24994659260841701"/>
                </patternFill>
              </fill>
            </x14:dxf>
          </x14:cfRule>
          <xm:sqref>AP2:AP21 AP23:AP28</xm:sqref>
        </x14:conditionalFormatting>
        <x14:conditionalFormatting xmlns:xm="http://schemas.microsoft.com/office/excel/2006/main">
          <x14:cfRule type="containsText" priority="4" operator="containsText" text="合并" id="{21B5A58E-7CF6-4F65-99BD-125B399A12FF}">
            <xm:f>NOT(ISERROR(SEARCH("合并",'\FC模版\2020\1月\发货表\[FC发货表1.9.xlsm]操作页'!#REF!)))</xm:f>
            <x14:dxf>
              <fill>
                <patternFill>
                  <bgColor rgb="FFFFFF00"/>
                </patternFill>
              </fill>
            </x14:dxf>
          </x14:cfRule>
          <xm:sqref>Q29:Q32 Q22</xm:sqref>
        </x14:conditionalFormatting>
        <x14:conditionalFormatting xmlns:xm="http://schemas.microsoft.com/office/excel/2006/main">
          <x14:cfRule type="containsText" priority="5" operator="containsText" text="深圳" id="{EEA1977D-DECB-4690-B9E5-17B274938752}">
            <xm:f>NOT(ISERROR(SEARCH("深圳",'\FC模版\2020\1月\发货表\[FC发货表1.9.xlsm]操作页'!#REF!)))</xm:f>
            <x14:dxf>
              <fill>
                <patternFill>
                  <bgColor theme="9" tint="-0.24994659260841701"/>
                </patternFill>
              </fill>
            </x14:dxf>
          </x14:cfRule>
          <xm:sqref>AP29:AP32 AP22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00"/>
  <sheetViews>
    <sheetView workbookViewId="0">
      <selection activeCell="B6" sqref="B6"/>
    </sheetView>
  </sheetViews>
  <sheetFormatPr defaultRowHeight="13.5"/>
  <cols>
    <col min="1" max="1" width="9" style="184"/>
    <col min="2" max="2" width="15.75" style="183" customWidth="1"/>
    <col min="3" max="16384" width="9" style="183"/>
  </cols>
  <sheetData>
    <row r="1" spans="1:3">
      <c r="A1" s="184" t="str">
        <f>发货清单!A2&amp;COUNTIF(发货清单!$A$2:A2,发货清单!A2)</f>
        <v>16361</v>
      </c>
      <c r="B1" s="183" t="str">
        <f>"   "&amp;发货清单!H2&amp;"  "&amp;发货清单!J2&amp;"g*"&amp;发货清单!K2</f>
        <v xml:space="preserve">   BD1589-5g  5g*5</v>
      </c>
      <c r="C1" s="183" t="str">
        <f>B1</f>
        <v xml:space="preserve">   BD1589-5g  5g*5</v>
      </c>
    </row>
    <row r="2" spans="1:3">
      <c r="A2" s="184" t="str">
        <f>发货清单!A3&amp;COUNTIF(发货清单!$A$2:A3,发货清单!A3)</f>
        <v>16362</v>
      </c>
      <c r="B2" s="183" t="str">
        <f>IF(发货清单!A3=0," ","   "&amp;发货清单!H3&amp;"  "&amp;发货清单!J3&amp;"g*"&amp;发货清单!K3)</f>
        <v xml:space="preserve">   BD1589-5g  5g*5</v>
      </c>
      <c r="C2" s="183" t="str">
        <f>IF(NOT(COUNTIF($B$1:B2,B2)-1),B2," ")</f>
        <v xml:space="preserve"> </v>
      </c>
    </row>
    <row r="3" spans="1:3">
      <c r="A3" s="184" t="str">
        <f>发货清单!A4&amp;COUNTIF(发货清单!$A$2:A4,发货清单!A4)</f>
        <v>16363</v>
      </c>
      <c r="B3" s="183" t="str">
        <f>IF(发货清单!A4=0," ","   "&amp;发货清单!H4&amp;"  "&amp;发货清单!J4&amp;"g*"&amp;发货清单!K4)</f>
        <v xml:space="preserve">   BD1589-5g  5g*5</v>
      </c>
      <c r="C3" s="183" t="str">
        <f>IF(NOT(COUNTIF($B$1:B3,B3)-1),B3," ")</f>
        <v xml:space="preserve"> </v>
      </c>
    </row>
    <row r="4" spans="1:3">
      <c r="A4" s="184" t="str">
        <f>发货清单!A5&amp;COUNTIF(发货清单!$A$2:A5,发货清单!A5)</f>
        <v>16364</v>
      </c>
      <c r="B4" s="183" t="str">
        <f>IF(发货清单!A5=0," ","   "&amp;发货清单!H5&amp;"  "&amp;发货清单!J5&amp;"g*"&amp;发货清单!K5)</f>
        <v xml:space="preserve">   BD1589-5g  5g*5</v>
      </c>
      <c r="C4" s="183" t="str">
        <f>IF(NOT(COUNTIF($B$1:B4,B4)-1),B4," ")</f>
        <v xml:space="preserve"> </v>
      </c>
    </row>
    <row r="5" spans="1:3">
      <c r="A5" s="184" t="str">
        <f>发货清单!A6&amp;COUNTIF(发货清单!$A$2:A6,发货清单!A6)</f>
        <v>16365</v>
      </c>
      <c r="B5" s="183" t="str">
        <f>IF(发货清单!A6=0," ","   "&amp;发货清单!H6&amp;"  "&amp;发货清单!J6&amp;"g*"&amp;发货清单!K6)</f>
        <v xml:space="preserve">   BD1589-5g  5g*5</v>
      </c>
      <c r="C5" s="183" t="str">
        <f>IF(NOT(COUNTIF($B$1:B5,B5)-1),B5," ")</f>
        <v xml:space="preserve"> </v>
      </c>
    </row>
    <row r="6" spans="1:3">
      <c r="A6" s="184" t="str">
        <f>发货清单!A7&amp;COUNTIF(发货清单!$A$2:A7,发货清单!A7)</f>
        <v>16366</v>
      </c>
      <c r="B6" s="183" t="str">
        <f>IF(发货清单!A7=0," ","   "&amp;发货清单!H7&amp;"  "&amp;发货清单!J7&amp;"g*"&amp;发货清单!K7)</f>
        <v xml:space="preserve">   BD8508-100g  100g*1</v>
      </c>
      <c r="C6" s="183" t="str">
        <f>IF(NOT(COUNTIF($B$1:B6,B6)-1),B6," ")</f>
        <v xml:space="preserve">   BD8508-100g  100g*1</v>
      </c>
    </row>
    <row r="7" spans="1:3">
      <c r="A7" s="184" t="str">
        <f>发货清单!A8&amp;COUNTIF(发货清单!$A$2:A8,发货清单!A8)</f>
        <v>16367</v>
      </c>
      <c r="B7" s="183" t="str">
        <f>IF(发货清单!A8=0," ","   "&amp;发货清单!H8&amp;"  "&amp;发货清单!J8&amp;"g*"&amp;发货清单!K8)</f>
        <v xml:space="preserve">   BD11956-25g  25g*1</v>
      </c>
      <c r="C7" s="183" t="str">
        <f>IF(NOT(COUNTIF($B$1:B7,B7)-1),B7," ")</f>
        <v xml:space="preserve">   BD11956-25g  25g*1</v>
      </c>
    </row>
    <row r="8" spans="1:3">
      <c r="A8" s="184" t="str">
        <f>发货清单!A9&amp;COUNTIF(发货清单!$A$2:A9,发货清单!A9)</f>
        <v>16331</v>
      </c>
      <c r="B8" s="183" t="str">
        <f>IF(发货清单!A9=0," ","   "&amp;发货清单!H9&amp;"  "&amp;发货清单!J9&amp;"g*"&amp;发货清单!K9)</f>
        <v xml:space="preserve">   BD6398-100g  100g*1</v>
      </c>
      <c r="C8" s="183" t="str">
        <f>IF(NOT(COUNTIF($B$1:B8,B8)-1),B8," ")</f>
        <v xml:space="preserve">   BD6398-100g  100g*1</v>
      </c>
    </row>
    <row r="9" spans="1:3">
      <c r="A9" s="184" t="str">
        <f>发货清单!A10&amp;COUNTIF(发货清单!$A$2:A10,发货清单!A10)</f>
        <v>16332</v>
      </c>
      <c r="B9" s="183" t="str">
        <f>IF(发货清单!A10=0," ","   "&amp;发货清单!H10&amp;"  "&amp;发货清单!J10&amp;"g*"&amp;发货清单!K10)</f>
        <v xml:space="preserve">   BD6829-500g  500g*1</v>
      </c>
      <c r="C9" s="183" t="str">
        <f>IF(NOT(COUNTIF($B$1:B9,B9)-1),B9," ")</f>
        <v xml:space="preserve">   BD6829-500g  500g*1</v>
      </c>
    </row>
    <row r="10" spans="1:3">
      <c r="A10" s="184" t="str">
        <f>发货清单!A11&amp;COUNTIF(发货清单!$A$2:A11,发货清单!A11)</f>
        <v>16333</v>
      </c>
      <c r="B10" s="183" t="str">
        <f>IF(发货清单!A11=0," ","   "&amp;发货清单!H11&amp;"  "&amp;发货清单!J11&amp;"g*"&amp;发货清单!K11)</f>
        <v xml:space="preserve">   BD4057  100g*1</v>
      </c>
      <c r="C10" s="183" t="str">
        <f>IF(NOT(COUNTIF($B$1:B10,B10)-1),B10," ")</f>
        <v xml:space="preserve">   BD4057  100g*1</v>
      </c>
    </row>
    <row r="11" spans="1:3">
      <c r="A11" s="184" t="str">
        <f>发货清单!A12&amp;COUNTIF(发货清单!$A$2:A12,发货清单!A12)</f>
        <v>6531</v>
      </c>
      <c r="B11" s="183" t="str">
        <f>IF(发货清单!A12=0," ","   "&amp;发货清单!H12&amp;"  "&amp;发货清单!J12&amp;"g*"&amp;发货清单!K12)</f>
        <v xml:space="preserve">   BD134883  50g*1</v>
      </c>
      <c r="C11" s="183" t="str">
        <f>IF(NOT(COUNTIF($B$1:B11,B11)-1),B11," ")</f>
        <v xml:space="preserve">   BD134883  50g*1</v>
      </c>
    </row>
    <row r="12" spans="1:3">
      <c r="A12" s="184" t="str">
        <f>发货清单!A13&amp;COUNTIF(发货清单!$A$2:A13,发货清单!A13)</f>
        <v>6461</v>
      </c>
      <c r="B12" s="183" t="str">
        <f>IF(发货清单!A13=0," ","   "&amp;发货清单!H13&amp;"  "&amp;发货清单!J13&amp;"g*"&amp;发货清单!K13)</f>
        <v xml:space="preserve">   BD29440-25g  25g*1</v>
      </c>
      <c r="C12" s="183" t="str">
        <f>IF(NOT(COUNTIF($B$1:B12,B12)-1),B12," ")</f>
        <v xml:space="preserve">   BD29440-25g  25g*1</v>
      </c>
    </row>
    <row r="13" spans="1:3">
      <c r="A13" s="184" t="str">
        <f>发货清单!A14&amp;COUNTIF(发货清单!$A$2:A14,发货清单!A14)</f>
        <v>2131</v>
      </c>
      <c r="B13" s="183" t="str">
        <f>IF(发货清单!A14=0," ","   "&amp;发货清单!H14&amp;"  "&amp;发货清单!J14&amp;"g*"&amp;发货清单!K14)</f>
        <v xml:space="preserve">   BD59957-25g  25g*1</v>
      </c>
      <c r="C13" s="183" t="str">
        <f>IF(NOT(COUNTIF($B$1:B13,B13)-1),B13," ")</f>
        <v xml:space="preserve">   BD59957-25g  25g*1</v>
      </c>
    </row>
    <row r="14" spans="1:3">
      <c r="A14" s="184" t="str">
        <f>发货清单!A15&amp;COUNTIF(发货清单!$A$2:A15,发货清单!A15)</f>
        <v>2132</v>
      </c>
      <c r="B14" s="183" t="str">
        <f>IF(发货清单!A15=0," ","   "&amp;发货清单!H15&amp;"  "&amp;发货清单!J15&amp;"g*"&amp;发货清单!K15)</f>
        <v xml:space="preserve">   BD134755-1g  1g*1</v>
      </c>
      <c r="C14" s="183" t="str">
        <f>IF(NOT(COUNTIF($B$1:B14,B14)-1),B14," ")</f>
        <v xml:space="preserve">   BD134755-1g  1g*1</v>
      </c>
    </row>
    <row r="15" spans="1:3">
      <c r="A15" s="184" t="str">
        <f>发货清单!A16&amp;COUNTIF(发货清单!$A$2:A16,发货清单!A16)</f>
        <v>0</v>
      </c>
      <c r="B15" s="183" t="str">
        <f>IF(发货清单!A16=0," ","   "&amp;发货清单!H16&amp;"  "&amp;发货清单!J16&amp;"g*"&amp;发货清单!K16)</f>
        <v xml:space="preserve"> </v>
      </c>
      <c r="C15" s="183" t="str">
        <f>IF(NOT(COUNTIF($B$1:B15,B15)-1),B15," ")</f>
        <v xml:space="preserve"> </v>
      </c>
    </row>
    <row r="16" spans="1:3">
      <c r="A16" s="184" t="str">
        <f>发货清单!A17&amp;COUNTIF(发货清单!$A$2:A17,发货清单!A17)</f>
        <v>2111</v>
      </c>
      <c r="B16" s="183" t="str">
        <f>IF(发货清单!A17=0," ","   "&amp;发货清单!H17&amp;"  "&amp;发货清单!J17&amp;"g*"&amp;发货清单!K17)</f>
        <v xml:space="preserve">   BD34276  100g*5</v>
      </c>
      <c r="C16" s="183" t="str">
        <f>IF(NOT(COUNTIF($B$1:B16,B16)-1),B16," ")</f>
        <v xml:space="preserve">   BD34276  100g*5</v>
      </c>
    </row>
    <row r="17" spans="1:3">
      <c r="A17" s="184" t="str">
        <f>发货清单!A18&amp;COUNTIF(发货清单!$A$2:A18,发货清单!A18)</f>
        <v>2112</v>
      </c>
      <c r="B17" s="183" t="str">
        <f>IF(发货清单!A18=0," ","   "&amp;发货清单!H18&amp;"  "&amp;发货清单!J18&amp;"g*"&amp;发货清单!K18)</f>
        <v xml:space="preserve">   BD34276  100g*5</v>
      </c>
      <c r="C17" s="183" t="str">
        <f>IF(NOT(COUNTIF($B$1:B17,B17)-1),B17," ")</f>
        <v xml:space="preserve"> </v>
      </c>
    </row>
    <row r="18" spans="1:3">
      <c r="A18" s="184" t="str">
        <f>发货清单!A19&amp;COUNTIF(发货清单!$A$2:A19,发货清单!A19)</f>
        <v>2113</v>
      </c>
      <c r="B18" s="183" t="str">
        <f>IF(发货清单!A19=0," ","   "&amp;发货清单!H19&amp;"  "&amp;发货清单!J19&amp;"g*"&amp;发货清单!K19)</f>
        <v xml:space="preserve">   BD34276  100g*5</v>
      </c>
      <c r="C18" s="183" t="str">
        <f>IF(NOT(COUNTIF($B$1:B18,B18)-1),B18," ")</f>
        <v xml:space="preserve"> </v>
      </c>
    </row>
    <row r="19" spans="1:3">
      <c r="A19" s="184" t="str">
        <f>发货清单!A20&amp;COUNTIF(发货清单!$A$2:A20,发货清单!A20)</f>
        <v>2114</v>
      </c>
      <c r="B19" s="183" t="str">
        <f>IF(发货清单!A20=0," ","   "&amp;发货清单!H20&amp;"  "&amp;发货清单!J20&amp;"g*"&amp;发货清单!K20)</f>
        <v xml:space="preserve">   BD34276  100g*5</v>
      </c>
      <c r="C19" s="183" t="str">
        <f>IF(NOT(COUNTIF($B$1:B19,B19)-1),B19," ")</f>
        <v xml:space="preserve"> </v>
      </c>
    </row>
    <row r="20" spans="1:3">
      <c r="A20" s="184" t="str">
        <f>发货清单!A21&amp;COUNTIF(发货清单!$A$2:A21,发货清单!A21)</f>
        <v>2115</v>
      </c>
      <c r="B20" s="183" t="str">
        <f>IF(发货清单!A21=0," ","   "&amp;发货清单!H21&amp;"  "&amp;发货清单!J21&amp;"g*"&amp;发货清单!K21)</f>
        <v xml:space="preserve">   BD34276  100g*5</v>
      </c>
      <c r="C20" s="183" t="str">
        <f>IF(NOT(COUNTIF($B$1:B20,B20)-1),B20," ")</f>
        <v xml:space="preserve"> </v>
      </c>
    </row>
    <row r="21" spans="1:3">
      <c r="A21" s="184" t="str">
        <f>发货清单!A22&amp;COUNTIF(发货清单!$A$2:A22,发货清单!A22)</f>
        <v>811</v>
      </c>
      <c r="B21" s="183" t="str">
        <f>IF(发货清单!A22=0," ","   "&amp;发货清单!H22&amp;"  "&amp;发货清单!J22&amp;"g*"&amp;发货清单!K22)</f>
        <v xml:space="preserve">   BD33944  1000g*1</v>
      </c>
      <c r="C21" s="183" t="str">
        <f>IF(NOT(COUNTIF($B$1:B21,B21)-1),B21," ")</f>
        <v xml:space="preserve">   BD33944  1000g*1</v>
      </c>
    </row>
    <row r="22" spans="1:3">
      <c r="A22" s="184" t="str">
        <f>发货清单!A23&amp;COUNTIF(发货清单!$A$2:A23,发货清单!A23)</f>
        <v>0</v>
      </c>
      <c r="B22" s="183" t="str">
        <f>IF(发货清单!A23=0," ","   "&amp;发货清单!H23&amp;"  "&amp;发货清单!J23&amp;"g*"&amp;发货清单!K23)</f>
        <v xml:space="preserve"> </v>
      </c>
      <c r="C22" s="183" t="str">
        <f>IF(NOT(COUNTIF($B$1:B22,B22)-1),B22," ")</f>
        <v xml:space="preserve"> </v>
      </c>
    </row>
    <row r="23" spans="1:3">
      <c r="A23" s="184" t="str">
        <f>发货清单!A24&amp;COUNTIF(发货清单!$A$2:A24,发货清单!A24)</f>
        <v>1541</v>
      </c>
      <c r="B23" s="183" t="str">
        <f>IF(发货清单!A24=0," ","   "&amp;发货清单!H24&amp;"  "&amp;发货清单!J24&amp;"g*"&amp;发货清单!K24)</f>
        <v xml:space="preserve">   BD8507  25g*4</v>
      </c>
      <c r="C23" s="183" t="str">
        <f>IF(NOT(COUNTIF($B$1:B23,B23)-1),B23," ")</f>
        <v xml:space="preserve">   BD8507  25g*4</v>
      </c>
    </row>
    <row r="24" spans="1:3">
      <c r="A24" s="184" t="str">
        <f>发货清单!A25&amp;COUNTIF(发货清单!$A$2:A25,发货清单!A25)</f>
        <v>1542</v>
      </c>
      <c r="B24" s="183" t="str">
        <f>IF(发货清单!A25=0," ","   "&amp;发货清单!H25&amp;"  "&amp;发货清单!J25&amp;"g*"&amp;发货清单!K25)</f>
        <v xml:space="preserve">   BD8507  25g*4</v>
      </c>
      <c r="C24" s="183" t="str">
        <f>IF(NOT(COUNTIF($B$1:B24,B24)-1),B24," ")</f>
        <v xml:space="preserve"> </v>
      </c>
    </row>
    <row r="25" spans="1:3">
      <c r="A25" s="184" t="str">
        <f>发货清单!A26&amp;COUNTIF(发货清单!$A$2:A26,发货清单!A26)</f>
        <v>1543</v>
      </c>
      <c r="B25" s="183" t="str">
        <f>IF(发货清单!A26=0," ","   "&amp;发货清单!H26&amp;"  "&amp;发货清单!J26&amp;"g*"&amp;发货清单!K26)</f>
        <v xml:space="preserve">   BD8507  25g*4</v>
      </c>
      <c r="C25" s="183" t="str">
        <f>IF(NOT(COUNTIF($B$1:B25,B25)-1),B25," ")</f>
        <v xml:space="preserve"> </v>
      </c>
    </row>
    <row r="26" spans="1:3">
      <c r="A26" s="184" t="str">
        <f>发货清单!A27&amp;COUNTIF(发货清单!$A$2:A27,发货清单!A27)</f>
        <v>1544</v>
      </c>
      <c r="B26" s="183" t="str">
        <f>IF(发货清单!A27=0," ","   "&amp;发货清单!H27&amp;"  "&amp;发货清单!J27&amp;"g*"&amp;发货清单!K27)</f>
        <v xml:space="preserve">   BD8507  25g*4</v>
      </c>
      <c r="C26" s="183" t="str">
        <f>IF(NOT(COUNTIF($B$1:B26,B26)-1),B26," ")</f>
        <v xml:space="preserve"> </v>
      </c>
    </row>
    <row r="27" spans="1:3">
      <c r="A27" s="184" t="str">
        <f>发货清单!A28&amp;COUNTIF(发货清单!$A$2:A28,发货清单!A28)</f>
        <v>1545</v>
      </c>
      <c r="B27" s="183" t="str">
        <f>IF(发货清单!A28=0," ","   "&amp;发货清单!H28&amp;"  "&amp;发货清单!J28&amp;"g*"&amp;发货清单!K28)</f>
        <v xml:space="preserve">   BD38049-5g  5g*1</v>
      </c>
      <c r="C27" s="183" t="str">
        <f>IF(NOT(COUNTIF($B$1:B27,B27)-1),B27," ")</f>
        <v xml:space="preserve">   BD38049-5g  5g*1</v>
      </c>
    </row>
    <row r="28" spans="1:3">
      <c r="A28" s="184" t="str">
        <f>发货清单!A29&amp;COUNTIF(发货清单!$A$2:A29,发货清单!A29)</f>
        <v>1546</v>
      </c>
      <c r="B28" s="183" t="str">
        <f>IF(发货清单!A29=0," ","   "&amp;发货清单!H29&amp;"  "&amp;发货清单!J29&amp;"g*"&amp;发货清单!K29)</f>
        <v xml:space="preserve">   BD8507  100g*1</v>
      </c>
      <c r="C28" s="183" t="str">
        <f>IF(NOT(COUNTIF($B$1:B28,B28)-1),B28," ")</f>
        <v xml:space="preserve">   BD8507  100g*1</v>
      </c>
    </row>
    <row r="29" spans="1:3">
      <c r="A29" s="184" t="str">
        <f>发货清单!A30&amp;COUNTIF(发货清单!$A$2:A30,发货清单!A30)</f>
        <v>461</v>
      </c>
      <c r="B29" s="183" t="str">
        <f>IF(发货清单!A30=0," ","   "&amp;发货清单!H30&amp;"  "&amp;发货清单!J30&amp;"g*"&amp;发货清单!K30)</f>
        <v xml:space="preserve">   BD147837-10g  10g*1</v>
      </c>
      <c r="C29" s="183" t="str">
        <f>IF(NOT(COUNTIF($B$1:B29,B29)-1),B29," ")</f>
        <v xml:space="preserve">   BD147837-10g  10g*1</v>
      </c>
    </row>
    <row r="30" spans="1:3">
      <c r="A30" s="184" t="str">
        <f>发货清单!A31&amp;COUNTIF(发货清单!$A$2:A31,发货清单!A31)</f>
        <v>411</v>
      </c>
      <c r="B30" s="183" t="str">
        <f>IF(发货清单!A31=0," ","   "&amp;发货清单!H31&amp;"  "&amp;发货清单!J31&amp;"g*"&amp;发货清单!K31)</f>
        <v xml:space="preserve">   BD8518-100g  100g*1</v>
      </c>
      <c r="C30" s="183" t="str">
        <f>IF(NOT(COUNTIF($B$1:B30,B30)-1),B30," ")</f>
        <v xml:space="preserve">   BD8518-100g  100g*1</v>
      </c>
    </row>
    <row r="31" spans="1:3">
      <c r="A31" s="184" t="str">
        <f>发货清单!A32&amp;COUNTIF(发货清单!$A$2:A32,发货清单!A32)</f>
        <v>412</v>
      </c>
      <c r="B31" s="183" t="str">
        <f>IF(发货清单!A32=0," ","   "&amp;发货清单!H32&amp;"  "&amp;发货清单!J32&amp;"g*"&amp;发货清单!K32)</f>
        <v xml:space="preserve">   BD34688-500g  500g*1</v>
      </c>
      <c r="C31" s="183" t="str">
        <f>IF(NOT(COUNTIF($B$1:B31,B31)-1),B31," ")</f>
        <v xml:space="preserve">   BD34688-500g  500g*1</v>
      </c>
    </row>
    <row r="32" spans="1:3">
      <c r="A32" s="184" t="str">
        <f>发货清单!A33&amp;COUNTIF(发货清单!$A$2:A33,发货清单!A33)</f>
        <v>0</v>
      </c>
      <c r="B32" s="183" t="str">
        <f>IF(发货清单!A33=0," ","   "&amp;发货清单!H33&amp;"  "&amp;发货清单!J33&amp;"g*"&amp;发货清单!K33)</f>
        <v xml:space="preserve"> </v>
      </c>
      <c r="C32" s="183" t="str">
        <f>IF(NOT(COUNTIF($B$1:B32,B32)-1),B32," ")</f>
        <v xml:space="preserve"> </v>
      </c>
    </row>
    <row r="33" spans="1:3">
      <c r="A33" s="184" t="str">
        <f>发货清单!A34&amp;COUNTIF(发货清单!$A$2:A34,发货清单!A34)</f>
        <v>0</v>
      </c>
      <c r="B33" s="183" t="str">
        <f>IF(发货清单!A34=0," ","   "&amp;发货清单!H34&amp;"  "&amp;发货清单!J34&amp;"g*"&amp;发货清单!K34)</f>
        <v xml:space="preserve"> </v>
      </c>
      <c r="C33" s="183" t="str">
        <f>IF(NOT(COUNTIF($B$1:B33,B33)-1),B33," ")</f>
        <v xml:space="preserve"> </v>
      </c>
    </row>
    <row r="34" spans="1:3">
      <c r="A34" s="184" t="str">
        <f>发货清单!A35&amp;COUNTIF(发货清单!$A$2:A35,发货清单!A35)</f>
        <v>0</v>
      </c>
      <c r="B34" s="183" t="str">
        <f>IF(发货清单!A35=0," ","   "&amp;发货清单!H35&amp;"  "&amp;发货清单!J35&amp;"g*"&amp;发货清单!K35)</f>
        <v xml:space="preserve"> </v>
      </c>
      <c r="C34" s="183" t="str">
        <f>IF(NOT(COUNTIF($B$1:B34,B34)-1),B34," ")</f>
        <v xml:space="preserve"> </v>
      </c>
    </row>
    <row r="35" spans="1:3">
      <c r="A35" s="184" t="str">
        <f>发货清单!A36&amp;COUNTIF(发货清单!$A$2:A36,发货清单!A36)</f>
        <v>0</v>
      </c>
      <c r="B35" s="183" t="str">
        <f>IF(发货清单!A36=0," ","   "&amp;发货清单!H36&amp;"  "&amp;发货清单!J36&amp;"g*"&amp;发货清单!K36)</f>
        <v xml:space="preserve"> </v>
      </c>
      <c r="C35" s="183" t="str">
        <f>IF(NOT(COUNTIF($B$1:B35,B35)-1),B35," ")</f>
        <v xml:space="preserve"> </v>
      </c>
    </row>
    <row r="36" spans="1:3">
      <c r="A36" s="184" t="str">
        <f>发货清单!A37&amp;COUNTIF(发货清单!$A$2:A37,发货清单!A37)</f>
        <v>0</v>
      </c>
      <c r="B36" s="183" t="str">
        <f>IF(发货清单!A37=0," ","   "&amp;发货清单!H37&amp;"  "&amp;发货清单!J37&amp;"g*"&amp;发货清单!K37)</f>
        <v xml:space="preserve"> </v>
      </c>
      <c r="C36" s="183" t="str">
        <f>IF(NOT(COUNTIF($B$1:B36,B36)-1),B36," ")</f>
        <v xml:space="preserve"> </v>
      </c>
    </row>
    <row r="37" spans="1:3">
      <c r="A37" s="184" t="str">
        <f>发货清单!A38&amp;COUNTIF(发货清单!$A$2:A38,发货清单!A38)</f>
        <v>0</v>
      </c>
      <c r="B37" s="183" t="str">
        <f>IF(发货清单!A38=0," ","   "&amp;发货清单!H38&amp;"  "&amp;发货清单!J38&amp;"g*"&amp;发货清单!K38)</f>
        <v xml:space="preserve"> </v>
      </c>
      <c r="C37" s="183" t="str">
        <f>IF(NOT(COUNTIF($B$1:B37,B37)-1),B37," ")</f>
        <v xml:space="preserve"> </v>
      </c>
    </row>
    <row r="38" spans="1:3">
      <c r="A38" s="184" t="str">
        <f>发货清单!A39&amp;COUNTIF(发货清单!$A$2:A39,发货清单!A39)</f>
        <v>0</v>
      </c>
      <c r="B38" s="183" t="str">
        <f>IF(发货清单!A39=0," ","   "&amp;发货清单!H39&amp;"  "&amp;发货清单!J39&amp;"g*"&amp;发货清单!K39)</f>
        <v xml:space="preserve"> </v>
      </c>
      <c r="C38" s="183" t="str">
        <f>IF(NOT(COUNTIF($B$1:B38,B38)-1),B38," ")</f>
        <v xml:space="preserve"> </v>
      </c>
    </row>
    <row r="39" spans="1:3">
      <c r="A39" s="184" t="str">
        <f>发货清单!A40&amp;COUNTIF(发货清单!$A$2:A40,发货清单!A40)</f>
        <v>0</v>
      </c>
      <c r="B39" s="183" t="str">
        <f>IF(发货清单!A40=0," ","   "&amp;发货清单!H40&amp;"  "&amp;发货清单!J40&amp;"g*"&amp;发货清单!K40)</f>
        <v xml:space="preserve"> </v>
      </c>
      <c r="C39" s="183" t="str">
        <f>IF(NOT(COUNTIF($B$1:B39,B39)-1),B39," ")</f>
        <v xml:space="preserve"> </v>
      </c>
    </row>
    <row r="40" spans="1:3">
      <c r="A40" s="184" t="str">
        <f>发货清单!A41&amp;COUNTIF(发货清单!$A$2:A41,发货清单!A41)</f>
        <v>0</v>
      </c>
      <c r="B40" s="183" t="str">
        <f>IF(发货清单!A41=0," ","   "&amp;发货清单!H41&amp;"  "&amp;发货清单!J41&amp;"g*"&amp;发货清单!K41)</f>
        <v xml:space="preserve"> </v>
      </c>
      <c r="C40" s="183" t="str">
        <f>IF(NOT(COUNTIF($B$1:B40,B40)-1),B40," ")</f>
        <v xml:space="preserve"> </v>
      </c>
    </row>
    <row r="41" spans="1:3">
      <c r="A41" s="184" t="str">
        <f>发货清单!A42&amp;COUNTIF(发货清单!$A$2:A42,发货清单!A42)</f>
        <v>0</v>
      </c>
      <c r="B41" s="183" t="str">
        <f>IF(发货清单!A42=0," ","   "&amp;发货清单!H42&amp;"  "&amp;发货清单!J42&amp;"g*"&amp;发货清单!K42)</f>
        <v xml:space="preserve"> </v>
      </c>
      <c r="C41" s="183" t="str">
        <f>IF(NOT(COUNTIF($B$1:B41,B41)-1),B41," ")</f>
        <v xml:space="preserve"> </v>
      </c>
    </row>
    <row r="42" spans="1:3">
      <c r="A42" s="184" t="str">
        <f>发货清单!A43&amp;COUNTIF(发货清单!$A$2:A43,发货清单!A43)</f>
        <v>0</v>
      </c>
      <c r="B42" s="183" t="str">
        <f>IF(发货清单!A43=0," ","   "&amp;发货清单!H43&amp;"  "&amp;发货清单!J43&amp;"g*"&amp;发货清单!K43)</f>
        <v xml:space="preserve"> </v>
      </c>
      <c r="C42" s="183" t="str">
        <f>IF(NOT(COUNTIF($B$1:B42,B42)-1),B42," ")</f>
        <v xml:space="preserve"> </v>
      </c>
    </row>
    <row r="43" spans="1:3">
      <c r="A43" s="184" t="str">
        <f>发货清单!A44&amp;COUNTIF(发货清单!$A$2:A44,发货清单!A44)</f>
        <v>0</v>
      </c>
      <c r="B43" s="183" t="str">
        <f>IF(发货清单!A44=0," ","   "&amp;发货清单!H44&amp;"  "&amp;发货清单!J44&amp;"g*"&amp;发货清单!K44)</f>
        <v xml:space="preserve"> </v>
      </c>
      <c r="C43" s="183" t="str">
        <f>IF(NOT(COUNTIF($B$1:B43,B43)-1),B43," ")</f>
        <v xml:space="preserve"> </v>
      </c>
    </row>
    <row r="44" spans="1:3">
      <c r="A44" s="184" t="str">
        <f>发货清单!A45&amp;COUNTIF(发货清单!$A$2:A45,发货清单!A45)</f>
        <v>0</v>
      </c>
      <c r="B44" s="183" t="str">
        <f>IF(发货清单!A45=0," ","   "&amp;发货清单!H45&amp;"  "&amp;发货清单!J45&amp;"g*"&amp;发货清单!K45)</f>
        <v xml:space="preserve"> </v>
      </c>
      <c r="C44" s="183" t="str">
        <f>IF(NOT(COUNTIF($B$1:B44,B44)-1),B44," ")</f>
        <v xml:space="preserve"> </v>
      </c>
    </row>
    <row r="45" spans="1:3">
      <c r="A45" s="184" t="str">
        <f>发货清单!A46&amp;COUNTIF(发货清单!$A$2:A46,发货清单!A46)</f>
        <v>0</v>
      </c>
      <c r="B45" s="183" t="str">
        <f>IF(发货清单!A46=0," ","   "&amp;发货清单!H46&amp;"  "&amp;发货清单!J46&amp;"g*"&amp;发货清单!K46)</f>
        <v xml:space="preserve"> </v>
      </c>
      <c r="C45" s="183" t="str">
        <f>IF(NOT(COUNTIF($B$1:B45,B45)-1),B45," ")</f>
        <v xml:space="preserve"> </v>
      </c>
    </row>
    <row r="46" spans="1:3">
      <c r="A46" s="184" t="str">
        <f>发货清单!A47&amp;COUNTIF(发货清单!$A$2:A47,发货清单!A47)</f>
        <v>0</v>
      </c>
      <c r="B46" s="183" t="str">
        <f>IF(发货清单!A47=0," ","   "&amp;发货清单!H47&amp;"  "&amp;发货清单!J47&amp;"g*"&amp;发货清单!K47)</f>
        <v xml:space="preserve"> </v>
      </c>
      <c r="C46" s="183" t="str">
        <f>IF(NOT(COUNTIF($B$1:B46,B46)-1),B46," ")</f>
        <v xml:space="preserve"> </v>
      </c>
    </row>
    <row r="47" spans="1:3">
      <c r="A47" s="184" t="str">
        <f>发货清单!A48&amp;COUNTIF(发货清单!$A$2:A48,发货清单!A48)</f>
        <v>0</v>
      </c>
      <c r="B47" s="183" t="str">
        <f>IF(发货清单!A48=0," ","   "&amp;发货清单!H48&amp;"  "&amp;发货清单!J48&amp;"g*"&amp;发货清单!K48)</f>
        <v xml:space="preserve"> </v>
      </c>
      <c r="C47" s="183" t="str">
        <f>IF(NOT(COUNTIF($B$1:B47,B47)-1),B47," ")</f>
        <v xml:space="preserve"> </v>
      </c>
    </row>
    <row r="48" spans="1:3">
      <c r="A48" s="184" t="str">
        <f>发货清单!A49&amp;COUNTIF(发货清单!$A$2:A49,发货清单!A49)</f>
        <v>0</v>
      </c>
      <c r="B48" s="183" t="str">
        <f>IF(发货清单!A49=0," ","   "&amp;发货清单!H49&amp;"  "&amp;发货清单!J49&amp;"g*"&amp;发货清单!K49)</f>
        <v xml:space="preserve"> </v>
      </c>
      <c r="C48" s="183" t="str">
        <f>IF(NOT(COUNTIF($B$1:B48,B48)-1),B48," ")</f>
        <v xml:space="preserve"> </v>
      </c>
    </row>
    <row r="49" spans="1:3">
      <c r="A49" s="184" t="str">
        <f>发货清单!A50&amp;COUNTIF(发货清单!$A$2:A50,发货清单!A50)</f>
        <v>0</v>
      </c>
      <c r="B49" s="183" t="str">
        <f>IF(发货清单!A50=0," ","   "&amp;发货清单!H50&amp;"  "&amp;发货清单!J50&amp;"g*"&amp;发货清单!K50)</f>
        <v xml:space="preserve"> </v>
      </c>
      <c r="C49" s="183" t="str">
        <f>IF(NOT(COUNTIF($B$1:B49,B49)-1),B49," ")</f>
        <v xml:space="preserve"> </v>
      </c>
    </row>
    <row r="50" spans="1:3">
      <c r="A50" s="184" t="str">
        <f>发货清单!A51&amp;COUNTIF(发货清单!$A$2:A51,发货清单!A51)</f>
        <v>0</v>
      </c>
      <c r="B50" s="183" t="str">
        <f>IF(发货清单!A51=0," ","   "&amp;发货清单!H51&amp;"  "&amp;发货清单!J51&amp;"g*"&amp;发货清单!K51)</f>
        <v xml:space="preserve"> </v>
      </c>
      <c r="C50" s="183" t="str">
        <f>IF(NOT(COUNTIF($B$1:B50,B50)-1),B50," ")</f>
        <v xml:space="preserve"> </v>
      </c>
    </row>
    <row r="51" spans="1:3">
      <c r="A51" s="184" t="str">
        <f>发货清单!A52&amp;COUNTIF(发货清单!$A$2:A52,发货清单!A52)</f>
        <v>0</v>
      </c>
      <c r="B51" s="183" t="str">
        <f>IF(发货清单!A52=0," ","   "&amp;发货清单!H52&amp;"  "&amp;发货清单!J52&amp;"g*"&amp;发货清单!K52)</f>
        <v xml:space="preserve"> </v>
      </c>
      <c r="C51" s="183" t="str">
        <f>IF(NOT(COUNTIF($B$1:B51,B51)-1),B51," ")</f>
        <v xml:space="preserve"> </v>
      </c>
    </row>
    <row r="52" spans="1:3">
      <c r="A52" s="184" t="str">
        <f>发货清单!A53&amp;COUNTIF(发货清单!$A$2:A53,发货清单!A53)</f>
        <v>0</v>
      </c>
      <c r="B52" s="183" t="str">
        <f>IF(发货清单!A53=0," ","   "&amp;发货清单!H53&amp;"  "&amp;发货清单!J53&amp;"g*"&amp;发货清单!K53)</f>
        <v xml:space="preserve"> </v>
      </c>
      <c r="C52" s="183" t="str">
        <f>IF(NOT(COUNTIF($B$1:B52,B52)-1),B52," ")</f>
        <v xml:space="preserve"> </v>
      </c>
    </row>
    <row r="53" spans="1:3">
      <c r="A53" s="184" t="str">
        <f>发货清单!A54&amp;COUNTIF(发货清单!$A$2:A54,发货清单!A54)</f>
        <v>0</v>
      </c>
      <c r="B53" s="183" t="str">
        <f>IF(发货清单!A54=0," ","   "&amp;发货清单!H54&amp;"  "&amp;发货清单!J54&amp;"g*"&amp;发货清单!K54)</f>
        <v xml:space="preserve"> </v>
      </c>
      <c r="C53" s="183" t="str">
        <f>IF(NOT(COUNTIF($B$1:B53,B53)-1),B53," ")</f>
        <v xml:space="preserve"> </v>
      </c>
    </row>
    <row r="54" spans="1:3">
      <c r="A54" s="184" t="str">
        <f>发货清单!A55&amp;COUNTIF(发货清单!$A$2:A55,发货清单!A55)</f>
        <v>0</v>
      </c>
      <c r="B54" s="183" t="str">
        <f>IF(发货清单!A55=0," ","   "&amp;发货清单!H55&amp;"  "&amp;发货清单!J55&amp;"g*"&amp;发货清单!K55)</f>
        <v xml:space="preserve"> </v>
      </c>
      <c r="C54" s="183" t="str">
        <f>IF(NOT(COUNTIF($B$1:B54,B54)-1),B54," ")</f>
        <v xml:space="preserve"> </v>
      </c>
    </row>
    <row r="55" spans="1:3">
      <c r="A55" s="184" t="str">
        <f>发货清单!A56&amp;COUNTIF(发货清单!$A$2:A56,发货清单!A56)</f>
        <v>0</v>
      </c>
      <c r="B55" s="183" t="str">
        <f>IF(发货清单!A56=0," ","   "&amp;发货清单!H56&amp;"  "&amp;发货清单!J56&amp;"g*"&amp;发货清单!K56)</f>
        <v xml:space="preserve"> </v>
      </c>
      <c r="C55" s="183" t="str">
        <f>IF(NOT(COUNTIF($B$1:B55,B55)-1),B55," ")</f>
        <v xml:space="preserve"> </v>
      </c>
    </row>
    <row r="56" spans="1:3">
      <c r="A56" s="184" t="str">
        <f>发货清单!A57&amp;COUNTIF(发货清单!$A$2:A57,发货清单!A57)</f>
        <v>0</v>
      </c>
      <c r="B56" s="183" t="str">
        <f>IF(发货清单!A57=0," ","   "&amp;发货清单!H57&amp;"  "&amp;发货清单!J57&amp;"g*"&amp;发货清单!K57)</f>
        <v xml:space="preserve"> </v>
      </c>
      <c r="C56" s="183" t="str">
        <f>IF(NOT(COUNTIF($B$1:B56,B56)-1),B56," ")</f>
        <v xml:space="preserve"> </v>
      </c>
    </row>
    <row r="57" spans="1:3">
      <c r="A57" s="184" t="str">
        <f>发货清单!A58&amp;COUNTIF(发货清单!$A$2:A58,发货清单!A58)</f>
        <v>0</v>
      </c>
      <c r="B57" s="183" t="str">
        <f>IF(发货清单!A58=0," ","   "&amp;发货清单!H58&amp;"  "&amp;发货清单!J58&amp;"g*"&amp;发货清单!K58)</f>
        <v xml:space="preserve"> </v>
      </c>
      <c r="C57" s="183" t="str">
        <f>IF(NOT(COUNTIF($B$1:B57,B57)-1),B57," ")</f>
        <v xml:space="preserve"> </v>
      </c>
    </row>
    <row r="58" spans="1:3">
      <c r="A58" s="184" t="str">
        <f>发货清单!A59&amp;COUNTIF(发货清单!$A$2:A59,发货清单!A59)</f>
        <v>0</v>
      </c>
      <c r="B58" s="183" t="str">
        <f>IF(发货清单!A59=0," ","   "&amp;发货清单!H59&amp;"  "&amp;发货清单!J59&amp;"g*"&amp;发货清单!K59)</f>
        <v xml:space="preserve"> </v>
      </c>
      <c r="C58" s="183" t="str">
        <f>IF(NOT(COUNTIF($B$1:B58,B58)-1),B58," ")</f>
        <v xml:space="preserve"> </v>
      </c>
    </row>
    <row r="59" spans="1:3">
      <c r="A59" s="184" t="str">
        <f>发货清单!A60&amp;COUNTIF(发货清单!$A$2:A60,发货清单!A60)</f>
        <v>0</v>
      </c>
      <c r="B59" s="183" t="str">
        <f>IF(发货清单!A60=0," ","   "&amp;发货清单!H60&amp;"  "&amp;发货清单!J60&amp;"g*"&amp;发货清单!K60)</f>
        <v xml:space="preserve"> </v>
      </c>
      <c r="C59" s="183" t="str">
        <f>IF(NOT(COUNTIF($B$1:B59,B59)-1),B59," ")</f>
        <v xml:space="preserve"> </v>
      </c>
    </row>
    <row r="60" spans="1:3">
      <c r="A60" s="184" t="str">
        <f>发货清单!A61&amp;COUNTIF(发货清单!$A$2:A61,发货清单!A61)</f>
        <v>0</v>
      </c>
      <c r="B60" s="183" t="str">
        <f>IF(发货清单!A61=0," ","   "&amp;发货清单!H61&amp;"  "&amp;发货清单!J61&amp;"g*"&amp;发货清单!K61)</f>
        <v xml:space="preserve"> </v>
      </c>
      <c r="C60" s="183" t="str">
        <f>IF(NOT(COUNTIF($B$1:B60,B60)-1),B60," ")</f>
        <v xml:space="preserve"> </v>
      </c>
    </row>
    <row r="61" spans="1:3">
      <c r="A61" s="184" t="str">
        <f>发货清单!A62&amp;COUNTIF(发货清单!$A$2:A62,发货清单!A62)</f>
        <v>0</v>
      </c>
      <c r="B61" s="183" t="str">
        <f>IF(发货清单!A62=0," ","   "&amp;发货清单!H62&amp;"  "&amp;发货清单!J62&amp;"g*"&amp;发货清单!K62)</f>
        <v xml:space="preserve"> </v>
      </c>
      <c r="C61" s="183" t="str">
        <f>IF(NOT(COUNTIF($B$1:B61,B61)-1),B61," ")</f>
        <v xml:space="preserve"> </v>
      </c>
    </row>
    <row r="62" spans="1:3">
      <c r="A62" s="184" t="str">
        <f>发货清单!A63&amp;COUNTIF(发货清单!$A$2:A63,发货清单!A63)</f>
        <v>0</v>
      </c>
      <c r="B62" s="183" t="str">
        <f>IF(发货清单!A63=0," ","   "&amp;发货清单!H63&amp;"  "&amp;发货清单!J63&amp;"g*"&amp;发货清单!K63)</f>
        <v xml:space="preserve"> </v>
      </c>
      <c r="C62" s="183" t="str">
        <f>IF(NOT(COUNTIF($B$1:B62,B62)-1),B62," ")</f>
        <v xml:space="preserve"> </v>
      </c>
    </row>
    <row r="63" spans="1:3">
      <c r="A63" s="184" t="str">
        <f>发货清单!A64&amp;COUNTIF(发货清单!$A$2:A64,发货清单!A64)</f>
        <v>0</v>
      </c>
      <c r="B63" s="183" t="str">
        <f>IF(发货清单!A64=0," ","   "&amp;发货清单!H64&amp;"  "&amp;发货清单!J64&amp;"g*"&amp;发货清单!K64)</f>
        <v xml:space="preserve"> </v>
      </c>
      <c r="C63" s="183" t="str">
        <f>IF(NOT(COUNTIF($B$1:B63,B63)-1),B63," ")</f>
        <v xml:space="preserve"> </v>
      </c>
    </row>
    <row r="64" spans="1:3">
      <c r="A64" s="184" t="str">
        <f>发货清单!A65&amp;COUNTIF(发货清单!$A$2:A65,发货清单!A65)</f>
        <v>0</v>
      </c>
      <c r="B64" s="183" t="str">
        <f>IF(发货清单!A65=0," ","   "&amp;发货清单!H65&amp;"  "&amp;发货清单!J65&amp;"g*"&amp;发货清单!K65)</f>
        <v xml:space="preserve"> </v>
      </c>
      <c r="C64" s="183" t="str">
        <f>IF(NOT(COUNTIF($B$1:B64,B64)-1),B64," ")</f>
        <v xml:space="preserve"> </v>
      </c>
    </row>
    <row r="65" spans="1:3">
      <c r="A65" s="184" t="str">
        <f>发货清单!A66&amp;COUNTIF(发货清单!$A$2:A66,发货清单!A66)</f>
        <v>0</v>
      </c>
      <c r="B65" s="183" t="str">
        <f>IF(发货清单!A66=0," ","   "&amp;发货清单!H66&amp;"  "&amp;发货清单!J66&amp;"g*"&amp;发货清单!K66)</f>
        <v xml:space="preserve"> </v>
      </c>
      <c r="C65" s="183" t="str">
        <f>IF(NOT(COUNTIF($B$1:B65,B65)-1),B65," ")</f>
        <v xml:space="preserve"> </v>
      </c>
    </row>
    <row r="66" spans="1:3">
      <c r="A66" s="184" t="str">
        <f>发货清单!A67&amp;COUNTIF(发货清单!$A$2:A67,发货清单!A67)</f>
        <v>0</v>
      </c>
      <c r="B66" s="183" t="str">
        <f>IF(发货清单!A67=0," ","   "&amp;发货清单!H67&amp;"  "&amp;发货清单!J67&amp;"g*"&amp;发货清单!K67)</f>
        <v xml:space="preserve"> </v>
      </c>
      <c r="C66" s="183" t="str">
        <f>IF(NOT(COUNTIF($B$1:B66,B66)-1),B66," ")</f>
        <v xml:space="preserve"> </v>
      </c>
    </row>
    <row r="67" spans="1:3">
      <c r="A67" s="184" t="str">
        <f>发货清单!A68&amp;COUNTIF(发货清单!$A$2:A68,发货清单!A68)</f>
        <v>0</v>
      </c>
      <c r="B67" s="183" t="str">
        <f>IF(发货清单!A68=0," ","   "&amp;发货清单!H68&amp;"  "&amp;发货清单!J68&amp;"g*"&amp;发货清单!K68)</f>
        <v xml:space="preserve"> </v>
      </c>
      <c r="C67" s="183" t="str">
        <f>IF(NOT(COUNTIF($B$1:B67,B67)-1),B67," ")</f>
        <v xml:space="preserve"> </v>
      </c>
    </row>
    <row r="68" spans="1:3">
      <c r="A68" s="184" t="str">
        <f>发货清单!A69&amp;COUNTIF(发货清单!$A$2:A69,发货清单!A69)</f>
        <v>0</v>
      </c>
      <c r="B68" s="183" t="str">
        <f>IF(发货清单!A69=0," ","   "&amp;发货清单!H69&amp;"  "&amp;发货清单!J69&amp;"g*"&amp;发货清单!K69)</f>
        <v xml:space="preserve"> </v>
      </c>
      <c r="C68" s="183" t="str">
        <f>IF(NOT(COUNTIF($B$1:B68,B68)-1),B68," ")</f>
        <v xml:space="preserve"> </v>
      </c>
    </row>
    <row r="69" spans="1:3">
      <c r="A69" s="184" t="str">
        <f>发货清单!A70&amp;COUNTIF(发货清单!$A$2:A70,发货清单!A70)</f>
        <v>0</v>
      </c>
      <c r="B69" s="183" t="str">
        <f>IF(发货清单!A70=0," ","   "&amp;发货清单!H70&amp;"  "&amp;发货清单!J70&amp;"g*"&amp;发货清单!K70)</f>
        <v xml:space="preserve"> </v>
      </c>
      <c r="C69" s="183" t="str">
        <f>IF(NOT(COUNTIF($B$1:B69,B69)-1),B69," ")</f>
        <v xml:space="preserve"> </v>
      </c>
    </row>
    <row r="70" spans="1:3">
      <c r="A70" s="184" t="str">
        <f>发货清单!A71&amp;COUNTIF(发货清单!$A$2:A71,发货清单!A71)</f>
        <v>0</v>
      </c>
      <c r="B70" s="183" t="str">
        <f>IF(发货清单!A71=0," ","   "&amp;发货清单!H71&amp;"  "&amp;发货清单!J71&amp;"g*"&amp;发货清单!K71)</f>
        <v xml:space="preserve"> </v>
      </c>
      <c r="C70" s="183" t="str">
        <f>IF(NOT(COUNTIF($B$1:B70,B70)-1),B70," ")</f>
        <v xml:space="preserve"> </v>
      </c>
    </row>
    <row r="71" spans="1:3">
      <c r="A71" s="184" t="str">
        <f>发货清单!A72&amp;COUNTIF(发货清单!$A$2:A72,发货清单!A72)</f>
        <v>0</v>
      </c>
      <c r="B71" s="183" t="str">
        <f>IF(发货清单!A72=0," ","   "&amp;发货清单!H72&amp;"  "&amp;发货清单!J72&amp;"g*"&amp;发货清单!K72)</f>
        <v xml:space="preserve"> </v>
      </c>
      <c r="C71" s="183" t="str">
        <f>IF(NOT(COUNTIF($B$1:B71,B71)-1),B71," ")</f>
        <v xml:space="preserve"> </v>
      </c>
    </row>
    <row r="72" spans="1:3">
      <c r="A72" s="184" t="str">
        <f>发货清单!A73&amp;COUNTIF(发货清单!$A$2:A73,发货清单!A73)</f>
        <v>0</v>
      </c>
      <c r="B72" s="183" t="str">
        <f>IF(发货清单!A73=0," ","   "&amp;发货清单!H73&amp;"  "&amp;发货清单!J73&amp;"g*"&amp;发货清单!K73)</f>
        <v xml:space="preserve"> </v>
      </c>
      <c r="C72" s="183" t="str">
        <f>IF(NOT(COUNTIF($B$1:B72,B72)-1),B72," ")</f>
        <v xml:space="preserve"> </v>
      </c>
    </row>
    <row r="73" spans="1:3">
      <c r="A73" s="184" t="str">
        <f>发货清单!A74&amp;COUNTIF(发货清单!$A$2:A74,发货清单!A74)</f>
        <v>0</v>
      </c>
      <c r="B73" s="183" t="str">
        <f>IF(发货清单!A74=0," ","   "&amp;发货清单!H74&amp;"  "&amp;发货清单!J74&amp;"g*"&amp;发货清单!K74)</f>
        <v xml:space="preserve"> </v>
      </c>
      <c r="C73" s="183" t="str">
        <f>IF(NOT(COUNTIF($B$1:B73,B73)-1),B73," ")</f>
        <v xml:space="preserve"> </v>
      </c>
    </row>
    <row r="74" spans="1:3">
      <c r="A74" s="184" t="str">
        <f>发货清单!A75&amp;COUNTIF(发货清单!$A$2:A75,发货清单!A75)</f>
        <v>0</v>
      </c>
      <c r="B74" s="183" t="str">
        <f>IF(发货清单!A75=0," ","   "&amp;发货清单!H75&amp;"  "&amp;发货清单!J75&amp;"g*"&amp;发货清单!K75)</f>
        <v xml:space="preserve"> </v>
      </c>
      <c r="C74" s="183" t="str">
        <f>IF(NOT(COUNTIF($B$1:B74,B74)-1),B74," ")</f>
        <v xml:space="preserve"> </v>
      </c>
    </row>
    <row r="75" spans="1:3">
      <c r="A75" s="184" t="str">
        <f>发货清单!A76&amp;COUNTIF(发货清单!$A$2:A76,发货清单!A76)</f>
        <v>0</v>
      </c>
      <c r="B75" s="183" t="str">
        <f>IF(发货清单!A76=0," ","   "&amp;发货清单!H76&amp;"  "&amp;发货清单!J76&amp;"g*"&amp;发货清单!K76)</f>
        <v xml:space="preserve"> </v>
      </c>
      <c r="C75" s="183" t="str">
        <f>IF(NOT(COUNTIF($B$1:B75,B75)-1),B75," ")</f>
        <v xml:space="preserve"> </v>
      </c>
    </row>
    <row r="76" spans="1:3">
      <c r="A76" s="184" t="str">
        <f>发货清单!A77&amp;COUNTIF(发货清单!$A$2:A77,发货清单!A77)</f>
        <v>0</v>
      </c>
      <c r="B76" s="183" t="str">
        <f>IF(发货清单!A77=0," ","   "&amp;发货清单!H77&amp;"  "&amp;发货清单!J77&amp;"g*"&amp;发货清单!K77)</f>
        <v xml:space="preserve"> </v>
      </c>
      <c r="C76" s="183" t="str">
        <f>IF(NOT(COUNTIF($B$1:B76,B76)-1),B76," ")</f>
        <v xml:space="preserve"> </v>
      </c>
    </row>
    <row r="77" spans="1:3">
      <c r="A77" s="184" t="str">
        <f>发货清单!A78&amp;COUNTIF(发货清单!$A$2:A78,发货清单!A78)</f>
        <v>0</v>
      </c>
      <c r="B77" s="183" t="str">
        <f>IF(发货清单!A78=0," ","   "&amp;发货清单!H78&amp;"  "&amp;发货清单!J78&amp;"g*"&amp;发货清单!K78)</f>
        <v xml:space="preserve"> </v>
      </c>
      <c r="C77" s="183" t="str">
        <f>IF(NOT(COUNTIF($B$1:B77,B77)-1),B77," ")</f>
        <v xml:space="preserve"> </v>
      </c>
    </row>
    <row r="78" spans="1:3">
      <c r="A78" s="184" t="str">
        <f>发货清单!A79&amp;COUNTIF(发货清单!$A$2:A79,发货清单!A79)</f>
        <v>0</v>
      </c>
      <c r="B78" s="183" t="str">
        <f>IF(发货清单!A79=0," ","   "&amp;发货清单!H79&amp;"  "&amp;发货清单!J79&amp;"g*"&amp;发货清单!K79)</f>
        <v xml:space="preserve"> </v>
      </c>
      <c r="C78" s="183" t="str">
        <f>IF(NOT(COUNTIF($B$1:B78,B78)-1),B78," ")</f>
        <v xml:space="preserve"> </v>
      </c>
    </row>
    <row r="79" spans="1:3">
      <c r="A79" s="184" t="str">
        <f>发货清单!A80&amp;COUNTIF(发货清单!$A$2:A80,发货清单!A80)</f>
        <v>0</v>
      </c>
      <c r="B79" s="183" t="str">
        <f>IF(发货清单!A80=0," ","   "&amp;发货清单!H80&amp;"  "&amp;发货清单!J80&amp;"g*"&amp;发货清单!K80)</f>
        <v xml:space="preserve"> </v>
      </c>
      <c r="C79" s="183" t="str">
        <f>IF(NOT(COUNTIF($B$1:B79,B79)-1),B79," ")</f>
        <v xml:space="preserve"> </v>
      </c>
    </row>
    <row r="80" spans="1:3">
      <c r="A80" s="184" t="str">
        <f>发货清单!A81&amp;COUNTIF(发货清单!$A$2:A81,发货清单!A81)</f>
        <v>0</v>
      </c>
      <c r="B80" s="183" t="str">
        <f>IF(发货清单!A81=0," ","   "&amp;发货清单!H81&amp;"  "&amp;发货清单!J81&amp;"g*"&amp;发货清单!K81)</f>
        <v xml:space="preserve"> </v>
      </c>
      <c r="C80" s="183" t="str">
        <f>IF(NOT(COUNTIF($B$1:B80,B80)-1),B80," ")</f>
        <v xml:space="preserve"> </v>
      </c>
    </row>
    <row r="81" spans="1:3">
      <c r="A81" s="184" t="str">
        <f>发货清单!A82&amp;COUNTIF(发货清单!$A$2:A82,发货清单!A82)</f>
        <v>0</v>
      </c>
      <c r="B81" s="183" t="str">
        <f>IF(发货清单!A82=0," ","   "&amp;发货清单!H82&amp;"  "&amp;发货清单!J82&amp;"g*"&amp;发货清单!K82)</f>
        <v xml:space="preserve"> </v>
      </c>
      <c r="C81" s="183" t="str">
        <f>IF(NOT(COUNTIF($B$1:B81,B81)-1),B81," ")</f>
        <v xml:space="preserve"> </v>
      </c>
    </row>
    <row r="82" spans="1:3">
      <c r="A82" s="184" t="str">
        <f>发货清单!A83&amp;COUNTIF(发货清单!$A$2:A83,发货清单!A83)</f>
        <v>0</v>
      </c>
      <c r="B82" s="183" t="str">
        <f>IF(发货清单!A83=0," ","   "&amp;发货清单!H83&amp;"  "&amp;发货清单!J83&amp;"g*"&amp;发货清单!K83)</f>
        <v xml:space="preserve"> </v>
      </c>
      <c r="C82" s="183" t="str">
        <f>IF(NOT(COUNTIF($B$1:B82,B82)-1),B82," ")</f>
        <v xml:space="preserve"> </v>
      </c>
    </row>
    <row r="83" spans="1:3">
      <c r="A83" s="184" t="str">
        <f>发货清单!A84&amp;COUNTIF(发货清单!$A$2:A84,发货清单!A84)</f>
        <v>0</v>
      </c>
      <c r="B83" s="183" t="str">
        <f>IF(发货清单!A84=0," ","   "&amp;发货清单!H84&amp;"  "&amp;发货清单!J84&amp;"g*"&amp;发货清单!K84)</f>
        <v xml:space="preserve"> </v>
      </c>
      <c r="C83" s="183" t="str">
        <f>IF(NOT(COUNTIF($B$1:B83,B83)-1),B83," ")</f>
        <v xml:space="preserve"> </v>
      </c>
    </row>
    <row r="84" spans="1:3">
      <c r="A84" s="184" t="str">
        <f>发货清单!A85&amp;COUNTIF(发货清单!$A$2:A85,发货清单!A85)</f>
        <v>0</v>
      </c>
      <c r="B84" s="183" t="str">
        <f>IF(发货清单!A85=0," ","   "&amp;发货清单!H85&amp;"  "&amp;发货清单!J85&amp;"g*"&amp;发货清单!K85)</f>
        <v xml:space="preserve"> </v>
      </c>
      <c r="C84" s="183" t="str">
        <f>IF(NOT(COUNTIF($B$1:B84,B84)-1),B84," ")</f>
        <v xml:space="preserve"> </v>
      </c>
    </row>
    <row r="85" spans="1:3">
      <c r="A85" s="184" t="str">
        <f>发货清单!A86&amp;COUNTIF(发货清单!$A$2:A86,发货清单!A86)</f>
        <v>0</v>
      </c>
      <c r="B85" s="183" t="str">
        <f>IF(发货清单!A86=0," ","   "&amp;发货清单!H86&amp;"  "&amp;发货清单!J86&amp;"g*"&amp;发货清单!K86)</f>
        <v xml:space="preserve"> </v>
      </c>
      <c r="C85" s="183" t="str">
        <f>IF(NOT(COUNTIF($B$1:B85,B85)-1),B85," ")</f>
        <v xml:space="preserve"> </v>
      </c>
    </row>
    <row r="86" spans="1:3">
      <c r="A86" s="184" t="str">
        <f>发货清单!A87&amp;COUNTIF(发货清单!$A$2:A87,发货清单!A87)</f>
        <v>0</v>
      </c>
      <c r="B86" s="183" t="str">
        <f>IF(发货清单!A87=0," ","   "&amp;发货清单!H87&amp;"  "&amp;发货清单!J87&amp;"g*"&amp;发货清单!K87)</f>
        <v xml:space="preserve"> </v>
      </c>
      <c r="C86" s="183" t="str">
        <f>IF(NOT(COUNTIF($B$1:B86,B86)-1),B86," ")</f>
        <v xml:space="preserve"> </v>
      </c>
    </row>
    <row r="87" spans="1:3">
      <c r="A87" s="184" t="str">
        <f>发货清单!A88&amp;COUNTIF(发货清单!$A$2:A88,发货清单!A88)</f>
        <v>0</v>
      </c>
      <c r="B87" s="183" t="str">
        <f>IF(发货清单!A88=0," ","   "&amp;发货清单!H88&amp;"  "&amp;发货清单!J88&amp;"g*"&amp;发货清单!K88)</f>
        <v xml:space="preserve"> </v>
      </c>
      <c r="C87" s="183" t="str">
        <f>IF(NOT(COUNTIF($B$1:B87,B87)-1),B87," ")</f>
        <v xml:space="preserve"> </v>
      </c>
    </row>
    <row r="88" spans="1:3">
      <c r="A88" s="184" t="str">
        <f>发货清单!A89&amp;COUNTIF(发货清单!$A$2:A89,发货清单!A89)</f>
        <v>0</v>
      </c>
      <c r="B88" s="183" t="str">
        <f>IF(发货清单!A89=0," ","   "&amp;发货清单!H89&amp;"  "&amp;发货清单!J89&amp;"g*"&amp;发货清单!K89)</f>
        <v xml:space="preserve"> </v>
      </c>
      <c r="C88" s="183" t="str">
        <f>IF(NOT(COUNTIF($B$1:B88,B88)-1),B88," ")</f>
        <v xml:space="preserve"> </v>
      </c>
    </row>
    <row r="89" spans="1:3">
      <c r="A89" s="184" t="str">
        <f>发货清单!A90&amp;COUNTIF(发货清单!$A$2:A90,发货清单!A90)</f>
        <v>0</v>
      </c>
      <c r="B89" s="183" t="str">
        <f>IF(发货清单!A90=0," ","   "&amp;发货清单!H90&amp;"  "&amp;发货清单!J90&amp;"g*"&amp;发货清单!K90)</f>
        <v xml:space="preserve"> </v>
      </c>
      <c r="C89" s="183" t="str">
        <f>IF(NOT(COUNTIF($B$1:B89,B89)-1),B89," ")</f>
        <v xml:space="preserve"> </v>
      </c>
    </row>
    <row r="90" spans="1:3">
      <c r="A90" s="184" t="str">
        <f>发货清单!A91&amp;COUNTIF(发货清单!$A$2:A91,发货清单!A91)</f>
        <v>0</v>
      </c>
      <c r="B90" s="183" t="str">
        <f>IF(发货清单!A91=0," ","   "&amp;发货清单!H91&amp;"  "&amp;发货清单!J91&amp;"g*"&amp;发货清单!K91)</f>
        <v xml:space="preserve"> </v>
      </c>
      <c r="C90" s="183" t="str">
        <f>IF(NOT(COUNTIF($B$1:B90,B90)-1),B90," ")</f>
        <v xml:space="preserve"> </v>
      </c>
    </row>
    <row r="91" spans="1:3">
      <c r="A91" s="184" t="str">
        <f>发货清单!A92&amp;COUNTIF(发货清单!$A$2:A92,发货清单!A92)</f>
        <v>0</v>
      </c>
      <c r="B91" s="183" t="str">
        <f>IF(发货清单!A92=0," ","   "&amp;发货清单!H92&amp;"  "&amp;发货清单!J92&amp;"g*"&amp;发货清单!K92)</f>
        <v xml:space="preserve"> </v>
      </c>
      <c r="C91" s="183" t="str">
        <f>IF(NOT(COUNTIF($B$1:B91,B91)-1),B91," ")</f>
        <v xml:space="preserve"> </v>
      </c>
    </row>
    <row r="92" spans="1:3">
      <c r="A92" s="184" t="str">
        <f>发货清单!A93&amp;COUNTIF(发货清单!$A$2:A93,发货清单!A93)</f>
        <v>0</v>
      </c>
      <c r="B92" s="183" t="str">
        <f>IF(发货清单!A93=0," ","   "&amp;发货清单!H93&amp;"  "&amp;发货清单!J93&amp;"g*"&amp;发货清单!K93)</f>
        <v xml:space="preserve"> </v>
      </c>
      <c r="C92" s="183" t="str">
        <f>IF(NOT(COUNTIF($B$1:B92,B92)-1),B92," ")</f>
        <v xml:space="preserve"> </v>
      </c>
    </row>
    <row r="93" spans="1:3">
      <c r="A93" s="184" t="str">
        <f>发货清单!A94&amp;COUNTIF(发货清单!$A$2:A94,发货清单!A94)</f>
        <v>0</v>
      </c>
      <c r="B93" s="183" t="str">
        <f>IF(发货清单!A94=0," ","   "&amp;发货清单!H94&amp;"  "&amp;发货清单!J94&amp;"g*"&amp;发货清单!K94)</f>
        <v xml:space="preserve"> </v>
      </c>
      <c r="C93" s="183" t="str">
        <f>IF(NOT(COUNTIF($B$1:B93,B93)-1),B93," ")</f>
        <v xml:space="preserve"> </v>
      </c>
    </row>
    <row r="94" spans="1:3">
      <c r="A94" s="184" t="str">
        <f>发货清单!A95&amp;COUNTIF(发货清单!$A$2:A95,发货清单!A95)</f>
        <v>0</v>
      </c>
      <c r="B94" s="183" t="str">
        <f>IF(发货清单!A95=0," ","   "&amp;发货清单!H95&amp;"  "&amp;发货清单!J95&amp;"g*"&amp;发货清单!K95)</f>
        <v xml:space="preserve"> </v>
      </c>
      <c r="C94" s="183" t="str">
        <f>IF(NOT(COUNTIF($B$1:B94,B94)-1),B94," ")</f>
        <v xml:space="preserve"> </v>
      </c>
    </row>
    <row r="95" spans="1:3">
      <c r="A95" s="184" t="str">
        <f>发货清单!A96&amp;COUNTIF(发货清单!$A$2:A96,发货清单!A96)</f>
        <v>0</v>
      </c>
      <c r="B95" s="183" t="str">
        <f>IF(发货清单!A96=0," ","   "&amp;发货清单!H96&amp;"  "&amp;发货清单!J96&amp;"g*"&amp;发货清单!K96)</f>
        <v xml:space="preserve"> </v>
      </c>
      <c r="C95" s="183" t="str">
        <f>IF(NOT(COUNTIF($B$1:B95,B95)-1),B95," ")</f>
        <v xml:space="preserve"> </v>
      </c>
    </row>
    <row r="96" spans="1:3">
      <c r="A96" s="184" t="str">
        <f>发货清单!A97&amp;COUNTIF(发货清单!$A$2:A97,发货清单!A97)</f>
        <v>0</v>
      </c>
      <c r="B96" s="183" t="str">
        <f>IF(发货清单!A97=0," ","   "&amp;发货清单!H97&amp;"  "&amp;发货清单!J97&amp;"g*"&amp;发货清单!K97)</f>
        <v xml:space="preserve"> </v>
      </c>
      <c r="C96" s="183" t="str">
        <f>IF(NOT(COUNTIF($B$1:B96,B96)-1),B96," ")</f>
        <v xml:space="preserve"> </v>
      </c>
    </row>
    <row r="97" spans="1:3">
      <c r="A97" s="184" t="str">
        <f>发货清单!A98&amp;COUNTIF(发货清单!$A$2:A98,发货清单!A98)</f>
        <v>0</v>
      </c>
      <c r="B97" s="183" t="str">
        <f>IF(发货清单!A98=0," ","   "&amp;发货清单!H98&amp;"  "&amp;发货清单!J98&amp;"g*"&amp;发货清单!K98)</f>
        <v xml:space="preserve"> </v>
      </c>
      <c r="C97" s="183" t="str">
        <f>IF(NOT(COUNTIF($B$1:B97,B97)-1),B97," ")</f>
        <v xml:space="preserve"> </v>
      </c>
    </row>
    <row r="98" spans="1:3">
      <c r="A98" s="184" t="str">
        <f>发货清单!A99&amp;COUNTIF(发货清单!$A$2:A99,发货清单!A99)</f>
        <v>0</v>
      </c>
      <c r="B98" s="183" t="str">
        <f>IF(发货清单!A99=0," ","   "&amp;发货清单!H99&amp;"  "&amp;发货清单!J99&amp;"g*"&amp;发货清单!K99)</f>
        <v xml:space="preserve"> </v>
      </c>
      <c r="C98" s="183" t="str">
        <f>IF(NOT(COUNTIF($B$1:B98,B98)-1),B98," ")</f>
        <v xml:space="preserve"> </v>
      </c>
    </row>
    <row r="99" spans="1:3">
      <c r="A99" s="184" t="str">
        <f>发货清单!A100&amp;COUNTIF(发货清单!$A$2:A100,发货清单!A100)</f>
        <v>0</v>
      </c>
      <c r="B99" s="183" t="str">
        <f>IF(发货清单!A100=0," ","   "&amp;发货清单!H100&amp;"  "&amp;发货清单!J100&amp;"g*"&amp;发货清单!K100)</f>
        <v xml:space="preserve"> </v>
      </c>
      <c r="C99" s="183" t="str">
        <f>IF(NOT(COUNTIF($B$1:B99,B99)-1),B99," ")</f>
        <v xml:space="preserve"> </v>
      </c>
    </row>
    <row r="100" spans="1:3">
      <c r="A100" s="184" t="str">
        <f>发货清单!A101&amp;COUNTIF(发货清单!$A$2:A101,发货清单!A101)</f>
        <v>0</v>
      </c>
      <c r="B100" s="183" t="str">
        <f>IF(发货清单!A101=0," ","   "&amp;发货清单!H101&amp;"  "&amp;发货清单!J101&amp;"g*"&amp;发货清单!K101)</f>
        <v xml:space="preserve"> </v>
      </c>
      <c r="C100" s="183" t="str">
        <f>IF(NOT(COUNTIF($B$1:B100,B100)-1),B100," ")</f>
        <v xml:space="preserve"> </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1"/>
  <sheetViews>
    <sheetView topLeftCell="D1" workbookViewId="0">
      <selection activeCell="K2" sqref="K2:K7"/>
    </sheetView>
  </sheetViews>
  <sheetFormatPr defaultRowHeight="14.25"/>
  <cols>
    <col min="1" max="1" width="11.25" customWidth="1"/>
    <col min="3" max="3" width="11.625" bestFit="1" customWidth="1"/>
    <col min="4" max="4" width="11" customWidth="1"/>
    <col min="9" max="9" width="11.625" customWidth="1"/>
    <col min="10" max="10" width="5.25" customWidth="1"/>
    <col min="11" max="11" width="15.5" customWidth="1"/>
    <col min="13" max="15" width="9" style="245"/>
    <col min="16" max="16" width="52.875" customWidth="1"/>
    <col min="18" max="18" width="11.625" bestFit="1" customWidth="1"/>
  </cols>
  <sheetData>
    <row r="1" spans="1:20">
      <c r="A1" t="s">
        <v>512</v>
      </c>
      <c r="B1" s="245" t="s">
        <v>513</v>
      </c>
      <c r="C1" s="245" t="s">
        <v>514</v>
      </c>
      <c r="D1" s="245" t="s">
        <v>515</v>
      </c>
      <c r="E1" s="245" t="s">
        <v>516</v>
      </c>
      <c r="F1" s="245" t="s">
        <v>363</v>
      </c>
      <c r="G1" s="245" t="s">
        <v>517</v>
      </c>
      <c r="H1" s="245" t="s">
        <v>518</v>
      </c>
      <c r="I1" s="246" t="s">
        <v>519</v>
      </c>
      <c r="J1" s="369" t="s">
        <v>653</v>
      </c>
      <c r="K1" s="247" t="s">
        <v>520</v>
      </c>
      <c r="L1" s="247" t="s">
        <v>521</v>
      </c>
      <c r="M1" s="248" t="s">
        <v>522</v>
      </c>
      <c r="N1" s="248" t="s">
        <v>516</v>
      </c>
      <c r="O1" s="248" t="s">
        <v>363</v>
      </c>
      <c r="P1" s="247" t="s">
        <v>523</v>
      </c>
      <c r="Q1" s="247" t="s">
        <v>524</v>
      </c>
      <c r="R1" s="247" t="s">
        <v>514</v>
      </c>
      <c r="S1" s="247" t="s">
        <v>518</v>
      </c>
      <c r="T1" s="297" t="s">
        <v>530</v>
      </c>
    </row>
    <row r="2" spans="1:20">
      <c r="A2">
        <f>IF(B2=0,"",发货清单!A2*10^6+COUNTIF($D$2:D2,D2)*10^3+ROW(A1))</f>
        <v>1636001001</v>
      </c>
      <c r="B2" t="str">
        <f>IFERROR(LEFT(发货清单!H2,SEARCH("-",发货清单!H2)-1),发货清单!H2)</f>
        <v>BD1589</v>
      </c>
      <c r="C2">
        <f>IFERROR(VLOOKUP(发货清单!A2,数据库!A:D,4,0),"")</f>
        <v>2916399090</v>
      </c>
      <c r="D2" t="str">
        <f>IFERROR(VLOOKUP(发货清单!A2,数据库!A:C,3,0),"")</f>
        <v>Aromatic ring products without heteroatoms category （AB-16）36</v>
      </c>
      <c r="E2">
        <f>发货清单!M2</f>
        <v>5</v>
      </c>
      <c r="F2">
        <f>发货清单!U2</f>
        <v>28</v>
      </c>
      <c r="G2" t="str">
        <f>IFERROR(VLOOKUP(发货清单!A2,数据库!A:B,2,0),"")</f>
        <v>2,4-双(三氟甲基)苯乙酸</v>
      </c>
      <c r="H2" t="str">
        <f>发货清单!N2</f>
        <v>白色粉末</v>
      </c>
      <c r="I2">
        <f>IFERROR(SMALL(A:A,ROW(A1)),"")</f>
        <v>41001030</v>
      </c>
      <c r="J2">
        <f>IFERROR(IF(RIGHT(I2,6)-2000&gt;0," ",I2)," ")</f>
        <v>41001030</v>
      </c>
      <c r="K2">
        <f>IFERROR(SMALL(J:J,ROW(A1)),"")</f>
        <v>41001030</v>
      </c>
      <c r="L2" t="str">
        <f>IFERROR(VLOOKUP(K2,A:G,7,0)," ")</f>
        <v>十三烷二酸</v>
      </c>
      <c r="N2" s="245">
        <f>IF(P2=" ",0,SUMIF(D:D,P2,E:E))</f>
        <v>600</v>
      </c>
      <c r="O2" s="245">
        <f>SUMIF(D:D,P2,F:F)</f>
        <v>218.4</v>
      </c>
      <c r="P2" t="str">
        <f>IFERROR(VLOOKUP(K2,A:D,4,0)," ")</f>
        <v>Carboxylic acid compound category (AB-04)1</v>
      </c>
      <c r="Q2" t="str">
        <f>IFERROR(VLOOKUP(P2,数据库!C:M,11,0),"")</f>
        <v>505-52-2</v>
      </c>
      <c r="R2">
        <f>IFERROR(VLOOKUP(K2,A:C,3,0)," ")</f>
        <v>2917190090</v>
      </c>
      <c r="S2" t="str">
        <f>IFERROR(VLOOKUP(K2,A:H,8,0)," ")</f>
        <v>白色粉末</v>
      </c>
      <c r="T2" s="245">
        <f>SUM(N:N)</f>
        <v>3266</v>
      </c>
    </row>
    <row r="3" spans="1:20">
      <c r="A3">
        <f>IF(B3=0,"",发货清单!A3*10^6+COUNTIF($D$2:D3,D3)*10^3+ROW(A2))</f>
        <v>1636002002</v>
      </c>
      <c r="B3" t="str">
        <f>IFERROR(LEFT(发货清单!H3,SEARCH("-",发货清单!H3)-1),发货清单!H3)</f>
        <v>BD1589</v>
      </c>
      <c r="C3">
        <f>IFERROR(VLOOKUP(发货清单!A3,数据库!A:D,4,0),"")</f>
        <v>2916399090</v>
      </c>
      <c r="D3" t="str">
        <f>IFERROR(VLOOKUP(发货清单!A3,数据库!A:C,3,0),"")</f>
        <v>Aromatic ring products without heteroatoms category （AB-16）36</v>
      </c>
      <c r="E3">
        <f>发货清单!M3</f>
        <v>5</v>
      </c>
      <c r="F3">
        <f>发货清单!U3</f>
        <v>28</v>
      </c>
      <c r="G3" t="str">
        <f>IFERROR(VLOOKUP(发货清单!A3,数据库!A:B,2,0),"")</f>
        <v>2,4-双(三氟甲基)苯乙酸</v>
      </c>
      <c r="H3" t="str">
        <f>发货清单!N3</f>
        <v>白色粉末</v>
      </c>
      <c r="I3">
        <f t="shared" ref="I3:I66" si="0">IFERROR(SMALL(A:A,ROW(A2)),"")</f>
        <v>41002031</v>
      </c>
      <c r="J3" t="str">
        <f t="shared" ref="J3:J66" si="1">IFERROR(IF(RIGHT(I3,6)-2000&gt;0," ",I3)," ")</f>
        <v xml:space="preserve"> </v>
      </c>
      <c r="K3">
        <f t="shared" ref="K3:K66" si="2">IFERROR(SMALL(J:J,ROW(A2)),"")</f>
        <v>46001029</v>
      </c>
      <c r="L3" t="str">
        <f t="shared" ref="L3:L66" si="3">IFERROR(VLOOKUP(K3,A:G,7,0)," ")</f>
        <v>辛二酸单甲酯</v>
      </c>
      <c r="N3" s="245">
        <f t="shared" ref="N3:N66" si="4">IF(P3=" ",0,SUMIF(D:D,P3,E:E))</f>
        <v>10</v>
      </c>
      <c r="O3" s="245">
        <f t="shared" ref="O3:O66" si="5">SUMIF(D:D,P3,F:F)</f>
        <v>156.80000000000001</v>
      </c>
      <c r="P3" t="str">
        <f t="shared" ref="P3:P66" si="6">IFERROR(VLOOKUP(K3,A:D,4,0)," ")</f>
        <v>Carboxylic acid compound category (AB-04)6</v>
      </c>
      <c r="Q3" t="str">
        <f>IFERROR(VLOOKUP(P3,数据库!C:M,11,0),"")</f>
        <v>3946-32-5</v>
      </c>
      <c r="R3">
        <f t="shared" ref="R3:R66" si="7">IFERROR(VLOOKUP(K3,A:C,3,0)," ")</f>
        <v>2917190090</v>
      </c>
      <c r="S3" t="str">
        <f t="shared" ref="S3:S66" si="8">IFERROR(VLOOKUP(K3,A:H,8,0)," ")</f>
        <v>类白色结晶</v>
      </c>
      <c r="T3" s="19" t="s">
        <v>531</v>
      </c>
    </row>
    <row r="4" spans="1:20">
      <c r="A4">
        <f>IF(B4=0,"",发货清单!A4*10^6+COUNTIF($D$2:D4,D4)*10^3+ROW(A3))</f>
        <v>1636003003</v>
      </c>
      <c r="B4" t="str">
        <f>IFERROR(LEFT(发货清单!H4,SEARCH("-",发货清单!H4)-1),发货清单!H4)</f>
        <v>BD1589</v>
      </c>
      <c r="C4">
        <f>IFERROR(VLOOKUP(发货清单!A4,数据库!A:D,4,0),"")</f>
        <v>2916399090</v>
      </c>
      <c r="D4" t="str">
        <f>IFERROR(VLOOKUP(发货清单!A4,数据库!A:C,3,0),"")</f>
        <v>Aromatic ring products without heteroatoms category （AB-16）36</v>
      </c>
      <c r="E4">
        <f>发货清单!M4</f>
        <v>5</v>
      </c>
      <c r="F4">
        <f>发货清单!U4</f>
        <v>28</v>
      </c>
      <c r="G4" t="str">
        <f>IFERROR(VLOOKUP(发货清单!A4,数据库!A:B,2,0),"")</f>
        <v>2,4-双(三氟甲基)苯乙酸</v>
      </c>
      <c r="H4" t="str">
        <f>发货清单!N4</f>
        <v>白色粉末</v>
      </c>
      <c r="I4">
        <f t="shared" si="0"/>
        <v>46001029</v>
      </c>
      <c r="J4">
        <f t="shared" si="1"/>
        <v>46001029</v>
      </c>
      <c r="K4">
        <f t="shared" si="2"/>
        <v>81001021</v>
      </c>
      <c r="L4" t="str">
        <f t="shared" si="3"/>
        <v>N-甲基对甲苯磺酰胺</v>
      </c>
      <c r="N4" s="245">
        <f t="shared" si="4"/>
        <v>1000</v>
      </c>
      <c r="O4" s="245">
        <f t="shared" si="5"/>
        <v>55.3</v>
      </c>
      <c r="P4" t="str">
        <f t="shared" si="6"/>
        <v>Sulfonamide compound category(AB-08)1</v>
      </c>
      <c r="Q4" t="str">
        <f>IFERROR(VLOOKUP(P4,数据库!C:M,11,0),"")</f>
        <v>640-61-9</v>
      </c>
      <c r="R4">
        <f t="shared" si="7"/>
        <v>2935900090</v>
      </c>
      <c r="S4" t="str">
        <f t="shared" si="8"/>
        <v>白色粉末</v>
      </c>
      <c r="T4" s="245">
        <f>SUM(O:O)</f>
        <v>3532.9</v>
      </c>
    </row>
    <row r="5" spans="1:20">
      <c r="A5">
        <f>IF(B5=0,"",发货清单!A5*10^6+COUNTIF($D$2:D5,D5)*10^3+ROW(A4))</f>
        <v>1636004004</v>
      </c>
      <c r="B5" t="str">
        <f>IFERROR(LEFT(发货清单!H5,SEARCH("-",发货清单!H5)-1),发货清单!H5)</f>
        <v>BD1589</v>
      </c>
      <c r="C5">
        <f>IFERROR(VLOOKUP(发货清单!A5,数据库!A:D,4,0),"")</f>
        <v>2916399090</v>
      </c>
      <c r="D5" t="str">
        <f>IFERROR(VLOOKUP(发货清单!A5,数据库!A:C,3,0),"")</f>
        <v>Aromatic ring products without heteroatoms category （AB-16）36</v>
      </c>
      <c r="E5">
        <f>发货清单!M5</f>
        <v>5</v>
      </c>
      <c r="F5">
        <f>发货清单!U5</f>
        <v>28</v>
      </c>
      <c r="G5" t="str">
        <f>IFERROR(VLOOKUP(发货清单!A5,数据库!A:B,2,0),"")</f>
        <v>2,4-双(三氟甲基)苯乙酸</v>
      </c>
      <c r="H5" t="str">
        <f>发货清单!N5</f>
        <v>白色粉末</v>
      </c>
      <c r="I5">
        <f t="shared" si="0"/>
        <v>81001021</v>
      </c>
      <c r="J5">
        <f t="shared" si="1"/>
        <v>81001021</v>
      </c>
      <c r="K5">
        <f t="shared" si="2"/>
        <v>154001023</v>
      </c>
      <c r="L5" t="str">
        <f t="shared" si="3"/>
        <v>异山梨醇</v>
      </c>
      <c r="N5" s="245">
        <f t="shared" si="4"/>
        <v>205</v>
      </c>
      <c r="O5" s="245">
        <f t="shared" si="5"/>
        <v>100.1</v>
      </c>
      <c r="P5" t="str">
        <f t="shared" si="6"/>
        <v>Heterocyclic with single or more oxygen atoms compound category （AB-15）4</v>
      </c>
      <c r="Q5" t="str">
        <f>IFERROR(VLOOKUP(P5,数据库!C:M,11,0),"")</f>
        <v>652-67-5</v>
      </c>
      <c r="R5">
        <f t="shared" si="7"/>
        <v>2932999099</v>
      </c>
      <c r="S5" t="str">
        <f t="shared" si="8"/>
        <v>淡黄色结晶</v>
      </c>
    </row>
    <row r="6" spans="1:20">
      <c r="A6">
        <f>IF(B6=0,"",发货清单!A6*10^6+COUNTIF($D$2:D6,D6)*10^3+ROW(A5))</f>
        <v>1636005005</v>
      </c>
      <c r="B6" t="str">
        <f>IFERROR(LEFT(发货清单!H6,SEARCH("-",发货清单!H6)-1),发货清单!H6)</f>
        <v>BD1589</v>
      </c>
      <c r="C6">
        <f>IFERROR(VLOOKUP(发货清单!A6,数据库!A:D,4,0),"")</f>
        <v>2916399090</v>
      </c>
      <c r="D6" t="str">
        <f>IFERROR(VLOOKUP(发货清单!A6,数据库!A:C,3,0),"")</f>
        <v>Aromatic ring products without heteroatoms category （AB-16）36</v>
      </c>
      <c r="E6">
        <f>发货清单!M6</f>
        <v>5</v>
      </c>
      <c r="F6">
        <f>发货清单!U6</f>
        <v>28</v>
      </c>
      <c r="G6" t="str">
        <f>IFERROR(VLOOKUP(发货清单!A6,数据库!A:B,2,0),"")</f>
        <v>2,4-双(三氟甲基)苯乙酸</v>
      </c>
      <c r="H6" t="str">
        <f>发货清单!N6</f>
        <v>白色粉末</v>
      </c>
      <c r="I6">
        <f t="shared" si="0"/>
        <v>154001023</v>
      </c>
      <c r="J6">
        <f t="shared" si="1"/>
        <v>154001023</v>
      </c>
      <c r="K6">
        <f t="shared" si="2"/>
        <v>211001016</v>
      </c>
      <c r="L6" t="str">
        <f t="shared" si="3"/>
        <v>溴代十六烷</v>
      </c>
      <c r="N6" s="245">
        <f t="shared" si="4"/>
        <v>500</v>
      </c>
      <c r="O6" s="245">
        <f t="shared" si="5"/>
        <v>102.2</v>
      </c>
      <c r="P6" t="str">
        <f t="shared" si="6"/>
        <v>Acyclic hydrocarbon compound category （AB-02）11</v>
      </c>
      <c r="Q6" t="str">
        <f>IFERROR(VLOOKUP(P6,数据库!C:M,11,0),"")</f>
        <v>112-82-3</v>
      </c>
      <c r="R6">
        <f t="shared" si="7"/>
        <v>2903399090</v>
      </c>
      <c r="S6" t="str">
        <f t="shared" si="8"/>
        <v>无色透明液体</v>
      </c>
    </row>
    <row r="7" spans="1:20">
      <c r="A7">
        <f>IF(B7=0,"",发货清单!A7*10^6+COUNTIF($D$2:D7,D7)*10^3+ROW(A6))</f>
        <v>1636006006</v>
      </c>
      <c r="B7" t="str">
        <f>IFERROR(LEFT(发货清单!H7,SEARCH("-",发货清单!H7)-1),发货清单!H7)</f>
        <v>BD8508</v>
      </c>
      <c r="C7">
        <f>IFERROR(VLOOKUP(发货清单!A7,数据库!A:D,4,0),"")</f>
        <v>2916399090</v>
      </c>
      <c r="D7" t="str">
        <f>IFERROR(VLOOKUP(发货清单!A7,数据库!A:C,3,0),"")</f>
        <v>Aromatic ring products without heteroatoms category （AB-16）36</v>
      </c>
      <c r="E7">
        <f>发货清单!M7</f>
        <v>100</v>
      </c>
      <c r="F7">
        <f>发货清单!U7</f>
        <v>93.8</v>
      </c>
      <c r="G7" t="str">
        <f>IFERROR(VLOOKUP(发货清单!A7,数据库!A:B,2,0),"")</f>
        <v>2,4-双(三氟甲基)苯乙酸</v>
      </c>
      <c r="H7" t="str">
        <f>发货清单!N7</f>
        <v>白色粉末</v>
      </c>
      <c r="I7">
        <f t="shared" si="0"/>
        <v>154002024</v>
      </c>
      <c r="J7" t="str">
        <f t="shared" si="1"/>
        <v xml:space="preserve"> </v>
      </c>
      <c r="K7">
        <f t="shared" si="2"/>
        <v>213001013</v>
      </c>
      <c r="L7" t="str">
        <f t="shared" si="3"/>
        <v>1,4-二碘代丁烷</v>
      </c>
      <c r="N7" s="245">
        <f t="shared" si="4"/>
        <v>26</v>
      </c>
      <c r="O7" s="245">
        <f t="shared" si="5"/>
        <v>138.60000000000002</v>
      </c>
      <c r="P7" t="str">
        <f t="shared" si="6"/>
        <v>Acyclic hydrocarbon compound category （AB-02）13</v>
      </c>
      <c r="Q7" t="str">
        <f>IFERROR(VLOOKUP(P7,数据库!C:M,11,0),"")</f>
        <v>628-21-7</v>
      </c>
      <c r="R7">
        <f t="shared" si="7"/>
        <v>2903399090</v>
      </c>
      <c r="S7" t="str">
        <f t="shared" si="8"/>
        <v>褐色液体</v>
      </c>
    </row>
    <row r="8" spans="1:20">
      <c r="A8">
        <f>IF(B8=0,"",发货清单!A8*10^6+COUNTIF($D$2:D8,D8)*10^3+ROW(A7))</f>
        <v>1636007007</v>
      </c>
      <c r="B8" t="str">
        <f>IFERROR(LEFT(发货清单!H8,SEARCH("-",发货清单!H8)-1),发货清单!H8)</f>
        <v>BD11956</v>
      </c>
      <c r="C8">
        <f>IFERROR(VLOOKUP(发货清单!A8,数据库!A:D,4,0),"")</f>
        <v>2916399090</v>
      </c>
      <c r="D8" t="str">
        <f>IFERROR(VLOOKUP(发货清单!A8,数据库!A:C,3,0),"")</f>
        <v>Aromatic ring products without heteroatoms category （AB-16）36</v>
      </c>
      <c r="E8">
        <f>发货清单!M8</f>
        <v>25</v>
      </c>
      <c r="F8">
        <f>发货清单!U8</f>
        <v>49</v>
      </c>
      <c r="G8" t="str">
        <f>IFERROR(VLOOKUP(发货清单!A8,数据库!A:B,2,0),"")</f>
        <v>2,4-双(三氟甲基)苯乙酸</v>
      </c>
      <c r="H8" t="str">
        <f>发货清单!N8</f>
        <v>白色粉末</v>
      </c>
      <c r="I8">
        <f t="shared" si="0"/>
        <v>154003025</v>
      </c>
      <c r="J8" t="str">
        <f t="shared" si="1"/>
        <v xml:space="preserve"> </v>
      </c>
      <c r="K8">
        <f t="shared" si="2"/>
        <v>646001012</v>
      </c>
      <c r="L8" t="str">
        <f t="shared" si="3"/>
        <v>5-甲氧基吲哚-2-甲酸乙酯</v>
      </c>
      <c r="N8" s="245">
        <f t="shared" si="4"/>
        <v>25</v>
      </c>
      <c r="O8" s="245">
        <f t="shared" si="5"/>
        <v>60.2</v>
      </c>
      <c r="P8" t="str">
        <f t="shared" si="6"/>
        <v>Heterocyclic with nitrogen compound category (AB-06)46</v>
      </c>
      <c r="Q8" t="str">
        <f>IFERROR(VLOOKUP(P8,数据库!C:M,11,0),"")</f>
        <v>4792-58-9</v>
      </c>
      <c r="R8">
        <f t="shared" si="7"/>
        <v>2933990099</v>
      </c>
      <c r="S8" t="str">
        <f t="shared" si="8"/>
        <v>浅黄棕色粉末</v>
      </c>
    </row>
    <row r="9" spans="1:20">
      <c r="A9">
        <f>IF(B9=0,"",发货清单!A9*10^6+COUNTIF($D$2:D9,D9)*10^3+ROW(A8))</f>
        <v>1633001008</v>
      </c>
      <c r="B9" t="str">
        <f>IFERROR(LEFT(发货清单!H9,SEARCH("-",发货清单!H9)-1),发货清单!H9)</f>
        <v>BD6398</v>
      </c>
      <c r="C9">
        <f>IFERROR(VLOOKUP(发货清单!A9,数据库!A:D,4,0),"")</f>
        <v>2903999090</v>
      </c>
      <c r="D9" t="str">
        <f>IFERROR(VLOOKUP(发货清单!A9,数据库!A:C,3,0),"")</f>
        <v>Aromatic ring products without heteroatoms category （AB-16）33</v>
      </c>
      <c r="E9">
        <f>发货清单!M9</f>
        <v>100</v>
      </c>
      <c r="F9">
        <f>发货清单!U9</f>
        <v>86.8</v>
      </c>
      <c r="G9" t="str">
        <f>IFERROR(VLOOKUP(发货清单!A9,数据库!A:B,2,0),"")</f>
        <v>2-氟-5-碘硝基苯</v>
      </c>
      <c r="H9" t="str">
        <f>发货清单!N9</f>
        <v>类白色颗粒状结晶</v>
      </c>
      <c r="I9">
        <f t="shared" si="0"/>
        <v>154004026</v>
      </c>
      <c r="J9" t="str">
        <f t="shared" si="1"/>
        <v xml:space="preserve"> </v>
      </c>
      <c r="K9">
        <f t="shared" si="2"/>
        <v>653001011</v>
      </c>
      <c r="L9" t="str">
        <f t="shared" si="3"/>
        <v>6-氯吡嗪-2-羧酸甲酯</v>
      </c>
      <c r="N9" s="245">
        <f t="shared" si="4"/>
        <v>50</v>
      </c>
      <c r="O9" s="245">
        <f t="shared" si="5"/>
        <v>2139.9</v>
      </c>
      <c r="P9" t="str">
        <f t="shared" si="6"/>
        <v>Heterocyclic with nitrogen compound category (AB-06)53</v>
      </c>
      <c r="Q9" t="str">
        <f>IFERROR(VLOOKUP(P9,数据库!C:M,11,0),"")</f>
        <v>23611-75-8</v>
      </c>
      <c r="R9">
        <f t="shared" si="7"/>
        <v>2933990099</v>
      </c>
      <c r="S9" t="str">
        <f t="shared" si="8"/>
        <v>褐色粉末</v>
      </c>
    </row>
    <row r="10" spans="1:20">
      <c r="A10">
        <f>IF(B10=0,"",发货清单!A10*10^6+COUNTIF($D$2:D10,D10)*10^3+ROW(A9))</f>
        <v>1633002009</v>
      </c>
      <c r="B10" t="str">
        <f>IFERROR(LEFT(发货清单!H10,SEARCH("-",发货清单!H10)-1),发货清单!H10)</f>
        <v>BD6829</v>
      </c>
      <c r="C10">
        <f>IFERROR(VLOOKUP(发货清单!A10,数据库!A:D,4,0),"")</f>
        <v>2903999090</v>
      </c>
      <c r="D10" t="str">
        <f>IFERROR(VLOOKUP(发货清单!A10,数据库!A:C,3,0),"")</f>
        <v>Aromatic ring products without heteroatoms category （AB-16）33</v>
      </c>
      <c r="E10">
        <f>发货清单!M10</f>
        <v>500</v>
      </c>
      <c r="F10">
        <f>发货清单!U10</f>
        <v>86.1</v>
      </c>
      <c r="G10" t="str">
        <f>IFERROR(VLOOKUP(发货清单!A10,数据库!A:B,2,0),"")</f>
        <v>2-氟-5-碘硝基苯</v>
      </c>
      <c r="H10" t="str">
        <f>发货清单!N10</f>
        <v>类白色颗粒状结晶</v>
      </c>
      <c r="I10">
        <f t="shared" si="0"/>
        <v>154005027</v>
      </c>
      <c r="J10" t="str">
        <f t="shared" si="1"/>
        <v xml:space="preserve"> </v>
      </c>
      <c r="K10">
        <f t="shared" si="2"/>
        <v>1633001008</v>
      </c>
      <c r="L10" t="str">
        <f t="shared" si="3"/>
        <v>2-氟-5-碘硝基苯</v>
      </c>
      <c r="N10" s="245">
        <f t="shared" si="4"/>
        <v>700</v>
      </c>
      <c r="O10" s="245">
        <f t="shared" si="5"/>
        <v>278.59999999999997</v>
      </c>
      <c r="P10" t="str">
        <f t="shared" si="6"/>
        <v>Aromatic ring products without heteroatoms category （AB-16）33</v>
      </c>
      <c r="Q10" t="str">
        <f>IFERROR(VLOOKUP(P10,数据库!C:M,11,0),"")</f>
        <v>364-75-0</v>
      </c>
      <c r="R10">
        <f t="shared" si="7"/>
        <v>2903999090</v>
      </c>
      <c r="S10" t="str">
        <f t="shared" si="8"/>
        <v>类白色颗粒状结晶</v>
      </c>
    </row>
    <row r="11" spans="1:20">
      <c r="A11">
        <f>IF(B11=0,"",发货清单!A11*10^6+COUNTIF($D$2:D11,D11)*10^3+ROW(A10))</f>
        <v>1633003010</v>
      </c>
      <c r="B11" t="str">
        <f>IFERROR(LEFT(发货清单!H11,SEARCH("-",发货清单!H11)-1),发货清单!H11)</f>
        <v>BD4057</v>
      </c>
      <c r="C11">
        <f>IFERROR(VLOOKUP(发货清单!A11,数据库!A:D,4,0),"")</f>
        <v>2903999090</v>
      </c>
      <c r="D11" t="str">
        <f>IFERROR(VLOOKUP(发货清单!A11,数据库!A:C,3,0),"")</f>
        <v>Aromatic ring products without heteroatoms category （AB-16）33</v>
      </c>
      <c r="E11">
        <f>发货清单!M11</f>
        <v>100</v>
      </c>
      <c r="F11">
        <f>发货清单!U11</f>
        <v>105.7</v>
      </c>
      <c r="G11" t="str">
        <f>IFERROR(VLOOKUP(发货清单!A11,数据库!A:B,2,0),"")</f>
        <v>2-氟-5-碘硝基苯</v>
      </c>
      <c r="H11" t="str">
        <f>发货清单!N11</f>
        <v>类白色颗粒状结晶</v>
      </c>
      <c r="I11">
        <f t="shared" si="0"/>
        <v>154006028</v>
      </c>
      <c r="J11" t="str">
        <f t="shared" si="1"/>
        <v xml:space="preserve"> </v>
      </c>
      <c r="K11">
        <f t="shared" si="2"/>
        <v>1636001001</v>
      </c>
      <c r="L11" t="str">
        <f t="shared" si="3"/>
        <v>2,4-双(三氟甲基)苯乙酸</v>
      </c>
      <c r="N11" s="245">
        <f t="shared" si="4"/>
        <v>150</v>
      </c>
      <c r="O11" s="245">
        <f t="shared" si="5"/>
        <v>282.8</v>
      </c>
      <c r="P11" t="str">
        <f t="shared" si="6"/>
        <v>Aromatic ring products without heteroatoms category （AB-16）36</v>
      </c>
      <c r="Q11" t="str">
        <f>IFERROR(VLOOKUP(P11,数据库!C:M,11,0),"")</f>
        <v>177952-39-5</v>
      </c>
      <c r="R11">
        <f t="shared" si="7"/>
        <v>2916399090</v>
      </c>
      <c r="S11" t="str">
        <f t="shared" si="8"/>
        <v>白色粉末</v>
      </c>
    </row>
    <row r="12" spans="1:20">
      <c r="A12">
        <f>IF(B12=0,"",发货清单!A12*10^6+COUNTIF($D$2:D12,D12)*10^3+ROW(A11))</f>
        <v>653001011</v>
      </c>
      <c r="B12" t="str">
        <f>IFERROR(LEFT(发货清单!H12,SEARCH("-",发货清单!H12)-1),发货清单!H12)</f>
        <v>BD134883</v>
      </c>
      <c r="C12">
        <f>IFERROR(VLOOKUP(发货清单!A12,数据库!A:D,4,0),"")</f>
        <v>2933990099</v>
      </c>
      <c r="D12" t="str">
        <f>IFERROR(VLOOKUP(发货清单!A12,数据库!A:C,3,0),"")</f>
        <v>Heterocyclic with nitrogen compound category (AB-06)53</v>
      </c>
      <c r="E12">
        <f>发货清单!M12</f>
        <v>50</v>
      </c>
      <c r="F12">
        <f>发货清单!U12</f>
        <v>2139.9</v>
      </c>
      <c r="G12" t="str">
        <f>IFERROR(VLOOKUP(发货清单!A12,数据库!A:B,2,0),"")</f>
        <v>6-氯吡嗪-2-羧酸甲酯</v>
      </c>
      <c r="H12" t="str">
        <f>发货清单!N12</f>
        <v>褐色粉末</v>
      </c>
      <c r="I12">
        <f t="shared" si="0"/>
        <v>211001016</v>
      </c>
      <c r="J12">
        <f t="shared" si="1"/>
        <v>211001016</v>
      </c>
      <c r="K12" t="str">
        <f t="shared" si="2"/>
        <v/>
      </c>
      <c r="L12" t="str">
        <f t="shared" si="3"/>
        <v/>
      </c>
      <c r="N12" s="245">
        <f t="shared" si="4"/>
        <v>0</v>
      </c>
      <c r="O12" s="245">
        <f t="shared" si="5"/>
        <v>0</v>
      </c>
      <c r="P12" t="str">
        <f t="shared" si="6"/>
        <v/>
      </c>
      <c r="Q12" t="str">
        <f>IFERROR(VLOOKUP(P12,数据库!C:M,11,0),"")</f>
        <v/>
      </c>
      <c r="R12" t="str">
        <f t="shared" si="7"/>
        <v/>
      </c>
      <c r="S12">
        <f t="shared" si="8"/>
        <v>0</v>
      </c>
    </row>
    <row r="13" spans="1:20">
      <c r="A13">
        <f>IF(B13=0,"",发货清单!A13*10^6+COUNTIF($D$2:D13,D13)*10^3+ROW(A12))</f>
        <v>646001012</v>
      </c>
      <c r="B13" t="str">
        <f>IFERROR(LEFT(发货清单!H13,SEARCH("-",发货清单!H13)-1),发货清单!H13)</f>
        <v>BD29440</v>
      </c>
      <c r="C13">
        <f>IFERROR(VLOOKUP(发货清单!A13,数据库!A:D,4,0),"")</f>
        <v>2933990099</v>
      </c>
      <c r="D13" t="str">
        <f>IFERROR(VLOOKUP(发货清单!A13,数据库!A:C,3,0),"")</f>
        <v>Heterocyclic with nitrogen compound category (AB-06)46</v>
      </c>
      <c r="E13">
        <f>发货清单!M13</f>
        <v>25</v>
      </c>
      <c r="F13">
        <f>发货清单!U13</f>
        <v>60.2</v>
      </c>
      <c r="G13" t="str">
        <f>IFERROR(VLOOKUP(发货清单!A13,数据库!A:B,2,0),"")</f>
        <v>5-甲氧基吲哚-2-甲酸乙酯</v>
      </c>
      <c r="H13" t="str">
        <f>发货清单!N13</f>
        <v>浅黄棕色粉末</v>
      </c>
      <c r="I13">
        <f t="shared" si="0"/>
        <v>211002017</v>
      </c>
      <c r="J13" t="str">
        <f t="shared" si="1"/>
        <v xml:space="preserve"> </v>
      </c>
      <c r="K13" t="str">
        <f t="shared" si="2"/>
        <v/>
      </c>
      <c r="L13" t="str">
        <f t="shared" si="3"/>
        <v/>
      </c>
      <c r="N13" s="245">
        <f t="shared" si="4"/>
        <v>0</v>
      </c>
      <c r="O13" s="245">
        <f t="shared" si="5"/>
        <v>0</v>
      </c>
      <c r="P13" t="str">
        <f t="shared" si="6"/>
        <v/>
      </c>
      <c r="Q13" t="str">
        <f>IFERROR(VLOOKUP(P13,数据库!C:M,11,0),"")</f>
        <v/>
      </c>
      <c r="R13" t="str">
        <f t="shared" si="7"/>
        <v/>
      </c>
      <c r="S13">
        <f t="shared" si="8"/>
        <v>0</v>
      </c>
    </row>
    <row r="14" spans="1:20">
      <c r="A14">
        <f>IF(B14=0,"",发货清单!A14*10^6+COUNTIF($D$2:D14,D14)*10^3+ROW(A13))</f>
        <v>213001013</v>
      </c>
      <c r="B14" t="str">
        <f>IFERROR(LEFT(发货清单!H14,SEARCH("-",发货清单!H14)-1),发货清单!H14)</f>
        <v>BD59957</v>
      </c>
      <c r="C14">
        <f>IFERROR(VLOOKUP(发货清单!A14,数据库!A:D,4,0),"")</f>
        <v>2903399090</v>
      </c>
      <c r="D14" t="str">
        <f>IFERROR(VLOOKUP(发货清单!A14,数据库!A:C,3,0),"")</f>
        <v>Acyclic hydrocarbon compound category （AB-02）13</v>
      </c>
      <c r="E14">
        <f>发货清单!M14</f>
        <v>25</v>
      </c>
      <c r="F14">
        <f>发货清单!U14</f>
        <v>64.400000000000006</v>
      </c>
      <c r="G14" t="str">
        <f>IFERROR(VLOOKUP(发货清单!A14,数据库!A:B,2,0),"")</f>
        <v>1,4-二碘代丁烷</v>
      </c>
      <c r="H14" t="str">
        <f>发货清单!N14</f>
        <v>褐色液体</v>
      </c>
      <c r="I14">
        <f t="shared" si="0"/>
        <v>211003018</v>
      </c>
      <c r="J14" t="str">
        <f t="shared" si="1"/>
        <v xml:space="preserve"> </v>
      </c>
      <c r="K14" t="str">
        <f t="shared" si="2"/>
        <v/>
      </c>
      <c r="L14" t="str">
        <f t="shared" si="3"/>
        <v/>
      </c>
      <c r="N14" s="245">
        <f t="shared" si="4"/>
        <v>0</v>
      </c>
      <c r="O14" s="245">
        <f t="shared" si="5"/>
        <v>0</v>
      </c>
      <c r="P14" t="str">
        <f t="shared" si="6"/>
        <v/>
      </c>
      <c r="Q14" t="str">
        <f>IFERROR(VLOOKUP(P14,数据库!C:M,11,0),"")</f>
        <v/>
      </c>
      <c r="R14" t="str">
        <f t="shared" si="7"/>
        <v/>
      </c>
      <c r="S14">
        <f t="shared" si="8"/>
        <v>0</v>
      </c>
    </row>
    <row r="15" spans="1:20">
      <c r="A15">
        <f>IF(B15=0,"",发货清单!A15*10^6+COUNTIF($D$2:D15,D15)*10^3+ROW(A14))</f>
        <v>213002014</v>
      </c>
      <c r="B15" t="str">
        <f>IFERROR(LEFT(发货清单!H15,SEARCH("-",发货清单!H15)-1),发货清单!H15)</f>
        <v>BD134755</v>
      </c>
      <c r="C15">
        <f>IFERROR(VLOOKUP(发货清单!A15,数据库!A:D,4,0),"")</f>
        <v>2903399090</v>
      </c>
      <c r="D15" t="str">
        <f>IFERROR(VLOOKUP(发货清单!A15,数据库!A:C,3,0),"")</f>
        <v>Acyclic hydrocarbon compound category （AB-02）13</v>
      </c>
      <c r="E15">
        <f>发货清单!M15</f>
        <v>1</v>
      </c>
      <c r="F15">
        <f>发货清单!U15</f>
        <v>74.2</v>
      </c>
      <c r="G15" t="str">
        <f>IFERROR(VLOOKUP(发货清单!A15,数据库!A:B,2,0),"")</f>
        <v>1,4-二碘代丁烷</v>
      </c>
      <c r="H15" t="str">
        <f>发货清单!N15</f>
        <v>褐色液体</v>
      </c>
      <c r="I15">
        <f t="shared" si="0"/>
        <v>211004019</v>
      </c>
      <c r="J15" t="str">
        <f t="shared" si="1"/>
        <v xml:space="preserve"> </v>
      </c>
      <c r="K15" t="str">
        <f t="shared" si="2"/>
        <v/>
      </c>
      <c r="L15" t="str">
        <f t="shared" si="3"/>
        <v/>
      </c>
      <c r="N15" s="245">
        <f t="shared" si="4"/>
        <v>0</v>
      </c>
      <c r="O15" s="245">
        <f t="shared" si="5"/>
        <v>0</v>
      </c>
      <c r="P15" t="str">
        <f t="shared" si="6"/>
        <v/>
      </c>
      <c r="Q15" t="str">
        <f>IFERROR(VLOOKUP(P15,数据库!C:M,11,0),"")</f>
        <v/>
      </c>
      <c r="R15" t="str">
        <f t="shared" si="7"/>
        <v/>
      </c>
      <c r="S15">
        <f t="shared" si="8"/>
        <v>0</v>
      </c>
    </row>
    <row r="16" spans="1:20">
      <c r="A16" t="str">
        <f>IF(B16=0,"",发货清单!A16*10^6+COUNTIF($D$2:D16,D16)*10^3+ROW(A15))</f>
        <v/>
      </c>
      <c r="B16">
        <f>IFERROR(LEFT(发货清单!H16,SEARCH("-",发货清单!H16)-1),发货清单!H16)</f>
        <v>0</v>
      </c>
      <c r="C16" t="str">
        <f>IFERROR(VLOOKUP(发货清单!A16,数据库!A:D,4,0),"")</f>
        <v/>
      </c>
      <c r="D16" t="str">
        <f>IFERROR(VLOOKUP(发货清单!A16,数据库!A:C,3,0),"")</f>
        <v/>
      </c>
      <c r="E16">
        <f>发货清单!M16</f>
        <v>0</v>
      </c>
      <c r="F16">
        <f>发货清单!U16</f>
        <v>0</v>
      </c>
      <c r="G16" t="str">
        <f>IFERROR(VLOOKUP(发货清单!A16,数据库!A:B,2,0),"")</f>
        <v/>
      </c>
      <c r="H16">
        <f>发货清单!N16</f>
        <v>0</v>
      </c>
      <c r="I16">
        <f t="shared" si="0"/>
        <v>211005020</v>
      </c>
      <c r="J16" t="str">
        <f t="shared" si="1"/>
        <v xml:space="preserve"> </v>
      </c>
      <c r="K16" t="str">
        <f t="shared" si="2"/>
        <v/>
      </c>
      <c r="L16" t="str">
        <f t="shared" si="3"/>
        <v/>
      </c>
      <c r="N16" s="245">
        <f t="shared" si="4"/>
        <v>0</v>
      </c>
      <c r="O16" s="245">
        <f t="shared" si="5"/>
        <v>0</v>
      </c>
      <c r="P16" t="str">
        <f t="shared" si="6"/>
        <v/>
      </c>
      <c r="Q16" t="str">
        <f>IFERROR(VLOOKUP(P16,数据库!C:M,11,0),"")</f>
        <v/>
      </c>
      <c r="R16" t="str">
        <f t="shared" si="7"/>
        <v/>
      </c>
      <c r="S16">
        <f t="shared" si="8"/>
        <v>0</v>
      </c>
    </row>
    <row r="17" spans="1:22">
      <c r="A17">
        <f>IF(B17=0,"",发货清单!A17*10^6+COUNTIF($D$2:D17,D17)*10^3+ROW(A16))</f>
        <v>211001016</v>
      </c>
      <c r="B17" t="str">
        <f>IFERROR(LEFT(发货清单!H17,SEARCH("-",发货清单!H17)-1),发货清单!H17)</f>
        <v>BD34276</v>
      </c>
      <c r="C17">
        <f>IFERROR(VLOOKUP(发货清单!A17,数据库!A:D,4,0),"")</f>
        <v>2903399090</v>
      </c>
      <c r="D17" t="str">
        <f>IFERROR(VLOOKUP(发货清单!A17,数据库!A:C,3,0),"")</f>
        <v>Acyclic hydrocarbon compound category （AB-02）11</v>
      </c>
      <c r="E17">
        <f>发货清单!M17</f>
        <v>100</v>
      </c>
      <c r="F17">
        <f>发货清单!U17</f>
        <v>20.440000000000001</v>
      </c>
      <c r="G17" t="str">
        <f>IFERROR(VLOOKUP(发货清单!A17,数据库!A:B,2,0),"")</f>
        <v>溴代十六烷</v>
      </c>
      <c r="H17" t="str">
        <f>发货清单!N17</f>
        <v>无色透明液体</v>
      </c>
      <c r="I17">
        <f t="shared" si="0"/>
        <v>213001013</v>
      </c>
      <c r="J17">
        <f t="shared" si="1"/>
        <v>213001013</v>
      </c>
      <c r="K17" t="str">
        <f t="shared" si="2"/>
        <v/>
      </c>
      <c r="L17" t="str">
        <f t="shared" si="3"/>
        <v/>
      </c>
      <c r="N17" s="245">
        <f t="shared" si="4"/>
        <v>0</v>
      </c>
      <c r="O17" s="245">
        <f t="shared" si="5"/>
        <v>0</v>
      </c>
      <c r="P17" t="str">
        <f t="shared" si="6"/>
        <v/>
      </c>
      <c r="Q17" t="str">
        <f>IFERROR(VLOOKUP(P17,数据库!C:M,11,0),"")</f>
        <v/>
      </c>
      <c r="R17" t="str">
        <f t="shared" si="7"/>
        <v/>
      </c>
      <c r="S17">
        <f t="shared" si="8"/>
        <v>0</v>
      </c>
    </row>
    <row r="18" spans="1:22">
      <c r="A18">
        <f>IF(B18=0,"",发货清单!A18*10^6+COUNTIF($D$2:D18,D18)*10^3+ROW(A17))</f>
        <v>211002017</v>
      </c>
      <c r="B18" t="str">
        <f>IFERROR(LEFT(发货清单!H18,SEARCH("-",发货清单!H18)-1),发货清单!H18)</f>
        <v>BD34276</v>
      </c>
      <c r="C18">
        <f>IFERROR(VLOOKUP(发货清单!A18,数据库!A:D,4,0),"")</f>
        <v>2903399090</v>
      </c>
      <c r="D18" t="str">
        <f>IFERROR(VLOOKUP(发货清单!A18,数据库!A:C,3,0),"")</f>
        <v>Acyclic hydrocarbon compound category （AB-02）11</v>
      </c>
      <c r="E18">
        <f>发货清单!M18</f>
        <v>100</v>
      </c>
      <c r="F18">
        <f>发货清单!U18</f>
        <v>20.440000000000001</v>
      </c>
      <c r="G18" t="str">
        <f>IFERROR(VLOOKUP(发货清单!A18,数据库!A:B,2,0),"")</f>
        <v>溴代十六烷</v>
      </c>
      <c r="H18" t="str">
        <f>发货清单!N18</f>
        <v>无色透明液体</v>
      </c>
      <c r="I18">
        <f t="shared" si="0"/>
        <v>213002014</v>
      </c>
      <c r="J18" t="str">
        <f t="shared" si="1"/>
        <v xml:space="preserve"> </v>
      </c>
      <c r="K18" t="str">
        <f t="shared" si="2"/>
        <v/>
      </c>
      <c r="L18" t="str">
        <f t="shared" si="3"/>
        <v/>
      </c>
      <c r="N18" s="245">
        <f t="shared" si="4"/>
        <v>0</v>
      </c>
      <c r="O18" s="245">
        <f t="shared" si="5"/>
        <v>0</v>
      </c>
      <c r="P18" t="str">
        <f t="shared" si="6"/>
        <v/>
      </c>
      <c r="Q18" t="str">
        <f>IFERROR(VLOOKUP(P18,数据库!C:M,11,0),"")</f>
        <v/>
      </c>
      <c r="R18" t="str">
        <f t="shared" si="7"/>
        <v/>
      </c>
      <c r="S18">
        <f t="shared" si="8"/>
        <v>0</v>
      </c>
    </row>
    <row r="19" spans="1:22">
      <c r="A19">
        <f>IF(B19=0,"",发货清单!A19*10^6+COUNTIF($D$2:D19,D19)*10^3+ROW(A18))</f>
        <v>211003018</v>
      </c>
      <c r="B19" t="str">
        <f>IFERROR(LEFT(发货清单!H19,SEARCH("-",发货清单!H19)-1),发货清单!H19)</f>
        <v>BD34276</v>
      </c>
      <c r="C19">
        <f>IFERROR(VLOOKUP(发货清单!A19,数据库!A:D,4,0),"")</f>
        <v>2903399090</v>
      </c>
      <c r="D19" t="str">
        <f>IFERROR(VLOOKUP(发货清单!A19,数据库!A:C,3,0),"")</f>
        <v>Acyclic hydrocarbon compound category （AB-02）11</v>
      </c>
      <c r="E19">
        <f>发货清单!M19</f>
        <v>100</v>
      </c>
      <c r="F19">
        <f>发货清单!U19</f>
        <v>20.440000000000001</v>
      </c>
      <c r="G19" t="str">
        <f>IFERROR(VLOOKUP(发货清单!A19,数据库!A:B,2,0),"")</f>
        <v>溴代十六烷</v>
      </c>
      <c r="H19" t="str">
        <f>发货清单!N19</f>
        <v>无色透明液体</v>
      </c>
      <c r="I19">
        <f t="shared" si="0"/>
        <v>646001012</v>
      </c>
      <c r="J19">
        <f t="shared" si="1"/>
        <v>646001012</v>
      </c>
      <c r="K19" t="str">
        <f t="shared" si="2"/>
        <v/>
      </c>
      <c r="L19" t="str">
        <f t="shared" si="3"/>
        <v/>
      </c>
      <c r="N19" s="245">
        <f t="shared" si="4"/>
        <v>0</v>
      </c>
      <c r="O19" s="245">
        <f t="shared" si="5"/>
        <v>0</v>
      </c>
      <c r="P19" t="str">
        <f t="shared" si="6"/>
        <v/>
      </c>
      <c r="Q19" t="str">
        <f>IFERROR(VLOOKUP(P19,数据库!C:M,11,0),"")</f>
        <v/>
      </c>
      <c r="R19" t="str">
        <f t="shared" si="7"/>
        <v/>
      </c>
      <c r="S19">
        <f t="shared" si="8"/>
        <v>0</v>
      </c>
    </row>
    <row r="20" spans="1:22">
      <c r="A20">
        <f>IF(B20=0,"",发货清单!A20*10^6+COUNTIF($D$2:D20,D20)*10^3+ROW(A19))</f>
        <v>211004019</v>
      </c>
      <c r="B20" t="str">
        <f>IFERROR(LEFT(发货清单!H20,SEARCH("-",发货清单!H20)-1),发货清单!H20)</f>
        <v>BD34276</v>
      </c>
      <c r="C20">
        <f>IFERROR(VLOOKUP(发货清单!A20,数据库!A:D,4,0),"")</f>
        <v>2903399090</v>
      </c>
      <c r="D20" t="str">
        <f>IFERROR(VLOOKUP(发货清单!A20,数据库!A:C,3,0),"")</f>
        <v>Acyclic hydrocarbon compound category （AB-02）11</v>
      </c>
      <c r="E20">
        <f>发货清单!M20</f>
        <v>100</v>
      </c>
      <c r="F20">
        <f>发货清单!U20</f>
        <v>20.440000000000001</v>
      </c>
      <c r="G20" t="str">
        <f>IFERROR(VLOOKUP(发货清单!A20,数据库!A:B,2,0),"")</f>
        <v>溴代十六烷</v>
      </c>
      <c r="H20" t="str">
        <f>发货清单!N20</f>
        <v>无色透明液体</v>
      </c>
      <c r="I20">
        <f t="shared" si="0"/>
        <v>653001011</v>
      </c>
      <c r="J20">
        <f t="shared" si="1"/>
        <v>653001011</v>
      </c>
      <c r="K20" t="str">
        <f t="shared" si="2"/>
        <v/>
      </c>
      <c r="L20" t="str">
        <f t="shared" si="3"/>
        <v/>
      </c>
      <c r="N20" s="245">
        <f t="shared" si="4"/>
        <v>0</v>
      </c>
      <c r="O20" s="245">
        <f t="shared" si="5"/>
        <v>0</v>
      </c>
      <c r="P20" t="str">
        <f t="shared" si="6"/>
        <v/>
      </c>
      <c r="Q20" t="str">
        <f>IFERROR(VLOOKUP(P20,数据库!C:M,11,0),"")</f>
        <v/>
      </c>
      <c r="R20" t="str">
        <f t="shared" si="7"/>
        <v/>
      </c>
      <c r="S20">
        <f t="shared" si="8"/>
        <v>0</v>
      </c>
    </row>
    <row r="21" spans="1:22">
      <c r="A21">
        <f>IF(B21=0,"",发货清单!A21*10^6+COUNTIF($D$2:D21,D21)*10^3+ROW(A20))</f>
        <v>211005020</v>
      </c>
      <c r="B21" t="str">
        <f>IFERROR(LEFT(发货清单!H21,SEARCH("-",发货清单!H21)-1),发货清单!H21)</f>
        <v>BD34276</v>
      </c>
      <c r="C21">
        <f>IFERROR(VLOOKUP(发货清单!A21,数据库!A:D,4,0),"")</f>
        <v>2903399090</v>
      </c>
      <c r="D21" t="str">
        <f>IFERROR(VLOOKUP(发货清单!A21,数据库!A:C,3,0),"")</f>
        <v>Acyclic hydrocarbon compound category （AB-02）11</v>
      </c>
      <c r="E21">
        <f>发货清单!M21</f>
        <v>100</v>
      </c>
      <c r="F21">
        <f>发货清单!U21</f>
        <v>20.440000000000001</v>
      </c>
      <c r="G21" t="str">
        <f>IFERROR(VLOOKUP(发货清单!A21,数据库!A:B,2,0),"")</f>
        <v>溴代十六烷</v>
      </c>
      <c r="H21" t="str">
        <f>发货清单!N21</f>
        <v>无色透明液体</v>
      </c>
      <c r="I21">
        <f t="shared" si="0"/>
        <v>1633001008</v>
      </c>
      <c r="J21">
        <f t="shared" si="1"/>
        <v>1633001008</v>
      </c>
      <c r="K21" t="str">
        <f t="shared" si="2"/>
        <v/>
      </c>
      <c r="L21" t="str">
        <f t="shared" si="3"/>
        <v/>
      </c>
      <c r="N21" s="245">
        <f t="shared" si="4"/>
        <v>0</v>
      </c>
      <c r="O21" s="245">
        <f t="shared" si="5"/>
        <v>0</v>
      </c>
      <c r="P21" t="str">
        <f t="shared" si="6"/>
        <v/>
      </c>
      <c r="Q21" t="str">
        <f>IFERROR(VLOOKUP(P21,数据库!C:M,11,0),"")</f>
        <v/>
      </c>
      <c r="R21" t="str">
        <f t="shared" si="7"/>
        <v/>
      </c>
      <c r="S21">
        <f t="shared" si="8"/>
        <v>0</v>
      </c>
    </row>
    <row r="22" spans="1:22">
      <c r="A22">
        <f>IF(B22=0,"",发货清单!A22*10^6+COUNTIF($D$2:D22,D22)*10^3+ROW(A21))</f>
        <v>81001021</v>
      </c>
      <c r="B22" t="str">
        <f>IFERROR(LEFT(发货清单!H22,SEARCH("-",发货清单!H22)-1),发货清单!H22)</f>
        <v>BD33944</v>
      </c>
      <c r="C22">
        <f>IFERROR(VLOOKUP(发货清单!A22,数据库!A:D,4,0),"")</f>
        <v>2935900090</v>
      </c>
      <c r="D22" t="str">
        <f>IFERROR(VLOOKUP(发货清单!A22,数据库!A:C,3,0),"")</f>
        <v>Sulfonamide compound category(AB-08)1</v>
      </c>
      <c r="E22">
        <f>发货清单!M22</f>
        <v>1000</v>
      </c>
      <c r="F22">
        <f>发货清单!U22</f>
        <v>55.3</v>
      </c>
      <c r="G22" t="str">
        <f>IFERROR(VLOOKUP(发货清单!A22,数据库!A:B,2,0),"")</f>
        <v>N-甲基对甲苯磺酰胺</v>
      </c>
      <c r="H22" t="str">
        <f>发货清单!N22</f>
        <v>白色粉末</v>
      </c>
      <c r="I22">
        <f t="shared" si="0"/>
        <v>1633002009</v>
      </c>
      <c r="J22" t="str">
        <f t="shared" si="1"/>
        <v xml:space="preserve"> </v>
      </c>
      <c r="K22" t="str">
        <f t="shared" si="2"/>
        <v/>
      </c>
      <c r="L22" t="str">
        <f t="shared" si="3"/>
        <v/>
      </c>
      <c r="N22" s="245">
        <f t="shared" si="4"/>
        <v>0</v>
      </c>
      <c r="O22" s="245">
        <f t="shared" si="5"/>
        <v>0</v>
      </c>
      <c r="P22" t="str">
        <f t="shared" si="6"/>
        <v/>
      </c>
      <c r="Q22" t="str">
        <f>IFERROR(VLOOKUP(P22,数据库!C:M,11,0),"")</f>
        <v/>
      </c>
      <c r="R22" t="str">
        <f t="shared" si="7"/>
        <v/>
      </c>
      <c r="S22">
        <f t="shared" si="8"/>
        <v>0</v>
      </c>
    </row>
    <row r="23" spans="1:22">
      <c r="A23" t="str">
        <f>IF(B23=0,"",发货清单!A23*10^6+COUNTIF($D$2:D23,D23)*10^3+ROW(A22))</f>
        <v/>
      </c>
      <c r="B23">
        <f>IFERROR(LEFT(发货清单!H23,SEARCH("-",发货清单!H23)-1),发货清单!H23)</f>
        <v>0</v>
      </c>
      <c r="C23" t="str">
        <f>IFERROR(VLOOKUP(发货清单!A23,数据库!A:D,4,0),"")</f>
        <v/>
      </c>
      <c r="D23" t="str">
        <f>IFERROR(VLOOKUP(发货清单!A23,数据库!A:C,3,0),"")</f>
        <v/>
      </c>
      <c r="E23">
        <f>发货清单!M23</f>
        <v>0</v>
      </c>
      <c r="F23">
        <f>发货清单!U23</f>
        <v>0</v>
      </c>
      <c r="G23" t="str">
        <f>IFERROR(VLOOKUP(发货清单!A23,数据库!A:B,2,0),"")</f>
        <v/>
      </c>
      <c r="H23">
        <f>发货清单!N23</f>
        <v>0</v>
      </c>
      <c r="I23">
        <f t="shared" si="0"/>
        <v>1633003010</v>
      </c>
      <c r="J23" t="str">
        <f t="shared" si="1"/>
        <v xml:space="preserve"> </v>
      </c>
      <c r="K23" t="str">
        <f t="shared" si="2"/>
        <v/>
      </c>
      <c r="L23" t="str">
        <f t="shared" si="3"/>
        <v/>
      </c>
      <c r="N23" s="245">
        <f t="shared" si="4"/>
        <v>0</v>
      </c>
      <c r="O23" s="245">
        <f t="shared" si="5"/>
        <v>0</v>
      </c>
      <c r="P23" t="str">
        <f t="shared" si="6"/>
        <v/>
      </c>
      <c r="Q23" t="str">
        <f>IFERROR(VLOOKUP(P23,数据库!C:M,11,0),"")</f>
        <v/>
      </c>
      <c r="R23" t="str">
        <f t="shared" si="7"/>
        <v/>
      </c>
      <c r="S23">
        <f t="shared" si="8"/>
        <v>0</v>
      </c>
    </row>
    <row r="24" spans="1:22">
      <c r="A24">
        <f>IF(B24=0,"",发货清单!A24*10^6+COUNTIF($D$2:D24,D24)*10^3+ROW(A23))</f>
        <v>154001023</v>
      </c>
      <c r="B24" t="str">
        <f>IFERROR(LEFT(发货清单!H24,SEARCH("-",发货清单!H24)-1),发货清单!H24)</f>
        <v>BD8507</v>
      </c>
      <c r="C24">
        <f>IFERROR(VLOOKUP(发货清单!A24,数据库!A:D,4,0),"")</f>
        <v>2932999099</v>
      </c>
      <c r="D24" t="str">
        <f>IFERROR(VLOOKUP(发货清单!A24,数据库!A:C,3,0),"")</f>
        <v>Heterocyclic with single or more oxygen atoms compound category （AB-15）4</v>
      </c>
      <c r="E24">
        <f>发货清单!M24</f>
        <v>25</v>
      </c>
      <c r="F24">
        <f>发货清单!U24</f>
        <v>8.75</v>
      </c>
      <c r="G24" t="str">
        <f>IFERROR(VLOOKUP(发货清单!A24,数据库!A:B,2,0),"")</f>
        <v>异山梨醇</v>
      </c>
      <c r="H24" t="str">
        <f>发货清单!N24</f>
        <v>淡黄色结晶</v>
      </c>
      <c r="I24">
        <f t="shared" si="0"/>
        <v>1636001001</v>
      </c>
      <c r="J24">
        <f t="shared" si="1"/>
        <v>1636001001</v>
      </c>
      <c r="K24" t="str">
        <f t="shared" si="2"/>
        <v/>
      </c>
      <c r="L24" t="str">
        <f t="shared" si="3"/>
        <v/>
      </c>
      <c r="N24" s="245">
        <f t="shared" si="4"/>
        <v>0</v>
      </c>
      <c r="O24" s="245">
        <f t="shared" si="5"/>
        <v>0</v>
      </c>
      <c r="P24" t="str">
        <f t="shared" si="6"/>
        <v/>
      </c>
      <c r="Q24" t="str">
        <f>IFERROR(VLOOKUP(P24,数据库!C:M,11,0),"")</f>
        <v/>
      </c>
      <c r="R24" t="str">
        <f t="shared" si="7"/>
        <v/>
      </c>
      <c r="S24">
        <f t="shared" si="8"/>
        <v>0</v>
      </c>
      <c r="V24" s="245">
        <f>SUM(N:N)</f>
        <v>3266</v>
      </c>
    </row>
    <row r="25" spans="1:22">
      <c r="A25">
        <f>IF(B25=0,"",发货清单!A25*10^6+COUNTIF($D$2:D25,D25)*10^3+ROW(A24))</f>
        <v>154002024</v>
      </c>
      <c r="B25" t="str">
        <f>IFERROR(LEFT(发货清单!H25,SEARCH("-",发货清单!H25)-1),发货清单!H25)</f>
        <v>BD8507</v>
      </c>
      <c r="C25">
        <f>IFERROR(VLOOKUP(发货清单!A25,数据库!A:D,4,0),"")</f>
        <v>2932999099</v>
      </c>
      <c r="D25" t="str">
        <f>IFERROR(VLOOKUP(发货清单!A25,数据库!A:C,3,0),"")</f>
        <v>Heterocyclic with single or more oxygen atoms compound category （AB-15）4</v>
      </c>
      <c r="E25">
        <f>发货清单!M25</f>
        <v>25</v>
      </c>
      <c r="F25">
        <f>发货清单!U25</f>
        <v>8.75</v>
      </c>
      <c r="G25" t="str">
        <f>IFERROR(VLOOKUP(发货清单!A25,数据库!A:B,2,0),"")</f>
        <v>异山梨醇</v>
      </c>
      <c r="H25" t="str">
        <f>发货清单!N25</f>
        <v>淡黄色结晶</v>
      </c>
      <c r="I25">
        <f t="shared" si="0"/>
        <v>1636002002</v>
      </c>
      <c r="J25" t="str">
        <f t="shared" si="1"/>
        <v xml:space="preserve"> </v>
      </c>
      <c r="K25" t="str">
        <f t="shared" si="2"/>
        <v/>
      </c>
      <c r="L25" t="str">
        <f t="shared" si="3"/>
        <v/>
      </c>
      <c r="N25" s="245">
        <f t="shared" si="4"/>
        <v>0</v>
      </c>
      <c r="O25" s="245">
        <f t="shared" si="5"/>
        <v>0</v>
      </c>
      <c r="P25" t="str">
        <f t="shared" si="6"/>
        <v/>
      </c>
      <c r="Q25" t="str">
        <f>IFERROR(VLOOKUP(P25,数据库!C:M,11,0),"")</f>
        <v/>
      </c>
      <c r="R25" t="str">
        <f t="shared" si="7"/>
        <v/>
      </c>
      <c r="S25">
        <f t="shared" si="8"/>
        <v>0</v>
      </c>
    </row>
    <row r="26" spans="1:22">
      <c r="A26">
        <f>IF(B26=0,"",发货清单!A26*10^6+COUNTIF($D$2:D26,D26)*10^3+ROW(A25))</f>
        <v>154003025</v>
      </c>
      <c r="B26" t="str">
        <f>IFERROR(LEFT(发货清单!H26,SEARCH("-",发货清单!H26)-1),发货清单!H26)</f>
        <v>BD8507</v>
      </c>
      <c r="C26">
        <f>IFERROR(VLOOKUP(发货清单!A26,数据库!A:D,4,0),"")</f>
        <v>2932999099</v>
      </c>
      <c r="D26" t="str">
        <f>IFERROR(VLOOKUP(发货清单!A26,数据库!A:C,3,0),"")</f>
        <v>Heterocyclic with single or more oxygen atoms compound category （AB-15）4</v>
      </c>
      <c r="E26">
        <f>发货清单!M26</f>
        <v>25</v>
      </c>
      <c r="F26">
        <f>发货清单!U26</f>
        <v>8.75</v>
      </c>
      <c r="G26" t="str">
        <f>IFERROR(VLOOKUP(发货清单!A26,数据库!A:B,2,0),"")</f>
        <v>异山梨醇</v>
      </c>
      <c r="H26" t="str">
        <f>发货清单!N26</f>
        <v>淡黄色结晶</v>
      </c>
      <c r="I26">
        <f t="shared" si="0"/>
        <v>1636003003</v>
      </c>
      <c r="J26" t="str">
        <f t="shared" si="1"/>
        <v xml:space="preserve"> </v>
      </c>
      <c r="K26" t="str">
        <f t="shared" si="2"/>
        <v/>
      </c>
      <c r="L26" t="str">
        <f t="shared" si="3"/>
        <v/>
      </c>
      <c r="N26" s="245">
        <f t="shared" si="4"/>
        <v>0</v>
      </c>
      <c r="O26" s="245">
        <f t="shared" si="5"/>
        <v>0</v>
      </c>
      <c r="P26" t="str">
        <f t="shared" si="6"/>
        <v/>
      </c>
      <c r="Q26" t="str">
        <f>IFERROR(VLOOKUP(P26,数据库!C:M,11,0),"")</f>
        <v/>
      </c>
      <c r="R26" t="str">
        <f t="shared" si="7"/>
        <v/>
      </c>
      <c r="S26">
        <f t="shared" si="8"/>
        <v>0</v>
      </c>
    </row>
    <row r="27" spans="1:22">
      <c r="A27">
        <f>IF(B27=0,"",发货清单!A27*10^6+COUNTIF($D$2:D27,D27)*10^3+ROW(A26))</f>
        <v>154004026</v>
      </c>
      <c r="B27" t="str">
        <f>IFERROR(LEFT(发货清单!H27,SEARCH("-",发货清单!H27)-1),发货清单!H27)</f>
        <v>BD8507</v>
      </c>
      <c r="C27">
        <f>IFERROR(VLOOKUP(发货清单!A27,数据库!A:D,4,0),"")</f>
        <v>2932999099</v>
      </c>
      <c r="D27" t="str">
        <f>IFERROR(VLOOKUP(发货清单!A27,数据库!A:C,3,0),"")</f>
        <v>Heterocyclic with single or more oxygen atoms compound category （AB-15）4</v>
      </c>
      <c r="E27">
        <f>发货清单!M27</f>
        <v>25</v>
      </c>
      <c r="F27">
        <f>发货清单!U27</f>
        <v>8.75</v>
      </c>
      <c r="G27" t="str">
        <f>IFERROR(VLOOKUP(发货清单!A27,数据库!A:B,2,0),"")</f>
        <v>异山梨醇</v>
      </c>
      <c r="H27" t="str">
        <f>发货清单!N27</f>
        <v>淡黄色结晶</v>
      </c>
      <c r="I27">
        <f t="shared" si="0"/>
        <v>1636004004</v>
      </c>
      <c r="J27" t="str">
        <f t="shared" si="1"/>
        <v xml:space="preserve"> </v>
      </c>
      <c r="K27" t="str">
        <f t="shared" si="2"/>
        <v/>
      </c>
      <c r="L27" t="str">
        <f t="shared" si="3"/>
        <v/>
      </c>
      <c r="N27" s="245">
        <f t="shared" si="4"/>
        <v>0</v>
      </c>
      <c r="O27" s="245">
        <f t="shared" si="5"/>
        <v>0</v>
      </c>
      <c r="P27" t="str">
        <f t="shared" si="6"/>
        <v/>
      </c>
      <c r="Q27" t="str">
        <f>IFERROR(VLOOKUP(P27,数据库!C:M,11,0),"")</f>
        <v/>
      </c>
      <c r="R27" t="str">
        <f t="shared" si="7"/>
        <v/>
      </c>
      <c r="S27">
        <f t="shared" si="8"/>
        <v>0</v>
      </c>
    </row>
    <row r="28" spans="1:22">
      <c r="A28">
        <f>IF(B28=0,"",发货清单!A28*10^6+COUNTIF($D$2:D28,D28)*10^3+ROW(A27))</f>
        <v>154005027</v>
      </c>
      <c r="B28" t="str">
        <f>IFERROR(LEFT(发货清单!H28,SEARCH("-",发货清单!H28)-1),发货清单!H28)</f>
        <v>BD38049</v>
      </c>
      <c r="C28">
        <f>IFERROR(VLOOKUP(发货清单!A28,数据库!A:D,4,0),"")</f>
        <v>2932999099</v>
      </c>
      <c r="D28" t="str">
        <f>IFERROR(VLOOKUP(发货清单!A28,数据库!A:C,3,0),"")</f>
        <v>Heterocyclic with single or more oxygen atoms compound category （AB-15）4</v>
      </c>
      <c r="E28">
        <f>发货清单!M28</f>
        <v>5</v>
      </c>
      <c r="F28">
        <f>发货清单!U28</f>
        <v>30.1</v>
      </c>
      <c r="G28" t="str">
        <f>IFERROR(VLOOKUP(发货清单!A28,数据库!A:B,2,0),"")</f>
        <v>异山梨醇</v>
      </c>
      <c r="H28" t="str">
        <f>发货清单!N28</f>
        <v>淡黄色结晶</v>
      </c>
      <c r="I28">
        <f t="shared" si="0"/>
        <v>1636005005</v>
      </c>
      <c r="J28" t="str">
        <f t="shared" si="1"/>
        <v xml:space="preserve"> </v>
      </c>
      <c r="K28" t="str">
        <f t="shared" si="2"/>
        <v/>
      </c>
      <c r="L28" t="str">
        <f t="shared" si="3"/>
        <v/>
      </c>
      <c r="N28" s="245">
        <f t="shared" si="4"/>
        <v>0</v>
      </c>
      <c r="O28" s="245">
        <f t="shared" si="5"/>
        <v>0</v>
      </c>
      <c r="P28" t="str">
        <f t="shared" si="6"/>
        <v/>
      </c>
      <c r="Q28" t="str">
        <f>IFERROR(VLOOKUP(P28,数据库!C:M,11,0),"")</f>
        <v/>
      </c>
      <c r="R28" t="str">
        <f t="shared" si="7"/>
        <v/>
      </c>
      <c r="S28">
        <f t="shared" si="8"/>
        <v>0</v>
      </c>
    </row>
    <row r="29" spans="1:22">
      <c r="A29">
        <f>IF(B29=0,"",发货清单!A29*10^6+COUNTIF($D$2:D29,D29)*10^3+ROW(A28))</f>
        <v>154006028</v>
      </c>
      <c r="B29" t="str">
        <f>IFERROR(LEFT(发货清单!H29,SEARCH("-",发货清单!H29)-1),发货清单!H29)</f>
        <v>BD8507</v>
      </c>
      <c r="C29">
        <f>IFERROR(VLOOKUP(发货清单!A29,数据库!A:D,4,0),"")</f>
        <v>2932999099</v>
      </c>
      <c r="D29" t="str">
        <f>IFERROR(VLOOKUP(发货清单!A29,数据库!A:C,3,0),"")</f>
        <v>Heterocyclic with single or more oxygen atoms compound category （AB-15）4</v>
      </c>
      <c r="E29">
        <f>发货清单!M29</f>
        <v>100</v>
      </c>
      <c r="F29">
        <f>发货清单!U29</f>
        <v>35</v>
      </c>
      <c r="G29" t="str">
        <f>IFERROR(VLOOKUP(发货清单!A29,数据库!A:B,2,0),"")</f>
        <v>异山梨醇</v>
      </c>
      <c r="H29" t="str">
        <f>发货清单!N29</f>
        <v>淡黄色结晶</v>
      </c>
      <c r="I29">
        <f t="shared" si="0"/>
        <v>1636006006</v>
      </c>
      <c r="J29" t="str">
        <f t="shared" si="1"/>
        <v xml:space="preserve"> </v>
      </c>
      <c r="K29" t="str">
        <f t="shared" si="2"/>
        <v/>
      </c>
      <c r="L29" t="str">
        <f t="shared" si="3"/>
        <v/>
      </c>
      <c r="N29" s="245">
        <f t="shared" si="4"/>
        <v>0</v>
      </c>
      <c r="O29" s="245">
        <f t="shared" si="5"/>
        <v>0</v>
      </c>
      <c r="P29" t="str">
        <f t="shared" si="6"/>
        <v/>
      </c>
      <c r="Q29" t="str">
        <f>IFERROR(VLOOKUP(P29,数据库!C:M,11,0),"")</f>
        <v/>
      </c>
      <c r="R29" t="str">
        <f t="shared" si="7"/>
        <v/>
      </c>
      <c r="S29">
        <f t="shared" si="8"/>
        <v>0</v>
      </c>
    </row>
    <row r="30" spans="1:22">
      <c r="A30">
        <f>IF(B30=0,"",发货清单!A30*10^6+COUNTIF($D$2:D30,D30)*10^3+ROW(A29))</f>
        <v>46001029</v>
      </c>
      <c r="B30" t="str">
        <f>IFERROR(LEFT(发货清单!H30,SEARCH("-",发货清单!H30)-1),发货清单!H30)</f>
        <v>BD147837</v>
      </c>
      <c r="C30">
        <f>IFERROR(VLOOKUP(发货清单!A30,数据库!A:D,4,0),"")</f>
        <v>2917190090</v>
      </c>
      <c r="D30" t="str">
        <f>IFERROR(VLOOKUP(发货清单!A30,数据库!A:C,3,0),"")</f>
        <v>Carboxylic acid compound category (AB-04)6</v>
      </c>
      <c r="E30">
        <f>发货清单!M30</f>
        <v>10</v>
      </c>
      <c r="F30">
        <f>发货清单!U30</f>
        <v>156.80000000000001</v>
      </c>
      <c r="G30" t="str">
        <f>IFERROR(VLOOKUP(发货清单!A30,数据库!A:B,2,0),"")</f>
        <v>辛二酸单甲酯</v>
      </c>
      <c r="H30" t="str">
        <f>发货清单!N30</f>
        <v>类白色结晶</v>
      </c>
      <c r="I30">
        <f t="shared" si="0"/>
        <v>1636007007</v>
      </c>
      <c r="J30" t="str">
        <f t="shared" si="1"/>
        <v xml:space="preserve"> </v>
      </c>
      <c r="K30" t="str">
        <f t="shared" si="2"/>
        <v/>
      </c>
      <c r="L30" t="str">
        <f t="shared" si="3"/>
        <v/>
      </c>
      <c r="N30" s="245">
        <f t="shared" si="4"/>
        <v>0</v>
      </c>
      <c r="O30" s="245">
        <f t="shared" si="5"/>
        <v>0</v>
      </c>
      <c r="P30" t="str">
        <f t="shared" si="6"/>
        <v/>
      </c>
      <c r="Q30" t="str">
        <f>IFERROR(VLOOKUP(P30,数据库!C:M,11,0),"")</f>
        <v/>
      </c>
      <c r="R30" t="str">
        <f t="shared" si="7"/>
        <v/>
      </c>
      <c r="S30">
        <f t="shared" si="8"/>
        <v>0</v>
      </c>
    </row>
    <row r="31" spans="1:22">
      <c r="A31">
        <f>IF(B31=0,"",发货清单!A31*10^6+COUNTIF($D$2:D31,D31)*10^3+ROW(A30))</f>
        <v>41001030</v>
      </c>
      <c r="B31" t="str">
        <f>IFERROR(LEFT(发货清单!H31,SEARCH("-",发货清单!H31)-1),发货清单!H31)</f>
        <v>BD8518</v>
      </c>
      <c r="C31">
        <f>IFERROR(VLOOKUP(发货清单!A31,数据库!A:D,4,0),"")</f>
        <v>2917190090</v>
      </c>
      <c r="D31" t="str">
        <f>IFERROR(VLOOKUP(发货清单!A31,数据库!A:C,3,0),"")</f>
        <v>Carboxylic acid compound category (AB-04)1</v>
      </c>
      <c r="E31">
        <f>发货清单!M31</f>
        <v>100</v>
      </c>
      <c r="F31">
        <f>发货清单!U31</f>
        <v>175</v>
      </c>
      <c r="G31" t="str">
        <f>IFERROR(VLOOKUP(发货清单!A31,数据库!A:B,2,0),"")</f>
        <v>十三烷二酸</v>
      </c>
      <c r="H31" t="str">
        <f>发货清单!N31</f>
        <v>白色粉末</v>
      </c>
      <c r="I31" t="str">
        <f t="shared" si="0"/>
        <v/>
      </c>
      <c r="J31" t="str">
        <f t="shared" si="1"/>
        <v xml:space="preserve"> </v>
      </c>
      <c r="K31" t="str">
        <f t="shared" si="2"/>
        <v/>
      </c>
      <c r="L31" t="str">
        <f t="shared" si="3"/>
        <v/>
      </c>
      <c r="N31" s="245">
        <f t="shared" si="4"/>
        <v>0</v>
      </c>
      <c r="O31" s="245">
        <f t="shared" si="5"/>
        <v>0</v>
      </c>
      <c r="P31" t="str">
        <f t="shared" si="6"/>
        <v/>
      </c>
      <c r="Q31" t="str">
        <f>IFERROR(VLOOKUP(P31,数据库!C:M,11,0),"")</f>
        <v/>
      </c>
      <c r="R31" t="str">
        <f t="shared" si="7"/>
        <v/>
      </c>
      <c r="S31">
        <f t="shared" si="8"/>
        <v>0</v>
      </c>
    </row>
    <row r="32" spans="1:22">
      <c r="A32">
        <f>IF(B32=0,"",发货清单!A32*10^6+COUNTIF($D$2:D32,D32)*10^3+ROW(A31))</f>
        <v>41002031</v>
      </c>
      <c r="B32" t="str">
        <f>IFERROR(LEFT(发货清单!H32,SEARCH("-",发货清单!H32)-1),发货清单!H32)</f>
        <v>BD34688</v>
      </c>
      <c r="C32">
        <f>IFERROR(VLOOKUP(发货清单!A32,数据库!A:D,4,0),"")</f>
        <v>2917190090</v>
      </c>
      <c r="D32" t="str">
        <f>IFERROR(VLOOKUP(发货清单!A32,数据库!A:C,3,0),"")</f>
        <v>Carboxylic acid compound category (AB-04)1</v>
      </c>
      <c r="E32">
        <f>发货清单!M32</f>
        <v>500</v>
      </c>
      <c r="F32">
        <f>发货清单!U32</f>
        <v>43.4</v>
      </c>
      <c r="G32" t="str">
        <f>IFERROR(VLOOKUP(发货清单!A32,数据库!A:B,2,0),"")</f>
        <v>十三烷二酸</v>
      </c>
      <c r="H32" t="str">
        <f>发货清单!N32</f>
        <v>白色粉末</v>
      </c>
      <c r="I32" t="str">
        <f t="shared" si="0"/>
        <v/>
      </c>
      <c r="J32" t="str">
        <f t="shared" si="1"/>
        <v xml:space="preserve"> </v>
      </c>
      <c r="K32" t="str">
        <f t="shared" si="2"/>
        <v/>
      </c>
      <c r="L32" t="str">
        <f t="shared" si="3"/>
        <v/>
      </c>
      <c r="N32" s="245">
        <f t="shared" si="4"/>
        <v>0</v>
      </c>
      <c r="O32" s="245">
        <f t="shared" si="5"/>
        <v>0</v>
      </c>
      <c r="P32" t="str">
        <f t="shared" si="6"/>
        <v/>
      </c>
      <c r="Q32" t="str">
        <f>IFERROR(VLOOKUP(P32,数据库!C:M,11,0),"")</f>
        <v/>
      </c>
      <c r="R32" t="str">
        <f t="shared" si="7"/>
        <v/>
      </c>
      <c r="S32">
        <f t="shared" si="8"/>
        <v>0</v>
      </c>
    </row>
    <row r="33" spans="1:19">
      <c r="A33" t="str">
        <f>IF(B33=0,"",发货清单!A33*10^6+COUNTIF($D$2:D33,D33)*10^3+ROW(A32))</f>
        <v/>
      </c>
      <c r="B33">
        <f>IFERROR(LEFT(发货清单!H33,SEARCH("-",发货清单!H33)-1),发货清单!H33)</f>
        <v>0</v>
      </c>
      <c r="C33" t="str">
        <f>IFERROR(VLOOKUP(发货清单!A33,数据库!A:D,4,0),"")</f>
        <v/>
      </c>
      <c r="D33" t="str">
        <f>IFERROR(VLOOKUP(发货清单!A33,数据库!A:C,3,0),"")</f>
        <v/>
      </c>
      <c r="E33">
        <f>发货清单!M33</f>
        <v>0</v>
      </c>
      <c r="F33">
        <f>发货清单!U33</f>
        <v>0</v>
      </c>
      <c r="G33" t="str">
        <f>IFERROR(VLOOKUP(发货清单!A33,数据库!A:B,2,0),"")</f>
        <v/>
      </c>
      <c r="H33">
        <f>发货清单!N33</f>
        <v>0</v>
      </c>
      <c r="I33" t="str">
        <f t="shared" si="0"/>
        <v/>
      </c>
      <c r="J33" t="str">
        <f t="shared" si="1"/>
        <v xml:space="preserve"> </v>
      </c>
      <c r="K33" t="str">
        <f t="shared" si="2"/>
        <v/>
      </c>
      <c r="L33" t="str">
        <f t="shared" si="3"/>
        <v/>
      </c>
      <c r="N33" s="245">
        <f t="shared" si="4"/>
        <v>0</v>
      </c>
      <c r="O33" s="245">
        <f t="shared" si="5"/>
        <v>0</v>
      </c>
      <c r="P33" t="str">
        <f t="shared" si="6"/>
        <v/>
      </c>
      <c r="Q33" t="str">
        <f>IFERROR(VLOOKUP(P33,数据库!C:M,11,0),"")</f>
        <v/>
      </c>
      <c r="R33" t="str">
        <f t="shared" si="7"/>
        <v/>
      </c>
      <c r="S33">
        <f t="shared" si="8"/>
        <v>0</v>
      </c>
    </row>
    <row r="34" spans="1:19">
      <c r="A34" t="str">
        <f>IF(B34=0,"",发货清单!A34*10^6+COUNTIF($D$2:D34,D34)*10^3+ROW(A33))</f>
        <v/>
      </c>
      <c r="B34">
        <f>IFERROR(LEFT(发货清单!H34,SEARCH("-",发货清单!H34)-1),发货清单!H34)</f>
        <v>0</v>
      </c>
      <c r="C34" t="str">
        <f>IFERROR(VLOOKUP(发货清单!A34,数据库!A:D,4,0),"")</f>
        <v/>
      </c>
      <c r="D34" t="str">
        <f>IFERROR(VLOOKUP(发货清单!A34,数据库!A:C,3,0),"")</f>
        <v/>
      </c>
      <c r="E34">
        <f>发货清单!M34</f>
        <v>0</v>
      </c>
      <c r="F34">
        <f>发货清单!U34</f>
        <v>0</v>
      </c>
      <c r="G34" t="str">
        <f>IFERROR(VLOOKUP(发货清单!A34,数据库!A:B,2,0),"")</f>
        <v/>
      </c>
      <c r="H34">
        <f>发货清单!N34</f>
        <v>0</v>
      </c>
      <c r="I34" t="str">
        <f t="shared" si="0"/>
        <v/>
      </c>
      <c r="J34" t="str">
        <f t="shared" si="1"/>
        <v xml:space="preserve"> </v>
      </c>
      <c r="K34" t="str">
        <f t="shared" si="2"/>
        <v/>
      </c>
      <c r="L34" t="str">
        <f t="shared" si="3"/>
        <v/>
      </c>
      <c r="N34" s="245">
        <f t="shared" si="4"/>
        <v>0</v>
      </c>
      <c r="O34" s="245">
        <f t="shared" si="5"/>
        <v>0</v>
      </c>
      <c r="P34" t="str">
        <f t="shared" si="6"/>
        <v/>
      </c>
      <c r="Q34" t="str">
        <f>IFERROR(VLOOKUP(P34,数据库!C:M,11,0),"")</f>
        <v/>
      </c>
      <c r="R34" t="str">
        <f t="shared" si="7"/>
        <v/>
      </c>
      <c r="S34">
        <f t="shared" si="8"/>
        <v>0</v>
      </c>
    </row>
    <row r="35" spans="1:19">
      <c r="A35" t="str">
        <f>IF(B35=0,"",发货清单!A35*10^6+COUNTIF($D$2:D35,D35)*10^3+ROW(A34))</f>
        <v/>
      </c>
      <c r="B35">
        <f>IFERROR(LEFT(发货清单!H35,SEARCH("-",发货清单!H35)-1),发货清单!H35)</f>
        <v>0</v>
      </c>
      <c r="C35" t="str">
        <f>IFERROR(VLOOKUP(发货清单!A35,数据库!A:D,4,0),"")</f>
        <v/>
      </c>
      <c r="D35" t="str">
        <f>IFERROR(VLOOKUP(发货清单!A35,数据库!A:C,3,0),"")</f>
        <v/>
      </c>
      <c r="E35">
        <f>发货清单!M35</f>
        <v>0</v>
      </c>
      <c r="F35">
        <f>发货清单!U35</f>
        <v>0</v>
      </c>
      <c r="G35" t="str">
        <f>IFERROR(VLOOKUP(发货清单!A35,数据库!A:B,2,0),"")</f>
        <v/>
      </c>
      <c r="H35">
        <f>发货清单!N35</f>
        <v>0</v>
      </c>
      <c r="I35" t="str">
        <f t="shared" si="0"/>
        <v/>
      </c>
      <c r="J35" t="str">
        <f t="shared" si="1"/>
        <v xml:space="preserve"> </v>
      </c>
      <c r="K35" t="str">
        <f t="shared" si="2"/>
        <v/>
      </c>
      <c r="L35" t="str">
        <f t="shared" si="3"/>
        <v/>
      </c>
      <c r="N35" s="245">
        <f t="shared" si="4"/>
        <v>0</v>
      </c>
      <c r="O35" s="245">
        <f t="shared" si="5"/>
        <v>0</v>
      </c>
      <c r="P35" t="str">
        <f t="shared" si="6"/>
        <v/>
      </c>
      <c r="Q35" t="str">
        <f>IFERROR(VLOOKUP(P35,数据库!C:M,11,0),"")</f>
        <v/>
      </c>
      <c r="R35" t="str">
        <f t="shared" si="7"/>
        <v/>
      </c>
      <c r="S35">
        <f t="shared" si="8"/>
        <v>0</v>
      </c>
    </row>
    <row r="36" spans="1:19">
      <c r="A36" t="str">
        <f>IF(B36=0,"",发货清单!A36*10^6+COUNTIF($D$2:D36,D36)*10^3+ROW(A35))</f>
        <v/>
      </c>
      <c r="B36">
        <f>IFERROR(LEFT(发货清单!H36,SEARCH("-",发货清单!H36)-1),发货清单!H36)</f>
        <v>0</v>
      </c>
      <c r="C36" t="str">
        <f>IFERROR(VLOOKUP(发货清单!A36,数据库!A:D,4,0),"")</f>
        <v/>
      </c>
      <c r="D36" t="str">
        <f>IFERROR(VLOOKUP(发货清单!A36,数据库!A:C,3,0),"")</f>
        <v/>
      </c>
      <c r="E36">
        <f>发货清单!M36</f>
        <v>0</v>
      </c>
      <c r="F36">
        <f>发货清单!U36</f>
        <v>0</v>
      </c>
      <c r="G36" t="str">
        <f>IFERROR(VLOOKUP(发货清单!A36,数据库!A:B,2,0),"")</f>
        <v/>
      </c>
      <c r="H36">
        <f>发货清单!N36</f>
        <v>0</v>
      </c>
      <c r="I36" t="str">
        <f t="shared" si="0"/>
        <v/>
      </c>
      <c r="J36" t="str">
        <f t="shared" si="1"/>
        <v xml:space="preserve"> </v>
      </c>
      <c r="K36" t="str">
        <f t="shared" si="2"/>
        <v/>
      </c>
      <c r="L36" t="str">
        <f t="shared" si="3"/>
        <v/>
      </c>
      <c r="N36" s="245">
        <f t="shared" si="4"/>
        <v>0</v>
      </c>
      <c r="O36" s="245">
        <f t="shared" si="5"/>
        <v>0</v>
      </c>
      <c r="P36" t="str">
        <f t="shared" si="6"/>
        <v/>
      </c>
      <c r="Q36" t="str">
        <f>IFERROR(VLOOKUP(P36,数据库!C:M,11,0),"")</f>
        <v/>
      </c>
      <c r="R36" t="str">
        <f t="shared" si="7"/>
        <v/>
      </c>
      <c r="S36">
        <f t="shared" si="8"/>
        <v>0</v>
      </c>
    </row>
    <row r="37" spans="1:19">
      <c r="A37" t="str">
        <f>IF(B37=0,"",发货清单!A37*10^6+COUNTIF($D$2:D37,D37)*10^3+ROW(A36))</f>
        <v/>
      </c>
      <c r="B37">
        <f>IFERROR(LEFT(发货清单!H37,SEARCH("-",发货清单!H37)-1),发货清单!H37)</f>
        <v>0</v>
      </c>
      <c r="C37" t="str">
        <f>IFERROR(VLOOKUP(发货清单!A37,数据库!A:D,4,0),"")</f>
        <v/>
      </c>
      <c r="D37" t="str">
        <f>IFERROR(VLOOKUP(发货清单!A37,数据库!A:C,3,0),"")</f>
        <v/>
      </c>
      <c r="E37">
        <f>发货清单!M37</f>
        <v>0</v>
      </c>
      <c r="F37">
        <f>发货清单!U37</f>
        <v>0</v>
      </c>
      <c r="G37" t="str">
        <f>IFERROR(VLOOKUP(发货清单!A37,数据库!A:B,2,0),"")</f>
        <v/>
      </c>
      <c r="H37">
        <f>发货清单!N37</f>
        <v>0</v>
      </c>
      <c r="I37" t="str">
        <f t="shared" si="0"/>
        <v/>
      </c>
      <c r="J37" t="str">
        <f t="shared" si="1"/>
        <v xml:space="preserve"> </v>
      </c>
      <c r="K37" t="str">
        <f t="shared" si="2"/>
        <v/>
      </c>
      <c r="L37" t="str">
        <f t="shared" si="3"/>
        <v/>
      </c>
      <c r="N37" s="245">
        <f t="shared" si="4"/>
        <v>0</v>
      </c>
      <c r="O37" s="245">
        <f t="shared" si="5"/>
        <v>0</v>
      </c>
      <c r="P37" t="str">
        <f t="shared" si="6"/>
        <v/>
      </c>
      <c r="Q37" t="str">
        <f>IFERROR(VLOOKUP(P37,数据库!C:M,11,0),"")</f>
        <v/>
      </c>
      <c r="R37" t="str">
        <f t="shared" si="7"/>
        <v/>
      </c>
      <c r="S37">
        <f t="shared" si="8"/>
        <v>0</v>
      </c>
    </row>
    <row r="38" spans="1:19">
      <c r="A38" t="str">
        <f>IF(B38=0,"",发货清单!A38*10^6+COUNTIF($D$2:D38,D38)*10^3+ROW(A37))</f>
        <v/>
      </c>
      <c r="B38">
        <f>IFERROR(LEFT(发货清单!H38,SEARCH("-",发货清单!H38)-1),发货清单!H38)</f>
        <v>0</v>
      </c>
      <c r="C38" t="str">
        <f>IFERROR(VLOOKUP(发货清单!A38,数据库!A:D,4,0),"")</f>
        <v/>
      </c>
      <c r="D38" t="str">
        <f>IFERROR(VLOOKUP(发货清单!A38,数据库!A:C,3,0),"")</f>
        <v/>
      </c>
      <c r="E38">
        <f>发货清单!M38</f>
        <v>0</v>
      </c>
      <c r="F38">
        <f>发货清单!U38</f>
        <v>0</v>
      </c>
      <c r="G38" t="str">
        <f>IFERROR(VLOOKUP(发货清单!A38,数据库!A:B,2,0),"")</f>
        <v/>
      </c>
      <c r="H38">
        <f>发货清单!N38</f>
        <v>0</v>
      </c>
      <c r="I38" t="str">
        <f t="shared" si="0"/>
        <v/>
      </c>
      <c r="J38" t="str">
        <f t="shared" si="1"/>
        <v xml:space="preserve"> </v>
      </c>
      <c r="K38" t="str">
        <f t="shared" si="2"/>
        <v/>
      </c>
      <c r="L38" t="str">
        <f t="shared" si="3"/>
        <v/>
      </c>
      <c r="N38" s="245">
        <f t="shared" si="4"/>
        <v>0</v>
      </c>
      <c r="O38" s="245">
        <f t="shared" si="5"/>
        <v>0</v>
      </c>
      <c r="P38" t="str">
        <f t="shared" si="6"/>
        <v/>
      </c>
      <c r="Q38" t="str">
        <f>IFERROR(VLOOKUP(P38,数据库!C:M,11,0),"")</f>
        <v/>
      </c>
      <c r="R38" t="str">
        <f t="shared" si="7"/>
        <v/>
      </c>
      <c r="S38">
        <f t="shared" si="8"/>
        <v>0</v>
      </c>
    </row>
    <row r="39" spans="1:19">
      <c r="A39" t="str">
        <f>IF(B39=0,"",发货清单!A39*10^6+COUNTIF($D$2:D39,D39)*10^3+ROW(A38))</f>
        <v/>
      </c>
      <c r="B39">
        <f>IFERROR(LEFT(发货清单!H39,SEARCH("-",发货清单!H39)-1),发货清单!H39)</f>
        <v>0</v>
      </c>
      <c r="C39" t="str">
        <f>IFERROR(VLOOKUP(发货清单!A39,数据库!A:D,4,0),"")</f>
        <v/>
      </c>
      <c r="D39" t="str">
        <f>IFERROR(VLOOKUP(发货清单!A39,数据库!A:C,3,0),"")</f>
        <v/>
      </c>
      <c r="E39">
        <f>发货清单!M39</f>
        <v>0</v>
      </c>
      <c r="F39">
        <f>发货清单!U39</f>
        <v>0</v>
      </c>
      <c r="G39" t="str">
        <f>IFERROR(VLOOKUP(发货清单!A39,数据库!A:B,2,0),"")</f>
        <v/>
      </c>
      <c r="H39">
        <f>发货清单!N39</f>
        <v>0</v>
      </c>
      <c r="I39" t="str">
        <f t="shared" si="0"/>
        <v/>
      </c>
      <c r="J39" t="str">
        <f t="shared" si="1"/>
        <v xml:space="preserve"> </v>
      </c>
      <c r="K39" t="str">
        <f t="shared" si="2"/>
        <v/>
      </c>
      <c r="L39" t="str">
        <f t="shared" si="3"/>
        <v/>
      </c>
      <c r="N39" s="245">
        <f t="shared" si="4"/>
        <v>0</v>
      </c>
      <c r="O39" s="245">
        <f t="shared" si="5"/>
        <v>0</v>
      </c>
      <c r="P39" t="str">
        <f t="shared" si="6"/>
        <v/>
      </c>
      <c r="Q39" t="str">
        <f>IFERROR(VLOOKUP(P39,数据库!C:M,11,0),"")</f>
        <v/>
      </c>
      <c r="R39" t="str">
        <f t="shared" si="7"/>
        <v/>
      </c>
      <c r="S39">
        <f t="shared" si="8"/>
        <v>0</v>
      </c>
    </row>
    <row r="40" spans="1:19">
      <c r="A40" t="str">
        <f>IF(B40=0,"",发货清单!A40*10^6+COUNTIF($D$2:D40,D40)*10^3+ROW(A39))</f>
        <v/>
      </c>
      <c r="B40">
        <f>IFERROR(LEFT(发货清单!H40,SEARCH("-",发货清单!H40)-1),发货清单!H40)</f>
        <v>0</v>
      </c>
      <c r="C40" t="str">
        <f>IFERROR(VLOOKUP(发货清单!A40,数据库!A:D,4,0),"")</f>
        <v/>
      </c>
      <c r="D40" t="str">
        <f>IFERROR(VLOOKUP(发货清单!A40,数据库!A:C,3,0),"")</f>
        <v/>
      </c>
      <c r="E40">
        <f>发货清单!M40</f>
        <v>0</v>
      </c>
      <c r="F40">
        <f>发货清单!U40</f>
        <v>0</v>
      </c>
      <c r="G40" t="str">
        <f>IFERROR(VLOOKUP(发货清单!A40,数据库!A:B,2,0),"")</f>
        <v/>
      </c>
      <c r="H40">
        <f>发货清单!N40</f>
        <v>0</v>
      </c>
      <c r="I40" t="str">
        <f t="shared" si="0"/>
        <v/>
      </c>
      <c r="J40" t="str">
        <f t="shared" si="1"/>
        <v xml:space="preserve"> </v>
      </c>
      <c r="K40" t="str">
        <f t="shared" si="2"/>
        <v/>
      </c>
      <c r="L40" t="str">
        <f t="shared" si="3"/>
        <v/>
      </c>
      <c r="N40" s="245">
        <f t="shared" si="4"/>
        <v>0</v>
      </c>
      <c r="O40" s="245">
        <f t="shared" si="5"/>
        <v>0</v>
      </c>
      <c r="P40" t="str">
        <f t="shared" si="6"/>
        <v/>
      </c>
      <c r="Q40" t="str">
        <f>IFERROR(VLOOKUP(P40,数据库!C:M,11,0),"")</f>
        <v/>
      </c>
      <c r="R40" t="str">
        <f t="shared" si="7"/>
        <v/>
      </c>
      <c r="S40">
        <f t="shared" si="8"/>
        <v>0</v>
      </c>
    </row>
    <row r="41" spans="1:19">
      <c r="A41" t="str">
        <f>IF(B41=0,"",发货清单!A41*10^6+COUNTIF($D$2:D41,D41)*10^3+ROW(A40))</f>
        <v/>
      </c>
      <c r="B41">
        <f>IFERROR(LEFT(发货清单!H41,SEARCH("-",发货清单!H41)-1),发货清单!H41)</f>
        <v>0</v>
      </c>
      <c r="C41" t="str">
        <f>IFERROR(VLOOKUP(发货清单!A41,数据库!A:D,4,0),"")</f>
        <v/>
      </c>
      <c r="D41" t="str">
        <f>IFERROR(VLOOKUP(发货清单!A41,数据库!A:C,3,0),"")</f>
        <v/>
      </c>
      <c r="E41">
        <f>发货清单!M41</f>
        <v>0</v>
      </c>
      <c r="F41">
        <f>发货清单!U41</f>
        <v>0</v>
      </c>
      <c r="G41" t="str">
        <f>IFERROR(VLOOKUP(发货清单!A41,数据库!A:B,2,0),"")</f>
        <v/>
      </c>
      <c r="H41">
        <f>发货清单!N41</f>
        <v>0</v>
      </c>
      <c r="I41" t="str">
        <f t="shared" si="0"/>
        <v/>
      </c>
      <c r="J41" t="str">
        <f t="shared" si="1"/>
        <v xml:space="preserve"> </v>
      </c>
      <c r="K41" t="str">
        <f t="shared" si="2"/>
        <v/>
      </c>
      <c r="L41" t="str">
        <f t="shared" si="3"/>
        <v/>
      </c>
      <c r="N41" s="245">
        <f t="shared" si="4"/>
        <v>0</v>
      </c>
      <c r="O41" s="245">
        <f t="shared" si="5"/>
        <v>0</v>
      </c>
      <c r="P41" t="str">
        <f t="shared" si="6"/>
        <v/>
      </c>
      <c r="Q41" t="str">
        <f>IFERROR(VLOOKUP(P41,数据库!C:M,11,0),"")</f>
        <v/>
      </c>
      <c r="R41" t="str">
        <f t="shared" si="7"/>
        <v/>
      </c>
      <c r="S41">
        <f t="shared" si="8"/>
        <v>0</v>
      </c>
    </row>
    <row r="42" spans="1:19">
      <c r="A42" t="str">
        <f>IF(B42=0,"",发货清单!A42*10^6+COUNTIF($D$2:D42,D42)*10^3+ROW(A41))</f>
        <v/>
      </c>
      <c r="B42">
        <f>IFERROR(LEFT(发货清单!H42,SEARCH("-",发货清单!H42)-1),发货清单!H42)</f>
        <v>0</v>
      </c>
      <c r="C42" t="str">
        <f>IFERROR(VLOOKUP(发货清单!A42,数据库!A:D,4,0),"")</f>
        <v/>
      </c>
      <c r="D42" t="str">
        <f>IFERROR(VLOOKUP(发货清单!A42,数据库!A:C,3,0),"")</f>
        <v/>
      </c>
      <c r="E42">
        <f>发货清单!M42</f>
        <v>0</v>
      </c>
      <c r="F42">
        <f>发货清单!U42</f>
        <v>0</v>
      </c>
      <c r="G42" t="str">
        <f>IFERROR(VLOOKUP(发货清单!A42,数据库!A:B,2,0),"")</f>
        <v/>
      </c>
      <c r="H42">
        <f>发货清单!N42</f>
        <v>0</v>
      </c>
      <c r="I42" t="str">
        <f t="shared" si="0"/>
        <v/>
      </c>
      <c r="J42" t="str">
        <f t="shared" si="1"/>
        <v xml:space="preserve"> </v>
      </c>
      <c r="K42" t="str">
        <f t="shared" si="2"/>
        <v/>
      </c>
      <c r="L42" t="str">
        <f t="shared" si="3"/>
        <v/>
      </c>
      <c r="N42" s="245">
        <f t="shared" si="4"/>
        <v>0</v>
      </c>
      <c r="O42" s="245">
        <f t="shared" si="5"/>
        <v>0</v>
      </c>
      <c r="P42" t="str">
        <f t="shared" si="6"/>
        <v/>
      </c>
      <c r="Q42" t="str">
        <f>IFERROR(VLOOKUP(P42,数据库!C:M,11,0),"")</f>
        <v/>
      </c>
      <c r="R42" t="str">
        <f t="shared" si="7"/>
        <v/>
      </c>
      <c r="S42">
        <f t="shared" si="8"/>
        <v>0</v>
      </c>
    </row>
    <row r="43" spans="1:19">
      <c r="A43" t="str">
        <f>IF(B43=0,"",发货清单!A43*10^6+COUNTIF($D$2:D43,D43)*10^3+ROW(A42))</f>
        <v/>
      </c>
      <c r="B43">
        <f>IFERROR(LEFT(发货清单!H43,SEARCH("-",发货清单!H43)-1),发货清单!H43)</f>
        <v>0</v>
      </c>
      <c r="C43" t="str">
        <f>IFERROR(VLOOKUP(发货清单!A43,数据库!A:D,4,0),"")</f>
        <v/>
      </c>
      <c r="D43" t="str">
        <f>IFERROR(VLOOKUP(发货清单!A43,数据库!A:C,3,0),"")</f>
        <v/>
      </c>
      <c r="E43">
        <f>发货清单!M43</f>
        <v>0</v>
      </c>
      <c r="F43">
        <f>发货清单!U43</f>
        <v>0</v>
      </c>
      <c r="G43" t="str">
        <f>IFERROR(VLOOKUP(发货清单!A43,数据库!A:B,2,0),"")</f>
        <v/>
      </c>
      <c r="H43">
        <f>发货清单!N43</f>
        <v>0</v>
      </c>
      <c r="I43" t="str">
        <f t="shared" si="0"/>
        <v/>
      </c>
      <c r="J43" t="str">
        <f t="shared" si="1"/>
        <v xml:space="preserve"> </v>
      </c>
      <c r="K43" t="str">
        <f t="shared" si="2"/>
        <v/>
      </c>
      <c r="L43" t="str">
        <f t="shared" si="3"/>
        <v/>
      </c>
      <c r="N43" s="245">
        <f t="shared" si="4"/>
        <v>0</v>
      </c>
      <c r="O43" s="245">
        <f t="shared" si="5"/>
        <v>0</v>
      </c>
      <c r="P43" t="str">
        <f t="shared" si="6"/>
        <v/>
      </c>
      <c r="Q43" t="str">
        <f>IFERROR(VLOOKUP(P43,数据库!C:M,11,0),"")</f>
        <v/>
      </c>
      <c r="R43" t="str">
        <f t="shared" si="7"/>
        <v/>
      </c>
      <c r="S43">
        <f t="shared" si="8"/>
        <v>0</v>
      </c>
    </row>
    <row r="44" spans="1:19">
      <c r="A44" t="str">
        <f>IF(B44=0,"",发货清单!A44*10^6+COUNTIF($D$2:D44,D44)*10^3+ROW(A43))</f>
        <v/>
      </c>
      <c r="B44">
        <f>IFERROR(LEFT(发货清单!H44,SEARCH("-",发货清单!H44)-1),发货清单!H44)</f>
        <v>0</v>
      </c>
      <c r="C44" t="str">
        <f>IFERROR(VLOOKUP(发货清单!A44,数据库!A:D,4,0),"")</f>
        <v/>
      </c>
      <c r="D44" t="str">
        <f>IFERROR(VLOOKUP(发货清单!A44,数据库!A:C,3,0),"")</f>
        <v/>
      </c>
      <c r="E44">
        <f>发货清单!M44</f>
        <v>0</v>
      </c>
      <c r="F44">
        <f>发货清单!U44</f>
        <v>0</v>
      </c>
      <c r="G44" t="str">
        <f>IFERROR(VLOOKUP(发货清单!A44,数据库!A:B,2,0),"")</f>
        <v/>
      </c>
      <c r="H44">
        <f>发货清单!N44</f>
        <v>0</v>
      </c>
      <c r="I44" t="str">
        <f t="shared" si="0"/>
        <v/>
      </c>
      <c r="J44" t="str">
        <f t="shared" si="1"/>
        <v xml:space="preserve"> </v>
      </c>
      <c r="K44" t="str">
        <f t="shared" si="2"/>
        <v/>
      </c>
      <c r="L44" t="str">
        <f t="shared" si="3"/>
        <v/>
      </c>
      <c r="N44" s="245">
        <f t="shared" si="4"/>
        <v>0</v>
      </c>
      <c r="O44" s="245">
        <f t="shared" si="5"/>
        <v>0</v>
      </c>
      <c r="P44" t="str">
        <f t="shared" si="6"/>
        <v/>
      </c>
      <c r="Q44" t="str">
        <f>IFERROR(VLOOKUP(P44,数据库!C:M,11,0),"")</f>
        <v/>
      </c>
      <c r="R44" t="str">
        <f t="shared" si="7"/>
        <v/>
      </c>
      <c r="S44">
        <f t="shared" si="8"/>
        <v>0</v>
      </c>
    </row>
    <row r="45" spans="1:19">
      <c r="A45" t="str">
        <f>IF(B45=0,"",发货清单!A45*10^6+COUNTIF($D$2:D45,D45)*10^3+ROW(A44))</f>
        <v/>
      </c>
      <c r="B45">
        <f>IFERROR(LEFT(发货清单!H45,SEARCH("-",发货清单!H45)-1),发货清单!H45)</f>
        <v>0</v>
      </c>
      <c r="C45" t="str">
        <f>IFERROR(VLOOKUP(发货清单!A45,数据库!A:D,4,0),"")</f>
        <v/>
      </c>
      <c r="D45" t="str">
        <f>IFERROR(VLOOKUP(发货清单!A45,数据库!A:C,3,0),"")</f>
        <v/>
      </c>
      <c r="E45">
        <f>发货清单!M45</f>
        <v>0</v>
      </c>
      <c r="F45">
        <f>发货清单!U45</f>
        <v>0</v>
      </c>
      <c r="G45" t="str">
        <f>IFERROR(VLOOKUP(发货清单!A45,数据库!A:B,2,0),"")</f>
        <v/>
      </c>
      <c r="H45">
        <f>发货清单!N45</f>
        <v>0</v>
      </c>
      <c r="I45" t="str">
        <f t="shared" si="0"/>
        <v/>
      </c>
      <c r="J45" t="str">
        <f t="shared" si="1"/>
        <v xml:space="preserve"> </v>
      </c>
      <c r="K45" t="str">
        <f t="shared" si="2"/>
        <v/>
      </c>
      <c r="L45" t="str">
        <f t="shared" si="3"/>
        <v/>
      </c>
      <c r="N45" s="245">
        <f t="shared" si="4"/>
        <v>0</v>
      </c>
      <c r="O45" s="245">
        <f t="shared" si="5"/>
        <v>0</v>
      </c>
      <c r="P45" t="str">
        <f t="shared" si="6"/>
        <v/>
      </c>
      <c r="Q45" t="str">
        <f>IFERROR(VLOOKUP(P45,数据库!C:M,11,0),"")</f>
        <v/>
      </c>
      <c r="R45" t="str">
        <f t="shared" si="7"/>
        <v/>
      </c>
      <c r="S45">
        <f t="shared" si="8"/>
        <v>0</v>
      </c>
    </row>
    <row r="46" spans="1:19">
      <c r="A46" t="str">
        <f>IF(B46=0,"",发货清单!A46*10^6+COUNTIF($D$2:D46,D46)*10^3+ROW(A45))</f>
        <v/>
      </c>
      <c r="B46">
        <f>IFERROR(LEFT(发货清单!H46,SEARCH("-",发货清单!H46)-1),发货清单!H46)</f>
        <v>0</v>
      </c>
      <c r="C46" t="str">
        <f>IFERROR(VLOOKUP(发货清单!A46,数据库!A:D,4,0),"")</f>
        <v/>
      </c>
      <c r="D46" t="str">
        <f>IFERROR(VLOOKUP(发货清单!A46,数据库!A:C,3,0),"")</f>
        <v/>
      </c>
      <c r="E46">
        <f>发货清单!M46</f>
        <v>0</v>
      </c>
      <c r="F46">
        <f>发货清单!U46</f>
        <v>0</v>
      </c>
      <c r="G46" t="str">
        <f>IFERROR(VLOOKUP(发货清单!A46,数据库!A:B,2,0),"")</f>
        <v/>
      </c>
      <c r="H46">
        <f>发货清单!N46</f>
        <v>0</v>
      </c>
      <c r="I46" t="str">
        <f t="shared" si="0"/>
        <v/>
      </c>
      <c r="J46" t="str">
        <f t="shared" si="1"/>
        <v xml:space="preserve"> </v>
      </c>
      <c r="K46" t="str">
        <f t="shared" si="2"/>
        <v/>
      </c>
      <c r="L46" t="str">
        <f t="shared" si="3"/>
        <v/>
      </c>
      <c r="N46" s="245">
        <f t="shared" si="4"/>
        <v>0</v>
      </c>
      <c r="O46" s="245">
        <f t="shared" si="5"/>
        <v>0</v>
      </c>
      <c r="P46" t="str">
        <f t="shared" si="6"/>
        <v/>
      </c>
      <c r="Q46" t="str">
        <f>IFERROR(VLOOKUP(P46,数据库!C:M,11,0),"")</f>
        <v/>
      </c>
      <c r="R46" t="str">
        <f t="shared" si="7"/>
        <v/>
      </c>
      <c r="S46">
        <f t="shared" si="8"/>
        <v>0</v>
      </c>
    </row>
    <row r="47" spans="1:19">
      <c r="A47" t="str">
        <f>IF(B47=0,"",发货清单!A47*10^6+COUNTIF($D$2:D47,D47)*10^3+ROW(A46))</f>
        <v/>
      </c>
      <c r="B47">
        <f>IFERROR(LEFT(发货清单!H47,SEARCH("-",发货清单!H47)-1),发货清单!H47)</f>
        <v>0</v>
      </c>
      <c r="C47" t="str">
        <f>IFERROR(VLOOKUP(发货清单!A47,数据库!A:D,4,0),"")</f>
        <v/>
      </c>
      <c r="D47" t="str">
        <f>IFERROR(VLOOKUP(发货清单!A47,数据库!A:C,3,0),"")</f>
        <v/>
      </c>
      <c r="E47">
        <f>发货清单!M47</f>
        <v>0</v>
      </c>
      <c r="F47">
        <f>发货清单!U47</f>
        <v>0</v>
      </c>
      <c r="G47" t="str">
        <f>IFERROR(VLOOKUP(发货清单!A47,数据库!A:B,2,0),"")</f>
        <v/>
      </c>
      <c r="H47">
        <f>发货清单!N47</f>
        <v>0</v>
      </c>
      <c r="I47" t="str">
        <f t="shared" si="0"/>
        <v/>
      </c>
      <c r="J47" t="str">
        <f t="shared" si="1"/>
        <v xml:space="preserve"> </v>
      </c>
      <c r="K47" t="str">
        <f t="shared" si="2"/>
        <v/>
      </c>
      <c r="L47" t="str">
        <f t="shared" si="3"/>
        <v/>
      </c>
      <c r="N47" s="245">
        <f t="shared" si="4"/>
        <v>0</v>
      </c>
      <c r="O47" s="245">
        <f t="shared" si="5"/>
        <v>0</v>
      </c>
      <c r="P47" t="str">
        <f t="shared" si="6"/>
        <v/>
      </c>
      <c r="Q47" t="str">
        <f>IFERROR(VLOOKUP(P47,数据库!C:M,11,0),"")</f>
        <v/>
      </c>
      <c r="R47" t="str">
        <f t="shared" si="7"/>
        <v/>
      </c>
      <c r="S47">
        <f t="shared" si="8"/>
        <v>0</v>
      </c>
    </row>
    <row r="48" spans="1:19">
      <c r="A48" t="str">
        <f>IF(B48=0,"",发货清单!A48*10^6+COUNTIF($D$2:D48,D48)*10^3+ROW(A47))</f>
        <v/>
      </c>
      <c r="B48">
        <f>IFERROR(LEFT(发货清单!H48,SEARCH("-",发货清单!H48)-1),发货清单!H48)</f>
        <v>0</v>
      </c>
      <c r="C48" t="str">
        <f>IFERROR(VLOOKUP(发货清单!A48,数据库!A:D,4,0),"")</f>
        <v/>
      </c>
      <c r="D48" t="str">
        <f>IFERROR(VLOOKUP(发货清单!A48,数据库!A:C,3,0),"")</f>
        <v/>
      </c>
      <c r="E48">
        <f>发货清单!M48</f>
        <v>0</v>
      </c>
      <c r="F48">
        <f>发货清单!U48</f>
        <v>0</v>
      </c>
      <c r="G48" t="str">
        <f>IFERROR(VLOOKUP(发货清单!A48,数据库!A:B,2,0),"")</f>
        <v/>
      </c>
      <c r="H48">
        <f>发货清单!N48</f>
        <v>0</v>
      </c>
      <c r="I48" t="str">
        <f t="shared" si="0"/>
        <v/>
      </c>
      <c r="J48" t="str">
        <f t="shared" si="1"/>
        <v xml:space="preserve"> </v>
      </c>
      <c r="K48" t="str">
        <f t="shared" si="2"/>
        <v/>
      </c>
      <c r="L48" t="str">
        <f t="shared" si="3"/>
        <v/>
      </c>
      <c r="N48" s="245">
        <f t="shared" si="4"/>
        <v>0</v>
      </c>
      <c r="O48" s="245">
        <f t="shared" si="5"/>
        <v>0</v>
      </c>
      <c r="P48" t="str">
        <f t="shared" si="6"/>
        <v/>
      </c>
      <c r="Q48" t="str">
        <f>IFERROR(VLOOKUP(P48,数据库!C:M,11,0),"")</f>
        <v/>
      </c>
      <c r="R48" t="str">
        <f t="shared" si="7"/>
        <v/>
      </c>
      <c r="S48">
        <f t="shared" si="8"/>
        <v>0</v>
      </c>
    </row>
    <row r="49" spans="1:19">
      <c r="A49" t="str">
        <f>IF(B49=0,"",发货清单!A49*10^6+COUNTIF($D$2:D49,D49)*10^3+ROW(A48))</f>
        <v/>
      </c>
      <c r="B49">
        <f>IFERROR(LEFT(发货清单!H49,SEARCH("-",发货清单!H49)-1),发货清单!H49)</f>
        <v>0</v>
      </c>
      <c r="C49" t="str">
        <f>IFERROR(VLOOKUP(发货清单!A49,数据库!A:D,4,0),"")</f>
        <v/>
      </c>
      <c r="D49" t="str">
        <f>IFERROR(VLOOKUP(发货清单!A49,数据库!A:C,3,0),"")</f>
        <v/>
      </c>
      <c r="E49">
        <f>发货清单!M49</f>
        <v>0</v>
      </c>
      <c r="F49">
        <f>发货清单!U49</f>
        <v>0</v>
      </c>
      <c r="G49" t="str">
        <f>IFERROR(VLOOKUP(发货清单!A49,数据库!A:B,2,0),"")</f>
        <v/>
      </c>
      <c r="H49">
        <f>发货清单!N49</f>
        <v>0</v>
      </c>
      <c r="I49" t="str">
        <f t="shared" si="0"/>
        <v/>
      </c>
      <c r="J49" t="str">
        <f t="shared" si="1"/>
        <v xml:space="preserve"> </v>
      </c>
      <c r="K49" t="str">
        <f t="shared" si="2"/>
        <v/>
      </c>
      <c r="L49" t="str">
        <f t="shared" si="3"/>
        <v/>
      </c>
      <c r="N49" s="245">
        <f t="shared" si="4"/>
        <v>0</v>
      </c>
      <c r="O49" s="245">
        <f t="shared" si="5"/>
        <v>0</v>
      </c>
      <c r="P49" t="str">
        <f t="shared" si="6"/>
        <v/>
      </c>
      <c r="Q49" t="str">
        <f>IFERROR(VLOOKUP(P49,数据库!C:M,11,0),"")</f>
        <v/>
      </c>
      <c r="R49" t="str">
        <f t="shared" si="7"/>
        <v/>
      </c>
      <c r="S49">
        <f t="shared" si="8"/>
        <v>0</v>
      </c>
    </row>
    <row r="50" spans="1:19">
      <c r="A50" t="str">
        <f>IF(B50=0,"",发货清单!A50*10^6+COUNTIF($D$2:D50,D50)*10^3+ROW(A49))</f>
        <v/>
      </c>
      <c r="B50">
        <f>IFERROR(LEFT(发货清单!H50,SEARCH("-",发货清单!H50)-1),发货清单!H50)</f>
        <v>0</v>
      </c>
      <c r="C50" t="str">
        <f>IFERROR(VLOOKUP(发货清单!A50,数据库!A:D,4,0),"")</f>
        <v/>
      </c>
      <c r="D50" t="str">
        <f>IFERROR(VLOOKUP(发货清单!A50,数据库!A:C,3,0),"")</f>
        <v/>
      </c>
      <c r="E50">
        <f>发货清单!M50</f>
        <v>0</v>
      </c>
      <c r="F50">
        <f>发货清单!U50</f>
        <v>0</v>
      </c>
      <c r="G50" t="str">
        <f>IFERROR(VLOOKUP(发货清单!A50,数据库!A:B,2,0),"")</f>
        <v/>
      </c>
      <c r="H50">
        <f>发货清单!N50</f>
        <v>0</v>
      </c>
      <c r="I50" t="str">
        <f t="shared" si="0"/>
        <v/>
      </c>
      <c r="J50" t="str">
        <f t="shared" si="1"/>
        <v xml:space="preserve"> </v>
      </c>
      <c r="K50" t="str">
        <f t="shared" si="2"/>
        <v/>
      </c>
      <c r="L50" t="str">
        <f t="shared" si="3"/>
        <v/>
      </c>
      <c r="N50" s="245">
        <f t="shared" si="4"/>
        <v>0</v>
      </c>
      <c r="O50" s="245">
        <f t="shared" si="5"/>
        <v>0</v>
      </c>
      <c r="P50" t="str">
        <f t="shared" si="6"/>
        <v/>
      </c>
      <c r="Q50" t="str">
        <f>IFERROR(VLOOKUP(P50,数据库!C:M,11,0),"")</f>
        <v/>
      </c>
      <c r="R50" t="str">
        <f t="shared" si="7"/>
        <v/>
      </c>
      <c r="S50">
        <f t="shared" si="8"/>
        <v>0</v>
      </c>
    </row>
    <row r="51" spans="1:19">
      <c r="A51" t="str">
        <f>IF(B51=0,"",发货清单!A51*10^6+COUNTIF($D$2:D51,D51)*10^3+ROW(A50))</f>
        <v/>
      </c>
      <c r="B51">
        <f>IFERROR(LEFT(发货清单!H51,SEARCH("-",发货清单!H51)-1),发货清单!H51)</f>
        <v>0</v>
      </c>
      <c r="C51" t="str">
        <f>IFERROR(VLOOKUP(发货清单!A51,数据库!A:D,4,0),"")</f>
        <v/>
      </c>
      <c r="D51" t="str">
        <f>IFERROR(VLOOKUP(发货清单!A51,数据库!A:C,3,0),"")</f>
        <v/>
      </c>
      <c r="E51">
        <f>发货清单!M51</f>
        <v>0</v>
      </c>
      <c r="F51">
        <f>发货清单!U51</f>
        <v>0</v>
      </c>
      <c r="G51" t="str">
        <f>IFERROR(VLOOKUP(发货清单!A51,数据库!A:B,2,0),"")</f>
        <v/>
      </c>
      <c r="H51">
        <f>发货清单!N51</f>
        <v>0</v>
      </c>
      <c r="I51" t="str">
        <f t="shared" si="0"/>
        <v/>
      </c>
      <c r="J51" t="str">
        <f t="shared" si="1"/>
        <v xml:space="preserve"> </v>
      </c>
      <c r="K51" t="str">
        <f t="shared" si="2"/>
        <v/>
      </c>
      <c r="L51" t="str">
        <f t="shared" si="3"/>
        <v/>
      </c>
      <c r="N51" s="245">
        <f t="shared" si="4"/>
        <v>0</v>
      </c>
      <c r="O51" s="245">
        <f t="shared" si="5"/>
        <v>0</v>
      </c>
      <c r="P51" t="str">
        <f t="shared" si="6"/>
        <v/>
      </c>
      <c r="Q51" t="str">
        <f>IFERROR(VLOOKUP(P51,数据库!C:M,11,0),"")</f>
        <v/>
      </c>
      <c r="R51" t="str">
        <f t="shared" si="7"/>
        <v/>
      </c>
      <c r="S51">
        <f t="shared" si="8"/>
        <v>0</v>
      </c>
    </row>
    <row r="52" spans="1:19">
      <c r="A52" t="str">
        <f>IF(B52=0,"",发货清单!A52*10^6+COUNTIF($D$2:D52,D52)*10^3+ROW(A51))</f>
        <v/>
      </c>
      <c r="B52">
        <f>IFERROR(LEFT(发货清单!H52,SEARCH("-",发货清单!H52)-1),发货清单!H52)</f>
        <v>0</v>
      </c>
      <c r="C52" t="str">
        <f>IFERROR(VLOOKUP(发货清单!A52,数据库!A:D,4,0),"")</f>
        <v/>
      </c>
      <c r="D52" t="str">
        <f>IFERROR(VLOOKUP(发货清单!A52,数据库!A:C,3,0),"")</f>
        <v/>
      </c>
      <c r="E52">
        <f>发货清单!M52</f>
        <v>0</v>
      </c>
      <c r="F52">
        <f>发货清单!U52</f>
        <v>0</v>
      </c>
      <c r="G52" t="str">
        <f>IFERROR(VLOOKUP(发货清单!A52,数据库!A:B,2,0),"")</f>
        <v/>
      </c>
      <c r="H52">
        <f>发货清单!N52</f>
        <v>0</v>
      </c>
      <c r="I52" t="str">
        <f t="shared" si="0"/>
        <v/>
      </c>
      <c r="J52" t="str">
        <f t="shared" si="1"/>
        <v xml:space="preserve"> </v>
      </c>
      <c r="K52" t="str">
        <f t="shared" si="2"/>
        <v/>
      </c>
      <c r="L52" t="str">
        <f t="shared" si="3"/>
        <v/>
      </c>
      <c r="N52" s="245">
        <f t="shared" si="4"/>
        <v>0</v>
      </c>
      <c r="O52" s="245">
        <f t="shared" si="5"/>
        <v>0</v>
      </c>
      <c r="P52" t="str">
        <f t="shared" si="6"/>
        <v/>
      </c>
      <c r="Q52" t="str">
        <f>IFERROR(VLOOKUP(P52,数据库!C:M,11,0),"")</f>
        <v/>
      </c>
      <c r="R52" t="str">
        <f t="shared" si="7"/>
        <v/>
      </c>
      <c r="S52">
        <f t="shared" si="8"/>
        <v>0</v>
      </c>
    </row>
    <row r="53" spans="1:19">
      <c r="A53" t="str">
        <f>IF(B53=0,"",发货清单!A53*10^6+COUNTIF($D$2:D53,D53)*10^3+ROW(A52))</f>
        <v/>
      </c>
      <c r="B53">
        <f>IFERROR(LEFT(发货清单!H53,SEARCH("-",发货清单!H53)-1),发货清单!H53)</f>
        <v>0</v>
      </c>
      <c r="C53" t="str">
        <f>IFERROR(VLOOKUP(发货清单!A53,数据库!A:D,4,0),"")</f>
        <v/>
      </c>
      <c r="D53" t="str">
        <f>IFERROR(VLOOKUP(发货清单!A53,数据库!A:C,3,0),"")</f>
        <v/>
      </c>
      <c r="E53">
        <f>发货清单!M53</f>
        <v>0</v>
      </c>
      <c r="F53">
        <f>发货清单!U53</f>
        <v>0</v>
      </c>
      <c r="G53" t="str">
        <f>IFERROR(VLOOKUP(发货清单!A53,数据库!A:B,2,0),"")</f>
        <v/>
      </c>
      <c r="H53">
        <f>发货清单!N53</f>
        <v>0</v>
      </c>
      <c r="I53" t="str">
        <f t="shared" si="0"/>
        <v/>
      </c>
      <c r="J53" t="str">
        <f t="shared" si="1"/>
        <v xml:space="preserve"> </v>
      </c>
      <c r="K53" t="str">
        <f t="shared" si="2"/>
        <v/>
      </c>
      <c r="L53" t="str">
        <f t="shared" si="3"/>
        <v/>
      </c>
      <c r="N53" s="245">
        <f t="shared" si="4"/>
        <v>0</v>
      </c>
      <c r="O53" s="245">
        <f t="shared" si="5"/>
        <v>0</v>
      </c>
      <c r="P53" t="str">
        <f t="shared" si="6"/>
        <v/>
      </c>
      <c r="Q53" t="str">
        <f>IFERROR(VLOOKUP(P53,数据库!C:M,11,0),"")</f>
        <v/>
      </c>
      <c r="R53" t="str">
        <f t="shared" si="7"/>
        <v/>
      </c>
      <c r="S53">
        <f t="shared" si="8"/>
        <v>0</v>
      </c>
    </row>
    <row r="54" spans="1:19">
      <c r="A54" t="str">
        <f>IF(B54=0,"",发货清单!A54*10^6+COUNTIF($D$2:D54,D54)*10^3+ROW(A53))</f>
        <v/>
      </c>
      <c r="B54">
        <f>IFERROR(LEFT(发货清单!H54,SEARCH("-",发货清单!H54)-1),发货清单!H54)</f>
        <v>0</v>
      </c>
      <c r="C54" t="str">
        <f>IFERROR(VLOOKUP(发货清单!A54,数据库!A:D,4,0),"")</f>
        <v/>
      </c>
      <c r="D54" t="str">
        <f>IFERROR(VLOOKUP(发货清单!A54,数据库!A:C,3,0),"")</f>
        <v/>
      </c>
      <c r="E54">
        <f>发货清单!M54</f>
        <v>0</v>
      </c>
      <c r="F54">
        <f>发货清单!U54</f>
        <v>0</v>
      </c>
      <c r="G54" t="str">
        <f>IFERROR(VLOOKUP(发货清单!A54,数据库!A:B,2,0),"")</f>
        <v/>
      </c>
      <c r="H54">
        <f>发货清单!N54</f>
        <v>0</v>
      </c>
      <c r="I54" t="str">
        <f t="shared" si="0"/>
        <v/>
      </c>
      <c r="J54" t="str">
        <f t="shared" si="1"/>
        <v xml:space="preserve"> </v>
      </c>
      <c r="K54" t="str">
        <f t="shared" si="2"/>
        <v/>
      </c>
      <c r="L54" t="str">
        <f t="shared" si="3"/>
        <v/>
      </c>
      <c r="N54" s="245">
        <f t="shared" si="4"/>
        <v>0</v>
      </c>
      <c r="O54" s="245">
        <f t="shared" si="5"/>
        <v>0</v>
      </c>
      <c r="P54" t="str">
        <f t="shared" si="6"/>
        <v/>
      </c>
      <c r="Q54" t="str">
        <f>IFERROR(VLOOKUP(P54,数据库!C:M,11,0),"")</f>
        <v/>
      </c>
      <c r="R54" t="str">
        <f t="shared" si="7"/>
        <v/>
      </c>
      <c r="S54">
        <f t="shared" si="8"/>
        <v>0</v>
      </c>
    </row>
    <row r="55" spans="1:19">
      <c r="A55" t="str">
        <f>IF(B55=0,"",发货清单!A55*10^6+COUNTIF($D$2:D55,D55)*10^3+ROW(A54))</f>
        <v/>
      </c>
      <c r="B55">
        <f>IFERROR(LEFT(发货清单!H55,SEARCH("-",发货清单!H55)-1),发货清单!H55)</f>
        <v>0</v>
      </c>
      <c r="C55" t="str">
        <f>IFERROR(VLOOKUP(发货清单!A55,数据库!A:D,4,0),"")</f>
        <v/>
      </c>
      <c r="D55" t="str">
        <f>IFERROR(VLOOKUP(发货清单!A55,数据库!A:C,3,0),"")</f>
        <v/>
      </c>
      <c r="E55">
        <f>发货清单!M55</f>
        <v>0</v>
      </c>
      <c r="F55">
        <f>发货清单!U55</f>
        <v>0</v>
      </c>
      <c r="G55" t="str">
        <f>IFERROR(VLOOKUP(发货清单!A55,数据库!A:B,2,0),"")</f>
        <v/>
      </c>
      <c r="H55">
        <f>发货清单!N55</f>
        <v>0</v>
      </c>
      <c r="I55" t="str">
        <f t="shared" si="0"/>
        <v/>
      </c>
      <c r="J55" t="str">
        <f t="shared" si="1"/>
        <v xml:space="preserve"> </v>
      </c>
      <c r="K55" t="str">
        <f t="shared" si="2"/>
        <v/>
      </c>
      <c r="L55" t="str">
        <f t="shared" si="3"/>
        <v/>
      </c>
      <c r="N55" s="245">
        <f t="shared" si="4"/>
        <v>0</v>
      </c>
      <c r="O55" s="245">
        <f t="shared" si="5"/>
        <v>0</v>
      </c>
      <c r="P55" t="str">
        <f t="shared" si="6"/>
        <v/>
      </c>
      <c r="Q55" t="str">
        <f>IFERROR(VLOOKUP(P55,数据库!C:M,11,0),"")</f>
        <v/>
      </c>
      <c r="R55" t="str">
        <f t="shared" si="7"/>
        <v/>
      </c>
      <c r="S55">
        <f t="shared" si="8"/>
        <v>0</v>
      </c>
    </row>
    <row r="56" spans="1:19">
      <c r="A56" t="str">
        <f>IF(B56=0,"",发货清单!A56*10^6+COUNTIF($D$2:D56,D56)*10^3+ROW(A55))</f>
        <v/>
      </c>
      <c r="B56">
        <f>IFERROR(LEFT(发货清单!H56,SEARCH("-",发货清单!H56)-1),发货清单!H56)</f>
        <v>0</v>
      </c>
      <c r="C56" t="str">
        <f>IFERROR(VLOOKUP(发货清单!A56,数据库!A:D,4,0),"")</f>
        <v/>
      </c>
      <c r="D56" t="str">
        <f>IFERROR(VLOOKUP(发货清单!A56,数据库!A:C,3,0),"")</f>
        <v/>
      </c>
      <c r="E56">
        <f>发货清单!M56</f>
        <v>0</v>
      </c>
      <c r="F56">
        <f>发货清单!U56</f>
        <v>0</v>
      </c>
      <c r="G56" t="str">
        <f>IFERROR(VLOOKUP(发货清单!A56,数据库!A:B,2,0),"")</f>
        <v/>
      </c>
      <c r="H56">
        <f>发货清单!N56</f>
        <v>0</v>
      </c>
      <c r="I56" t="str">
        <f t="shared" si="0"/>
        <v/>
      </c>
      <c r="J56" t="str">
        <f t="shared" si="1"/>
        <v xml:space="preserve"> </v>
      </c>
      <c r="K56" t="str">
        <f t="shared" si="2"/>
        <v/>
      </c>
      <c r="L56" t="str">
        <f t="shared" si="3"/>
        <v/>
      </c>
      <c r="N56" s="245">
        <f t="shared" si="4"/>
        <v>0</v>
      </c>
      <c r="O56" s="245">
        <f t="shared" si="5"/>
        <v>0</v>
      </c>
      <c r="P56" t="str">
        <f t="shared" si="6"/>
        <v/>
      </c>
      <c r="Q56" t="str">
        <f>IFERROR(VLOOKUP(P56,数据库!C:M,11,0),"")</f>
        <v/>
      </c>
      <c r="R56" t="str">
        <f t="shared" si="7"/>
        <v/>
      </c>
      <c r="S56">
        <f t="shared" si="8"/>
        <v>0</v>
      </c>
    </row>
    <row r="57" spans="1:19">
      <c r="A57" t="str">
        <f>IF(B57=0,"",发货清单!A57*10^6+COUNTIF($D$2:D57,D57)*10^3+ROW(A56))</f>
        <v/>
      </c>
      <c r="B57">
        <f>IFERROR(LEFT(发货清单!H57,SEARCH("-",发货清单!H57)-1),发货清单!H57)</f>
        <v>0</v>
      </c>
      <c r="C57" t="str">
        <f>IFERROR(VLOOKUP(发货清单!A57,数据库!A:D,4,0),"")</f>
        <v/>
      </c>
      <c r="D57" t="str">
        <f>IFERROR(VLOOKUP(发货清单!A57,数据库!A:C,3,0),"")</f>
        <v/>
      </c>
      <c r="E57">
        <f>发货清单!M57</f>
        <v>0</v>
      </c>
      <c r="F57">
        <f>发货清单!U57</f>
        <v>0</v>
      </c>
      <c r="G57" t="str">
        <f>IFERROR(VLOOKUP(发货清单!A57,数据库!A:B,2,0),"")</f>
        <v/>
      </c>
      <c r="H57">
        <f>发货清单!N57</f>
        <v>0</v>
      </c>
      <c r="I57" t="str">
        <f t="shared" si="0"/>
        <v/>
      </c>
      <c r="J57" t="str">
        <f t="shared" si="1"/>
        <v xml:space="preserve"> </v>
      </c>
      <c r="K57" t="str">
        <f t="shared" si="2"/>
        <v/>
      </c>
      <c r="L57" t="str">
        <f t="shared" si="3"/>
        <v/>
      </c>
      <c r="N57" s="245">
        <f t="shared" si="4"/>
        <v>0</v>
      </c>
      <c r="O57" s="245">
        <f t="shared" si="5"/>
        <v>0</v>
      </c>
      <c r="P57" t="str">
        <f t="shared" si="6"/>
        <v/>
      </c>
      <c r="Q57" t="str">
        <f>IFERROR(VLOOKUP(P57,数据库!C:M,11,0),"")</f>
        <v/>
      </c>
      <c r="R57" t="str">
        <f t="shared" si="7"/>
        <v/>
      </c>
      <c r="S57">
        <f t="shared" si="8"/>
        <v>0</v>
      </c>
    </row>
    <row r="58" spans="1:19">
      <c r="A58" t="str">
        <f>IF(B58=0,"",发货清单!A58*10^6+COUNTIF($D$2:D58,D58)*10^3+ROW(A57))</f>
        <v/>
      </c>
      <c r="B58">
        <f>IFERROR(LEFT(发货清单!H58,SEARCH("-",发货清单!H58)-1),发货清单!H58)</f>
        <v>0</v>
      </c>
      <c r="C58" t="str">
        <f>IFERROR(VLOOKUP(发货清单!A58,数据库!A:D,4,0),"")</f>
        <v/>
      </c>
      <c r="D58" t="str">
        <f>IFERROR(VLOOKUP(发货清单!A58,数据库!A:C,3,0),"")</f>
        <v/>
      </c>
      <c r="E58">
        <f>发货清单!M58</f>
        <v>0</v>
      </c>
      <c r="F58">
        <f>发货清单!U58</f>
        <v>0</v>
      </c>
      <c r="G58" t="str">
        <f>IFERROR(VLOOKUP(发货清单!A58,数据库!A:B,2,0),"")</f>
        <v/>
      </c>
      <c r="H58">
        <f>发货清单!N58</f>
        <v>0</v>
      </c>
      <c r="I58" t="str">
        <f t="shared" si="0"/>
        <v/>
      </c>
      <c r="J58" t="str">
        <f t="shared" si="1"/>
        <v xml:space="preserve"> </v>
      </c>
      <c r="K58" t="str">
        <f t="shared" si="2"/>
        <v/>
      </c>
      <c r="L58" t="str">
        <f t="shared" si="3"/>
        <v/>
      </c>
      <c r="N58" s="245">
        <f t="shared" si="4"/>
        <v>0</v>
      </c>
      <c r="O58" s="245">
        <f t="shared" si="5"/>
        <v>0</v>
      </c>
      <c r="P58" t="str">
        <f t="shared" si="6"/>
        <v/>
      </c>
      <c r="Q58" t="str">
        <f>IFERROR(VLOOKUP(P58,数据库!C:M,11,0),"")</f>
        <v/>
      </c>
      <c r="R58" t="str">
        <f t="shared" si="7"/>
        <v/>
      </c>
      <c r="S58">
        <f t="shared" si="8"/>
        <v>0</v>
      </c>
    </row>
    <row r="59" spans="1:19">
      <c r="A59" t="str">
        <f>IF(B59=0,"",发货清单!A59*10^6+COUNTIF($D$2:D59,D59)*10^3+ROW(A58))</f>
        <v/>
      </c>
      <c r="B59">
        <f>IFERROR(LEFT(发货清单!H59,SEARCH("-",发货清单!H59)-1),发货清单!H59)</f>
        <v>0</v>
      </c>
      <c r="C59" t="str">
        <f>IFERROR(VLOOKUP(发货清单!A59,数据库!A:D,4,0),"")</f>
        <v/>
      </c>
      <c r="D59" t="str">
        <f>IFERROR(VLOOKUP(发货清单!A59,数据库!A:C,3,0),"")</f>
        <v/>
      </c>
      <c r="E59">
        <f>发货清单!M59</f>
        <v>0</v>
      </c>
      <c r="F59">
        <f>发货清单!U59</f>
        <v>0</v>
      </c>
      <c r="G59" t="str">
        <f>IFERROR(VLOOKUP(发货清单!A59,数据库!A:B,2,0),"")</f>
        <v/>
      </c>
      <c r="H59">
        <f>发货清单!N59</f>
        <v>0</v>
      </c>
      <c r="I59" t="str">
        <f t="shared" si="0"/>
        <v/>
      </c>
      <c r="J59" t="str">
        <f t="shared" si="1"/>
        <v xml:space="preserve"> </v>
      </c>
      <c r="K59" t="str">
        <f t="shared" si="2"/>
        <v/>
      </c>
      <c r="L59" t="str">
        <f t="shared" si="3"/>
        <v/>
      </c>
      <c r="N59" s="245">
        <f t="shared" si="4"/>
        <v>0</v>
      </c>
      <c r="O59" s="245">
        <f t="shared" si="5"/>
        <v>0</v>
      </c>
      <c r="P59" t="str">
        <f t="shared" si="6"/>
        <v/>
      </c>
      <c r="Q59" t="str">
        <f>IFERROR(VLOOKUP(P59,数据库!C:M,11,0),"")</f>
        <v/>
      </c>
      <c r="R59" t="str">
        <f t="shared" si="7"/>
        <v/>
      </c>
      <c r="S59">
        <f t="shared" si="8"/>
        <v>0</v>
      </c>
    </row>
    <row r="60" spans="1:19">
      <c r="A60" t="str">
        <f>IF(B60=0,"",发货清单!A60*10^6+COUNTIF($D$2:D60,D60)*10^3+ROW(A59))</f>
        <v/>
      </c>
      <c r="B60">
        <f>IFERROR(LEFT(发货清单!H60,SEARCH("-",发货清单!H60)-1),发货清单!H60)</f>
        <v>0</v>
      </c>
      <c r="C60" t="str">
        <f>IFERROR(VLOOKUP(发货清单!A60,数据库!A:D,4,0),"")</f>
        <v/>
      </c>
      <c r="D60" t="str">
        <f>IFERROR(VLOOKUP(发货清单!A60,数据库!A:C,3,0),"")</f>
        <v/>
      </c>
      <c r="E60">
        <f>发货清单!M60</f>
        <v>0</v>
      </c>
      <c r="F60">
        <f>发货清单!U60</f>
        <v>0</v>
      </c>
      <c r="G60" t="str">
        <f>IFERROR(VLOOKUP(发货清单!A60,数据库!A:B,2,0),"")</f>
        <v/>
      </c>
      <c r="H60">
        <f>发货清单!N60</f>
        <v>0</v>
      </c>
      <c r="I60" t="str">
        <f t="shared" si="0"/>
        <v/>
      </c>
      <c r="J60" t="str">
        <f t="shared" si="1"/>
        <v xml:space="preserve"> </v>
      </c>
      <c r="K60" t="str">
        <f t="shared" si="2"/>
        <v/>
      </c>
      <c r="L60" t="str">
        <f t="shared" si="3"/>
        <v/>
      </c>
      <c r="N60" s="245">
        <f t="shared" si="4"/>
        <v>0</v>
      </c>
      <c r="O60" s="245">
        <f t="shared" si="5"/>
        <v>0</v>
      </c>
      <c r="P60" t="str">
        <f t="shared" si="6"/>
        <v/>
      </c>
      <c r="Q60" t="str">
        <f>IFERROR(VLOOKUP(P60,数据库!C:M,11,0),"")</f>
        <v/>
      </c>
      <c r="R60" t="str">
        <f t="shared" si="7"/>
        <v/>
      </c>
      <c r="S60">
        <f t="shared" si="8"/>
        <v>0</v>
      </c>
    </row>
    <row r="61" spans="1:19">
      <c r="A61" t="str">
        <f>IF(B61=0,"",发货清单!A61*10^6+COUNTIF($D$2:D61,D61)*10^3+ROW(A60))</f>
        <v/>
      </c>
      <c r="B61">
        <f>IFERROR(LEFT(发货清单!H61,SEARCH("-",发货清单!H61)-1),发货清单!H61)</f>
        <v>0</v>
      </c>
      <c r="C61" t="str">
        <f>IFERROR(VLOOKUP(发货清单!A61,数据库!A:D,4,0),"")</f>
        <v/>
      </c>
      <c r="D61" t="str">
        <f>IFERROR(VLOOKUP(发货清单!A61,数据库!A:C,3,0),"")</f>
        <v/>
      </c>
      <c r="E61">
        <f>发货清单!M61</f>
        <v>0</v>
      </c>
      <c r="F61">
        <f>发货清单!U61</f>
        <v>0</v>
      </c>
      <c r="G61" t="str">
        <f>IFERROR(VLOOKUP(发货清单!A61,数据库!A:B,2,0),"")</f>
        <v/>
      </c>
      <c r="H61">
        <f>发货清单!N61</f>
        <v>0</v>
      </c>
      <c r="I61" t="str">
        <f t="shared" si="0"/>
        <v/>
      </c>
      <c r="J61" t="str">
        <f t="shared" si="1"/>
        <v xml:space="preserve"> </v>
      </c>
      <c r="K61" t="str">
        <f t="shared" si="2"/>
        <v/>
      </c>
      <c r="L61" t="str">
        <f t="shared" si="3"/>
        <v/>
      </c>
      <c r="N61" s="245">
        <f t="shared" si="4"/>
        <v>0</v>
      </c>
      <c r="O61" s="245">
        <f t="shared" si="5"/>
        <v>0</v>
      </c>
      <c r="P61" t="str">
        <f t="shared" si="6"/>
        <v/>
      </c>
      <c r="Q61" t="str">
        <f>IFERROR(VLOOKUP(P61,数据库!C:M,11,0),"")</f>
        <v/>
      </c>
      <c r="R61" t="str">
        <f t="shared" si="7"/>
        <v/>
      </c>
      <c r="S61">
        <f t="shared" si="8"/>
        <v>0</v>
      </c>
    </row>
    <row r="62" spans="1:19">
      <c r="A62" t="str">
        <f>IF(B62=0,"",发货清单!A62*10^6+COUNTIF($D$2:D62,D62)*10^3+ROW(A61))</f>
        <v/>
      </c>
      <c r="B62">
        <f>IFERROR(LEFT(发货清单!H62,SEARCH("-",发货清单!H62)-1),发货清单!H62)</f>
        <v>0</v>
      </c>
      <c r="C62" t="str">
        <f>IFERROR(VLOOKUP(发货清单!A62,数据库!A:D,4,0),"")</f>
        <v/>
      </c>
      <c r="D62" t="str">
        <f>IFERROR(VLOOKUP(发货清单!A62,数据库!A:C,3,0),"")</f>
        <v/>
      </c>
      <c r="E62">
        <f>发货清单!M62</f>
        <v>0</v>
      </c>
      <c r="F62">
        <f>发货清单!U62</f>
        <v>0</v>
      </c>
      <c r="G62" t="str">
        <f>IFERROR(VLOOKUP(发货清单!A62,数据库!A:B,2,0),"")</f>
        <v/>
      </c>
      <c r="H62">
        <f>发货清单!N62</f>
        <v>0</v>
      </c>
      <c r="I62" t="str">
        <f t="shared" si="0"/>
        <v/>
      </c>
      <c r="J62" t="str">
        <f t="shared" si="1"/>
        <v xml:space="preserve"> </v>
      </c>
      <c r="K62" t="str">
        <f t="shared" si="2"/>
        <v/>
      </c>
      <c r="L62" t="str">
        <f t="shared" si="3"/>
        <v/>
      </c>
      <c r="N62" s="245">
        <f t="shared" si="4"/>
        <v>0</v>
      </c>
      <c r="O62" s="245">
        <f t="shared" si="5"/>
        <v>0</v>
      </c>
      <c r="P62" t="str">
        <f t="shared" si="6"/>
        <v/>
      </c>
      <c r="Q62" t="str">
        <f>IFERROR(VLOOKUP(P62,数据库!C:M,11,0),"")</f>
        <v/>
      </c>
      <c r="R62" t="str">
        <f t="shared" si="7"/>
        <v/>
      </c>
      <c r="S62">
        <f t="shared" si="8"/>
        <v>0</v>
      </c>
    </row>
    <row r="63" spans="1:19">
      <c r="A63" t="str">
        <f>IF(B63=0,"",发货清单!A63*10^6+COUNTIF($D$2:D63,D63)*10^3+ROW(A62))</f>
        <v/>
      </c>
      <c r="B63">
        <f>IFERROR(LEFT(发货清单!H63,SEARCH("-",发货清单!H63)-1),发货清单!H63)</f>
        <v>0</v>
      </c>
      <c r="C63" t="str">
        <f>IFERROR(VLOOKUP(发货清单!A63,数据库!A:D,4,0),"")</f>
        <v/>
      </c>
      <c r="D63" t="str">
        <f>IFERROR(VLOOKUP(发货清单!A63,数据库!A:C,3,0),"")</f>
        <v/>
      </c>
      <c r="E63">
        <f>发货清单!M63</f>
        <v>0</v>
      </c>
      <c r="F63">
        <f>发货清单!U63</f>
        <v>0</v>
      </c>
      <c r="G63" t="str">
        <f>IFERROR(VLOOKUP(发货清单!A63,数据库!A:B,2,0),"")</f>
        <v/>
      </c>
      <c r="H63">
        <f>发货清单!N63</f>
        <v>0</v>
      </c>
      <c r="I63" t="str">
        <f t="shared" si="0"/>
        <v/>
      </c>
      <c r="J63" t="str">
        <f t="shared" si="1"/>
        <v xml:space="preserve"> </v>
      </c>
      <c r="K63" t="str">
        <f t="shared" si="2"/>
        <v/>
      </c>
      <c r="L63" t="str">
        <f t="shared" si="3"/>
        <v/>
      </c>
      <c r="N63" s="245">
        <f t="shared" si="4"/>
        <v>0</v>
      </c>
      <c r="O63" s="245">
        <f t="shared" si="5"/>
        <v>0</v>
      </c>
      <c r="P63" t="str">
        <f t="shared" si="6"/>
        <v/>
      </c>
      <c r="Q63" t="str">
        <f>IFERROR(VLOOKUP(P63,数据库!C:M,11,0),"")</f>
        <v/>
      </c>
      <c r="R63" t="str">
        <f t="shared" si="7"/>
        <v/>
      </c>
      <c r="S63">
        <f t="shared" si="8"/>
        <v>0</v>
      </c>
    </row>
    <row r="64" spans="1:19">
      <c r="A64" t="str">
        <f>IF(B64=0,"",发货清单!A64*10^6+COUNTIF($D$2:D64,D64)*10^3+ROW(A63))</f>
        <v/>
      </c>
      <c r="B64">
        <f>IFERROR(LEFT(发货清单!H64,SEARCH("-",发货清单!H64)-1),发货清单!H64)</f>
        <v>0</v>
      </c>
      <c r="C64" t="str">
        <f>IFERROR(VLOOKUP(发货清单!A64,数据库!A:D,4,0),"")</f>
        <v/>
      </c>
      <c r="D64" t="str">
        <f>IFERROR(VLOOKUP(发货清单!A64,数据库!A:C,3,0),"")</f>
        <v/>
      </c>
      <c r="E64">
        <f>发货清单!M64</f>
        <v>0</v>
      </c>
      <c r="F64">
        <f>发货清单!U64</f>
        <v>0</v>
      </c>
      <c r="G64" t="str">
        <f>IFERROR(VLOOKUP(发货清单!A64,数据库!A:B,2,0),"")</f>
        <v/>
      </c>
      <c r="H64">
        <f>发货清单!N64</f>
        <v>0</v>
      </c>
      <c r="I64" t="str">
        <f t="shared" si="0"/>
        <v/>
      </c>
      <c r="J64" t="str">
        <f t="shared" si="1"/>
        <v xml:space="preserve"> </v>
      </c>
      <c r="K64" t="str">
        <f t="shared" si="2"/>
        <v/>
      </c>
      <c r="L64" t="str">
        <f t="shared" si="3"/>
        <v/>
      </c>
      <c r="N64" s="245">
        <f t="shared" si="4"/>
        <v>0</v>
      </c>
      <c r="O64" s="245">
        <f t="shared" si="5"/>
        <v>0</v>
      </c>
      <c r="P64" t="str">
        <f t="shared" si="6"/>
        <v/>
      </c>
      <c r="Q64" t="str">
        <f>IFERROR(VLOOKUP(P64,数据库!C:M,11,0),"")</f>
        <v/>
      </c>
      <c r="R64" t="str">
        <f t="shared" si="7"/>
        <v/>
      </c>
      <c r="S64">
        <f t="shared" si="8"/>
        <v>0</v>
      </c>
    </row>
    <row r="65" spans="1:19">
      <c r="A65" t="str">
        <f>IF(B65=0,"",发货清单!A65*10^6+COUNTIF($D$2:D65,D65)*10^3+ROW(A64))</f>
        <v/>
      </c>
      <c r="B65">
        <f>IFERROR(LEFT(发货清单!H65,SEARCH("-",发货清单!H65)-1),发货清单!H65)</f>
        <v>0</v>
      </c>
      <c r="C65" t="str">
        <f>IFERROR(VLOOKUP(发货清单!A65,数据库!A:D,4,0),"")</f>
        <v/>
      </c>
      <c r="D65" t="str">
        <f>IFERROR(VLOOKUP(发货清单!A65,数据库!A:C,3,0),"")</f>
        <v/>
      </c>
      <c r="E65">
        <f>发货清单!M65</f>
        <v>0</v>
      </c>
      <c r="F65">
        <f>发货清单!U65</f>
        <v>0</v>
      </c>
      <c r="G65" t="str">
        <f>IFERROR(VLOOKUP(发货清单!A65,数据库!A:B,2,0),"")</f>
        <v/>
      </c>
      <c r="H65">
        <f>发货清单!N65</f>
        <v>0</v>
      </c>
      <c r="I65" t="str">
        <f t="shared" si="0"/>
        <v/>
      </c>
      <c r="J65" t="str">
        <f t="shared" si="1"/>
        <v xml:space="preserve"> </v>
      </c>
      <c r="K65" t="str">
        <f t="shared" si="2"/>
        <v/>
      </c>
      <c r="L65" t="str">
        <f t="shared" si="3"/>
        <v/>
      </c>
      <c r="N65" s="245">
        <f t="shared" si="4"/>
        <v>0</v>
      </c>
      <c r="O65" s="245">
        <f t="shared" si="5"/>
        <v>0</v>
      </c>
      <c r="P65" t="str">
        <f t="shared" si="6"/>
        <v/>
      </c>
      <c r="Q65" t="str">
        <f>IFERROR(VLOOKUP(P65,数据库!C:M,11,0),"")</f>
        <v/>
      </c>
      <c r="R65" t="str">
        <f t="shared" si="7"/>
        <v/>
      </c>
      <c r="S65">
        <f t="shared" si="8"/>
        <v>0</v>
      </c>
    </row>
    <row r="66" spans="1:19">
      <c r="A66" t="str">
        <f>IF(B66=0,"",发货清单!A66*10^6+COUNTIF($D$2:D66,D66)*10^3+ROW(A65))</f>
        <v/>
      </c>
      <c r="B66">
        <f>IFERROR(LEFT(发货清单!H66,SEARCH("-",发货清单!H66)-1),发货清单!H66)</f>
        <v>0</v>
      </c>
      <c r="C66" t="str">
        <f>IFERROR(VLOOKUP(发货清单!A66,数据库!A:D,4,0),"")</f>
        <v/>
      </c>
      <c r="D66" t="str">
        <f>IFERROR(VLOOKUP(发货清单!A66,数据库!A:C,3,0),"")</f>
        <v/>
      </c>
      <c r="E66">
        <f>发货清单!M66</f>
        <v>0</v>
      </c>
      <c r="F66">
        <f>发货清单!U66</f>
        <v>0</v>
      </c>
      <c r="G66" t="str">
        <f>IFERROR(VLOOKUP(发货清单!A66,数据库!A:B,2,0),"")</f>
        <v/>
      </c>
      <c r="H66">
        <f>发货清单!N66</f>
        <v>0</v>
      </c>
      <c r="I66" t="str">
        <f t="shared" si="0"/>
        <v/>
      </c>
      <c r="J66" t="str">
        <f t="shared" si="1"/>
        <v xml:space="preserve"> </v>
      </c>
      <c r="K66" t="str">
        <f t="shared" si="2"/>
        <v/>
      </c>
      <c r="L66" t="str">
        <f t="shared" si="3"/>
        <v/>
      </c>
      <c r="N66" s="245">
        <f t="shared" si="4"/>
        <v>0</v>
      </c>
      <c r="O66" s="245">
        <f t="shared" si="5"/>
        <v>0</v>
      </c>
      <c r="P66" t="str">
        <f t="shared" si="6"/>
        <v/>
      </c>
      <c r="Q66" t="str">
        <f>IFERROR(VLOOKUP(P66,数据库!C:M,11,0),"")</f>
        <v/>
      </c>
      <c r="R66" t="str">
        <f t="shared" si="7"/>
        <v/>
      </c>
      <c r="S66">
        <f t="shared" si="8"/>
        <v>0</v>
      </c>
    </row>
    <row r="67" spans="1:19">
      <c r="A67" t="str">
        <f>IF(B67=0,"",发货清单!A67*10^6+COUNTIF($D$2:D67,D67)*10^3+ROW(A66))</f>
        <v/>
      </c>
      <c r="B67">
        <f>IFERROR(LEFT(发货清单!H67,SEARCH("-",发货清单!H67)-1),发货清单!H67)</f>
        <v>0</v>
      </c>
      <c r="C67" t="str">
        <f>IFERROR(VLOOKUP(发货清单!A67,数据库!A:D,4,0),"")</f>
        <v/>
      </c>
      <c r="D67" t="str">
        <f>IFERROR(VLOOKUP(发货清单!A67,数据库!A:C,3,0),"")</f>
        <v/>
      </c>
      <c r="E67">
        <f>发货清单!M67</f>
        <v>0</v>
      </c>
      <c r="F67">
        <f>发货清单!U67</f>
        <v>0</v>
      </c>
      <c r="G67" t="str">
        <f>IFERROR(VLOOKUP(发货清单!A67,数据库!A:B,2,0),"")</f>
        <v/>
      </c>
      <c r="H67">
        <f>发货清单!N67</f>
        <v>0</v>
      </c>
      <c r="I67" t="str">
        <f t="shared" ref="I67:I130" si="9">IFERROR(SMALL(A:A,ROW(A66)),"")</f>
        <v/>
      </c>
      <c r="J67" t="str">
        <f t="shared" ref="J67:J130" si="10">IFERROR(IF(RIGHT(I67,6)-2000&gt;0," ",I67)," ")</f>
        <v xml:space="preserve"> </v>
      </c>
      <c r="K67" t="str">
        <f t="shared" ref="K67:K130" si="11">IFERROR(SMALL(J:J,ROW(A66)),"")</f>
        <v/>
      </c>
      <c r="L67" t="str">
        <f t="shared" ref="L67:L130" si="12">IFERROR(VLOOKUP(K67,A:G,7,0)," ")</f>
        <v/>
      </c>
      <c r="N67" s="245">
        <f t="shared" ref="N67:N130" si="13">IF(P67=" ",0,SUMIF(D:D,P67,E:E))</f>
        <v>0</v>
      </c>
      <c r="O67" s="245">
        <f t="shared" ref="O67:O130" si="14">SUMIF(D:D,P67,F:F)</f>
        <v>0</v>
      </c>
      <c r="P67" t="str">
        <f t="shared" ref="P67:P130" si="15">IFERROR(VLOOKUP(K67,A:D,4,0)," ")</f>
        <v/>
      </c>
      <c r="Q67" t="str">
        <f>IFERROR(VLOOKUP(P67,数据库!C:M,11,0),"")</f>
        <v/>
      </c>
      <c r="R67" t="str">
        <f t="shared" ref="R67:R130" si="16">IFERROR(VLOOKUP(K67,A:C,3,0)," ")</f>
        <v/>
      </c>
      <c r="S67">
        <f t="shared" ref="S67:S130" si="17">IFERROR(VLOOKUP(K67,A:H,8,0)," ")</f>
        <v>0</v>
      </c>
    </row>
    <row r="68" spans="1:19">
      <c r="A68" t="str">
        <f>IF(B68=0,"",发货清单!A68*10^6+COUNTIF($D$2:D68,D68)*10^3+ROW(A67))</f>
        <v/>
      </c>
      <c r="B68">
        <f>IFERROR(LEFT(发货清单!H68,SEARCH("-",发货清单!H68)-1),发货清单!H68)</f>
        <v>0</v>
      </c>
      <c r="C68" t="str">
        <f>IFERROR(VLOOKUP(发货清单!A68,数据库!A:D,4,0),"")</f>
        <v/>
      </c>
      <c r="D68" t="str">
        <f>IFERROR(VLOOKUP(发货清单!A68,数据库!A:C,3,0),"")</f>
        <v/>
      </c>
      <c r="E68">
        <f>发货清单!M68</f>
        <v>0</v>
      </c>
      <c r="F68">
        <f>发货清单!U68</f>
        <v>0</v>
      </c>
      <c r="G68" t="str">
        <f>IFERROR(VLOOKUP(发货清单!A68,数据库!A:B,2,0),"")</f>
        <v/>
      </c>
      <c r="H68">
        <f>发货清单!N68</f>
        <v>0</v>
      </c>
      <c r="I68" t="str">
        <f t="shared" si="9"/>
        <v/>
      </c>
      <c r="J68" t="str">
        <f t="shared" si="10"/>
        <v xml:space="preserve"> </v>
      </c>
      <c r="K68" t="str">
        <f t="shared" si="11"/>
        <v/>
      </c>
      <c r="L68" t="str">
        <f t="shared" si="12"/>
        <v/>
      </c>
      <c r="N68" s="245">
        <f t="shared" si="13"/>
        <v>0</v>
      </c>
      <c r="O68" s="245">
        <f t="shared" si="14"/>
        <v>0</v>
      </c>
      <c r="P68" t="str">
        <f t="shared" si="15"/>
        <v/>
      </c>
      <c r="Q68" t="str">
        <f>IFERROR(VLOOKUP(P68,数据库!C:M,11,0),"")</f>
        <v/>
      </c>
      <c r="R68" t="str">
        <f t="shared" si="16"/>
        <v/>
      </c>
      <c r="S68">
        <f t="shared" si="17"/>
        <v>0</v>
      </c>
    </row>
    <row r="69" spans="1:19">
      <c r="A69" t="str">
        <f>IF(B69=0,"",发货清单!A69*10^6+COUNTIF($D$2:D69,D69)*10^3+ROW(A68))</f>
        <v/>
      </c>
      <c r="B69">
        <f>IFERROR(LEFT(发货清单!H69,SEARCH("-",发货清单!H69)-1),发货清单!H69)</f>
        <v>0</v>
      </c>
      <c r="C69" t="str">
        <f>IFERROR(VLOOKUP(发货清单!A69,数据库!A:D,4,0),"")</f>
        <v/>
      </c>
      <c r="D69" t="str">
        <f>IFERROR(VLOOKUP(发货清单!A69,数据库!A:C,3,0),"")</f>
        <v/>
      </c>
      <c r="E69">
        <f>发货清单!M69</f>
        <v>0</v>
      </c>
      <c r="F69">
        <f>发货清单!U69</f>
        <v>0</v>
      </c>
      <c r="G69" t="str">
        <f>IFERROR(VLOOKUP(发货清单!A69,数据库!A:B,2,0),"")</f>
        <v/>
      </c>
      <c r="H69">
        <f>发货清单!N69</f>
        <v>0</v>
      </c>
      <c r="I69" t="str">
        <f t="shared" si="9"/>
        <v/>
      </c>
      <c r="J69" t="str">
        <f t="shared" si="10"/>
        <v xml:space="preserve"> </v>
      </c>
      <c r="K69" t="str">
        <f t="shared" si="11"/>
        <v/>
      </c>
      <c r="L69" t="str">
        <f t="shared" si="12"/>
        <v/>
      </c>
      <c r="N69" s="245">
        <f t="shared" si="13"/>
        <v>0</v>
      </c>
      <c r="O69" s="245">
        <f t="shared" si="14"/>
        <v>0</v>
      </c>
      <c r="P69" t="str">
        <f t="shared" si="15"/>
        <v/>
      </c>
      <c r="Q69" t="str">
        <f>IFERROR(VLOOKUP(P69,数据库!C:M,11,0),"")</f>
        <v/>
      </c>
      <c r="R69" t="str">
        <f t="shared" si="16"/>
        <v/>
      </c>
      <c r="S69">
        <f t="shared" si="17"/>
        <v>0</v>
      </c>
    </row>
    <row r="70" spans="1:19">
      <c r="A70" t="str">
        <f>IF(B70=0,"",发货清单!A70*10^6+COUNTIF($D$2:D70,D70)*10^3+ROW(A69))</f>
        <v/>
      </c>
      <c r="B70">
        <f>IFERROR(LEFT(发货清单!H70,SEARCH("-",发货清单!H70)-1),发货清单!H70)</f>
        <v>0</v>
      </c>
      <c r="C70" t="str">
        <f>IFERROR(VLOOKUP(发货清单!A70,数据库!A:D,4,0),"")</f>
        <v/>
      </c>
      <c r="D70" t="str">
        <f>IFERROR(VLOOKUP(发货清单!A70,数据库!A:C,3,0),"")</f>
        <v/>
      </c>
      <c r="E70">
        <f>发货清单!M70</f>
        <v>0</v>
      </c>
      <c r="F70">
        <f>发货清单!U70</f>
        <v>0</v>
      </c>
      <c r="G70" t="str">
        <f>IFERROR(VLOOKUP(发货清单!A70,数据库!A:B,2,0),"")</f>
        <v/>
      </c>
      <c r="H70">
        <f>发货清单!N70</f>
        <v>0</v>
      </c>
      <c r="I70" t="str">
        <f t="shared" si="9"/>
        <v/>
      </c>
      <c r="J70" t="str">
        <f t="shared" si="10"/>
        <v xml:space="preserve"> </v>
      </c>
      <c r="K70" t="str">
        <f t="shared" si="11"/>
        <v/>
      </c>
      <c r="L70" t="str">
        <f t="shared" si="12"/>
        <v/>
      </c>
      <c r="N70" s="245">
        <f t="shared" si="13"/>
        <v>0</v>
      </c>
      <c r="O70" s="245">
        <f t="shared" si="14"/>
        <v>0</v>
      </c>
      <c r="P70" t="str">
        <f t="shared" si="15"/>
        <v/>
      </c>
      <c r="Q70" t="str">
        <f>IFERROR(VLOOKUP(P70,数据库!C:M,11,0),"")</f>
        <v/>
      </c>
      <c r="R70" t="str">
        <f t="shared" si="16"/>
        <v/>
      </c>
      <c r="S70">
        <f t="shared" si="17"/>
        <v>0</v>
      </c>
    </row>
    <row r="71" spans="1:19">
      <c r="A71" t="str">
        <f>IF(B71=0,"",发货清单!A71*10^6+COUNTIF($D$2:D71,D71)*10^3+ROW(A70))</f>
        <v/>
      </c>
      <c r="B71">
        <f>IFERROR(LEFT(发货清单!H71,SEARCH("-",发货清单!H71)-1),发货清单!H71)</f>
        <v>0</v>
      </c>
      <c r="C71" t="str">
        <f>IFERROR(VLOOKUP(发货清单!A71,数据库!A:D,4,0),"")</f>
        <v/>
      </c>
      <c r="D71" t="str">
        <f>IFERROR(VLOOKUP(发货清单!A71,数据库!A:C,3,0),"")</f>
        <v/>
      </c>
      <c r="E71">
        <f>发货清单!M71</f>
        <v>0</v>
      </c>
      <c r="F71">
        <f>发货清单!U71</f>
        <v>0</v>
      </c>
      <c r="G71" t="str">
        <f>IFERROR(VLOOKUP(发货清单!A71,数据库!A:B,2,0),"")</f>
        <v/>
      </c>
      <c r="H71">
        <f>发货清单!N71</f>
        <v>0</v>
      </c>
      <c r="I71" t="str">
        <f t="shared" si="9"/>
        <v/>
      </c>
      <c r="J71" t="str">
        <f t="shared" si="10"/>
        <v xml:space="preserve"> </v>
      </c>
      <c r="K71" t="str">
        <f t="shared" si="11"/>
        <v/>
      </c>
      <c r="L71" t="str">
        <f t="shared" si="12"/>
        <v/>
      </c>
      <c r="N71" s="245">
        <f t="shared" si="13"/>
        <v>0</v>
      </c>
      <c r="O71" s="245">
        <f t="shared" si="14"/>
        <v>0</v>
      </c>
      <c r="P71" t="str">
        <f t="shared" si="15"/>
        <v/>
      </c>
      <c r="Q71" t="str">
        <f>IFERROR(VLOOKUP(P71,数据库!C:M,11,0),"")</f>
        <v/>
      </c>
      <c r="R71" t="str">
        <f t="shared" si="16"/>
        <v/>
      </c>
      <c r="S71">
        <f t="shared" si="17"/>
        <v>0</v>
      </c>
    </row>
    <row r="72" spans="1:19">
      <c r="A72" t="str">
        <f>IF(B72=0,"",发货清单!A72*10^6+COUNTIF($D$2:D72,D72)*10^3+ROW(A71))</f>
        <v/>
      </c>
      <c r="B72">
        <f>IFERROR(LEFT(发货清单!H72,SEARCH("-",发货清单!H72)-1),发货清单!H72)</f>
        <v>0</v>
      </c>
      <c r="C72" t="str">
        <f>IFERROR(VLOOKUP(发货清单!A72,数据库!A:D,4,0),"")</f>
        <v/>
      </c>
      <c r="D72" t="str">
        <f>IFERROR(VLOOKUP(发货清单!A72,数据库!A:C,3,0),"")</f>
        <v/>
      </c>
      <c r="E72">
        <f>发货清单!M72</f>
        <v>0</v>
      </c>
      <c r="F72">
        <f>发货清单!U72</f>
        <v>0</v>
      </c>
      <c r="G72" t="str">
        <f>IFERROR(VLOOKUP(发货清单!A72,数据库!A:B,2,0),"")</f>
        <v/>
      </c>
      <c r="H72">
        <f>发货清单!N72</f>
        <v>0</v>
      </c>
      <c r="I72" t="str">
        <f t="shared" si="9"/>
        <v/>
      </c>
      <c r="J72" t="str">
        <f t="shared" si="10"/>
        <v xml:space="preserve"> </v>
      </c>
      <c r="K72" t="str">
        <f t="shared" si="11"/>
        <v/>
      </c>
      <c r="L72" t="str">
        <f t="shared" si="12"/>
        <v/>
      </c>
      <c r="N72" s="245">
        <f t="shared" si="13"/>
        <v>0</v>
      </c>
      <c r="O72" s="245">
        <f t="shared" si="14"/>
        <v>0</v>
      </c>
      <c r="P72" t="str">
        <f t="shared" si="15"/>
        <v/>
      </c>
      <c r="Q72" t="str">
        <f>IFERROR(VLOOKUP(P72,数据库!C:M,11,0),"")</f>
        <v/>
      </c>
      <c r="R72" t="str">
        <f t="shared" si="16"/>
        <v/>
      </c>
      <c r="S72">
        <f t="shared" si="17"/>
        <v>0</v>
      </c>
    </row>
    <row r="73" spans="1:19">
      <c r="A73" t="str">
        <f>IF(B73=0,"",发货清单!A73*10^6+COUNTIF($D$2:D73,D73)*10^3+ROW(A72))</f>
        <v/>
      </c>
      <c r="B73">
        <f>IFERROR(LEFT(发货清单!H73,SEARCH("-",发货清单!H73)-1),发货清单!H73)</f>
        <v>0</v>
      </c>
      <c r="C73" t="str">
        <f>IFERROR(VLOOKUP(发货清单!A73,数据库!A:D,4,0),"")</f>
        <v/>
      </c>
      <c r="D73" t="str">
        <f>IFERROR(VLOOKUP(发货清单!A73,数据库!A:C,3,0),"")</f>
        <v/>
      </c>
      <c r="E73">
        <f>发货清单!M73</f>
        <v>0</v>
      </c>
      <c r="F73">
        <f>发货清单!U73</f>
        <v>0</v>
      </c>
      <c r="G73" t="str">
        <f>IFERROR(VLOOKUP(发货清单!A73,数据库!A:B,2,0),"")</f>
        <v/>
      </c>
      <c r="H73">
        <f>发货清单!N73</f>
        <v>0</v>
      </c>
      <c r="I73" t="str">
        <f t="shared" si="9"/>
        <v/>
      </c>
      <c r="J73" t="str">
        <f t="shared" si="10"/>
        <v xml:space="preserve"> </v>
      </c>
      <c r="K73" t="str">
        <f t="shared" si="11"/>
        <v/>
      </c>
      <c r="L73" t="str">
        <f t="shared" si="12"/>
        <v/>
      </c>
      <c r="N73" s="245">
        <f t="shared" si="13"/>
        <v>0</v>
      </c>
      <c r="O73" s="245">
        <f t="shared" si="14"/>
        <v>0</v>
      </c>
      <c r="P73" t="str">
        <f t="shared" si="15"/>
        <v/>
      </c>
      <c r="Q73" t="str">
        <f>IFERROR(VLOOKUP(P73,数据库!C:M,11,0),"")</f>
        <v/>
      </c>
      <c r="R73" t="str">
        <f t="shared" si="16"/>
        <v/>
      </c>
      <c r="S73">
        <f t="shared" si="17"/>
        <v>0</v>
      </c>
    </row>
    <row r="74" spans="1:19">
      <c r="A74" t="str">
        <f>IF(B74=0,"",发货清单!A74*10^6+COUNTIF($D$2:D74,D74)*10^3+ROW(A73))</f>
        <v/>
      </c>
      <c r="B74">
        <f>IFERROR(LEFT(发货清单!H74,SEARCH("-",发货清单!H74)-1),发货清单!H74)</f>
        <v>0</v>
      </c>
      <c r="C74" t="str">
        <f>IFERROR(VLOOKUP(发货清单!A74,数据库!A:D,4,0),"")</f>
        <v/>
      </c>
      <c r="D74" t="str">
        <f>IFERROR(VLOOKUP(发货清单!A74,数据库!A:C,3,0),"")</f>
        <v/>
      </c>
      <c r="E74">
        <f>发货清单!M74</f>
        <v>0</v>
      </c>
      <c r="F74">
        <f>发货清单!U74</f>
        <v>0</v>
      </c>
      <c r="G74" t="str">
        <f>IFERROR(VLOOKUP(发货清单!A74,数据库!A:B,2,0),"")</f>
        <v/>
      </c>
      <c r="H74">
        <f>发货清单!N74</f>
        <v>0</v>
      </c>
      <c r="I74" t="str">
        <f t="shared" si="9"/>
        <v/>
      </c>
      <c r="J74" t="str">
        <f t="shared" si="10"/>
        <v xml:space="preserve"> </v>
      </c>
      <c r="K74" t="str">
        <f t="shared" si="11"/>
        <v/>
      </c>
      <c r="L74" t="str">
        <f t="shared" si="12"/>
        <v/>
      </c>
      <c r="N74" s="245">
        <f t="shared" si="13"/>
        <v>0</v>
      </c>
      <c r="O74" s="245">
        <f t="shared" si="14"/>
        <v>0</v>
      </c>
      <c r="P74" t="str">
        <f t="shared" si="15"/>
        <v/>
      </c>
      <c r="Q74" t="str">
        <f>IFERROR(VLOOKUP(P74,数据库!C:M,11,0),"")</f>
        <v/>
      </c>
      <c r="R74" t="str">
        <f t="shared" si="16"/>
        <v/>
      </c>
      <c r="S74">
        <f t="shared" si="17"/>
        <v>0</v>
      </c>
    </row>
    <row r="75" spans="1:19">
      <c r="A75" t="str">
        <f>IF(B75=0,"",发货清单!A75*10^6+COUNTIF($D$2:D75,D75)*10^3+ROW(A74))</f>
        <v/>
      </c>
      <c r="B75">
        <f>IFERROR(LEFT(发货清单!H75,SEARCH("-",发货清单!H75)-1),发货清单!H75)</f>
        <v>0</v>
      </c>
      <c r="C75" t="str">
        <f>IFERROR(VLOOKUP(发货清单!A75,数据库!A:D,4,0),"")</f>
        <v/>
      </c>
      <c r="D75" t="str">
        <f>IFERROR(VLOOKUP(发货清单!A75,数据库!A:C,3,0),"")</f>
        <v/>
      </c>
      <c r="E75">
        <f>发货清单!M75</f>
        <v>0</v>
      </c>
      <c r="F75">
        <f>发货清单!U75</f>
        <v>0</v>
      </c>
      <c r="G75" t="str">
        <f>IFERROR(VLOOKUP(发货清单!A75,数据库!A:B,2,0),"")</f>
        <v/>
      </c>
      <c r="H75">
        <f>发货清单!N75</f>
        <v>0</v>
      </c>
      <c r="I75" t="str">
        <f t="shared" si="9"/>
        <v/>
      </c>
      <c r="J75" t="str">
        <f t="shared" si="10"/>
        <v xml:space="preserve"> </v>
      </c>
      <c r="K75" t="str">
        <f t="shared" si="11"/>
        <v/>
      </c>
      <c r="L75" t="str">
        <f t="shared" si="12"/>
        <v/>
      </c>
      <c r="N75" s="245">
        <f t="shared" si="13"/>
        <v>0</v>
      </c>
      <c r="O75" s="245">
        <f t="shared" si="14"/>
        <v>0</v>
      </c>
      <c r="P75" t="str">
        <f t="shared" si="15"/>
        <v/>
      </c>
      <c r="Q75" t="str">
        <f>IFERROR(VLOOKUP(P75,数据库!C:M,11,0),"")</f>
        <v/>
      </c>
      <c r="R75" t="str">
        <f t="shared" si="16"/>
        <v/>
      </c>
      <c r="S75">
        <f t="shared" si="17"/>
        <v>0</v>
      </c>
    </row>
    <row r="76" spans="1:19">
      <c r="A76" t="str">
        <f>IF(B76=0,"",发货清单!A76*10^6+COUNTIF($D$2:D76,D76)*10^3+ROW(A75))</f>
        <v/>
      </c>
      <c r="B76">
        <f>IFERROR(LEFT(发货清单!H76,SEARCH("-",发货清单!H76)-1),发货清单!H76)</f>
        <v>0</v>
      </c>
      <c r="C76" t="str">
        <f>IFERROR(VLOOKUP(发货清单!A76,数据库!A:D,4,0),"")</f>
        <v/>
      </c>
      <c r="D76" t="str">
        <f>IFERROR(VLOOKUP(发货清单!A76,数据库!A:C,3,0),"")</f>
        <v/>
      </c>
      <c r="E76">
        <f>发货清单!M76</f>
        <v>0</v>
      </c>
      <c r="F76">
        <f>发货清单!U76</f>
        <v>0</v>
      </c>
      <c r="G76" t="str">
        <f>IFERROR(VLOOKUP(发货清单!A76,数据库!A:B,2,0),"")</f>
        <v/>
      </c>
      <c r="H76">
        <f>发货清单!N76</f>
        <v>0</v>
      </c>
      <c r="I76" t="str">
        <f t="shared" si="9"/>
        <v/>
      </c>
      <c r="J76" t="str">
        <f t="shared" si="10"/>
        <v xml:space="preserve"> </v>
      </c>
      <c r="K76" t="str">
        <f t="shared" si="11"/>
        <v/>
      </c>
      <c r="L76" t="str">
        <f t="shared" si="12"/>
        <v/>
      </c>
      <c r="N76" s="245">
        <f t="shared" si="13"/>
        <v>0</v>
      </c>
      <c r="O76" s="245">
        <f t="shared" si="14"/>
        <v>0</v>
      </c>
      <c r="P76" t="str">
        <f t="shared" si="15"/>
        <v/>
      </c>
      <c r="Q76" t="str">
        <f>IFERROR(VLOOKUP(P76,数据库!C:M,11,0),"")</f>
        <v/>
      </c>
      <c r="R76" t="str">
        <f t="shared" si="16"/>
        <v/>
      </c>
      <c r="S76">
        <f t="shared" si="17"/>
        <v>0</v>
      </c>
    </row>
    <row r="77" spans="1:19">
      <c r="A77" t="str">
        <f>IF(B77=0,"",发货清单!A77*10^6+COUNTIF($D$2:D77,D77)*10^3+ROW(A76))</f>
        <v/>
      </c>
      <c r="B77">
        <f>IFERROR(LEFT(发货清单!H77,SEARCH("-",发货清单!H77)-1),发货清单!H77)</f>
        <v>0</v>
      </c>
      <c r="C77" t="str">
        <f>IFERROR(VLOOKUP(发货清单!A77,数据库!A:D,4,0),"")</f>
        <v/>
      </c>
      <c r="D77" t="str">
        <f>IFERROR(VLOOKUP(发货清单!A77,数据库!A:C,3,0),"")</f>
        <v/>
      </c>
      <c r="E77">
        <f>发货清单!M77</f>
        <v>0</v>
      </c>
      <c r="F77">
        <f>发货清单!U77</f>
        <v>0</v>
      </c>
      <c r="G77" t="str">
        <f>IFERROR(VLOOKUP(发货清单!A77,数据库!A:B,2,0),"")</f>
        <v/>
      </c>
      <c r="H77">
        <f>发货清单!N77</f>
        <v>0</v>
      </c>
      <c r="I77" t="str">
        <f t="shared" si="9"/>
        <v/>
      </c>
      <c r="J77" t="str">
        <f t="shared" si="10"/>
        <v xml:space="preserve"> </v>
      </c>
      <c r="K77" t="str">
        <f t="shared" si="11"/>
        <v/>
      </c>
      <c r="L77" t="str">
        <f t="shared" si="12"/>
        <v/>
      </c>
      <c r="N77" s="245">
        <f t="shared" si="13"/>
        <v>0</v>
      </c>
      <c r="O77" s="245">
        <f t="shared" si="14"/>
        <v>0</v>
      </c>
      <c r="P77" t="str">
        <f t="shared" si="15"/>
        <v/>
      </c>
      <c r="Q77" t="str">
        <f>IFERROR(VLOOKUP(P77,数据库!C:M,11,0),"")</f>
        <v/>
      </c>
      <c r="R77" t="str">
        <f t="shared" si="16"/>
        <v/>
      </c>
      <c r="S77">
        <f t="shared" si="17"/>
        <v>0</v>
      </c>
    </row>
    <row r="78" spans="1:19">
      <c r="A78" t="str">
        <f>IF(B78=0,"",发货清单!A78*10^6+COUNTIF($D$2:D78,D78)*10^3+ROW(A77))</f>
        <v/>
      </c>
      <c r="B78">
        <f>IFERROR(LEFT(发货清单!H78,SEARCH("-",发货清单!H78)-1),发货清单!H78)</f>
        <v>0</v>
      </c>
      <c r="C78" t="str">
        <f>IFERROR(VLOOKUP(发货清单!A78,数据库!A:D,4,0),"")</f>
        <v/>
      </c>
      <c r="D78" t="str">
        <f>IFERROR(VLOOKUP(发货清单!A78,数据库!A:C,3,0),"")</f>
        <v/>
      </c>
      <c r="E78">
        <f>发货清单!M78</f>
        <v>0</v>
      </c>
      <c r="F78">
        <f>发货清单!U78</f>
        <v>0</v>
      </c>
      <c r="G78" t="str">
        <f>IFERROR(VLOOKUP(发货清单!A78,数据库!A:B,2,0),"")</f>
        <v/>
      </c>
      <c r="H78">
        <f>发货清单!N78</f>
        <v>0</v>
      </c>
      <c r="I78" t="str">
        <f t="shared" si="9"/>
        <v/>
      </c>
      <c r="J78" t="str">
        <f t="shared" si="10"/>
        <v xml:space="preserve"> </v>
      </c>
      <c r="K78" t="str">
        <f t="shared" si="11"/>
        <v/>
      </c>
      <c r="L78" t="str">
        <f t="shared" si="12"/>
        <v/>
      </c>
      <c r="N78" s="245">
        <f t="shared" si="13"/>
        <v>0</v>
      </c>
      <c r="O78" s="245">
        <f t="shared" si="14"/>
        <v>0</v>
      </c>
      <c r="P78" t="str">
        <f t="shared" si="15"/>
        <v/>
      </c>
      <c r="Q78" t="str">
        <f>IFERROR(VLOOKUP(P78,数据库!C:M,11,0),"")</f>
        <v/>
      </c>
      <c r="R78" t="str">
        <f t="shared" si="16"/>
        <v/>
      </c>
      <c r="S78">
        <f t="shared" si="17"/>
        <v>0</v>
      </c>
    </row>
    <row r="79" spans="1:19">
      <c r="A79" t="str">
        <f>IF(B79=0,"",发货清单!A79*10^6+COUNTIF($D$2:D79,D79)*10^3+ROW(A78))</f>
        <v/>
      </c>
      <c r="B79">
        <f>IFERROR(LEFT(发货清单!H79,SEARCH("-",发货清单!H79)-1),发货清单!H79)</f>
        <v>0</v>
      </c>
      <c r="C79" t="str">
        <f>IFERROR(VLOOKUP(发货清单!A79,数据库!A:D,4,0),"")</f>
        <v/>
      </c>
      <c r="D79" t="str">
        <f>IFERROR(VLOOKUP(发货清单!A79,数据库!A:C,3,0),"")</f>
        <v/>
      </c>
      <c r="E79">
        <f>发货清单!M79</f>
        <v>0</v>
      </c>
      <c r="F79">
        <f>发货清单!U79</f>
        <v>0</v>
      </c>
      <c r="G79" t="str">
        <f>IFERROR(VLOOKUP(发货清单!A79,数据库!A:B,2,0),"")</f>
        <v/>
      </c>
      <c r="H79">
        <f>发货清单!N79</f>
        <v>0</v>
      </c>
      <c r="I79" t="str">
        <f t="shared" si="9"/>
        <v/>
      </c>
      <c r="J79" t="str">
        <f t="shared" si="10"/>
        <v xml:space="preserve"> </v>
      </c>
      <c r="K79" t="str">
        <f t="shared" si="11"/>
        <v/>
      </c>
      <c r="L79" t="str">
        <f t="shared" si="12"/>
        <v/>
      </c>
      <c r="N79" s="245">
        <f t="shared" si="13"/>
        <v>0</v>
      </c>
      <c r="O79" s="245">
        <f t="shared" si="14"/>
        <v>0</v>
      </c>
      <c r="P79" t="str">
        <f t="shared" si="15"/>
        <v/>
      </c>
      <c r="Q79" t="str">
        <f>IFERROR(VLOOKUP(P79,数据库!C:M,11,0),"")</f>
        <v/>
      </c>
      <c r="R79" t="str">
        <f t="shared" si="16"/>
        <v/>
      </c>
      <c r="S79">
        <f t="shared" si="17"/>
        <v>0</v>
      </c>
    </row>
    <row r="80" spans="1:19">
      <c r="A80" t="str">
        <f>IF(B80=0,"",发货清单!A80*10^6+COUNTIF($D$2:D80,D80)*10^3+ROW(A79))</f>
        <v/>
      </c>
      <c r="B80">
        <f>IFERROR(LEFT(发货清单!H80,SEARCH("-",发货清单!H80)-1),发货清单!H80)</f>
        <v>0</v>
      </c>
      <c r="C80" t="str">
        <f>IFERROR(VLOOKUP(发货清单!A80,数据库!A:D,4,0),"")</f>
        <v/>
      </c>
      <c r="D80" t="str">
        <f>IFERROR(VLOOKUP(发货清单!A80,数据库!A:C,3,0),"")</f>
        <v/>
      </c>
      <c r="E80">
        <f>发货清单!M80</f>
        <v>0</v>
      </c>
      <c r="F80">
        <f>发货清单!U80</f>
        <v>0</v>
      </c>
      <c r="G80" t="str">
        <f>IFERROR(VLOOKUP(发货清单!A80,数据库!A:B,2,0),"")</f>
        <v/>
      </c>
      <c r="H80">
        <f>发货清单!N80</f>
        <v>0</v>
      </c>
      <c r="I80" t="str">
        <f t="shared" si="9"/>
        <v/>
      </c>
      <c r="J80" t="str">
        <f t="shared" si="10"/>
        <v xml:space="preserve"> </v>
      </c>
      <c r="K80" t="str">
        <f t="shared" si="11"/>
        <v/>
      </c>
      <c r="L80" t="str">
        <f t="shared" si="12"/>
        <v/>
      </c>
      <c r="N80" s="245">
        <f t="shared" si="13"/>
        <v>0</v>
      </c>
      <c r="O80" s="245">
        <f t="shared" si="14"/>
        <v>0</v>
      </c>
      <c r="P80" t="str">
        <f t="shared" si="15"/>
        <v/>
      </c>
      <c r="Q80" t="str">
        <f>IFERROR(VLOOKUP(P80,数据库!C:M,11,0),"")</f>
        <v/>
      </c>
      <c r="R80" t="str">
        <f t="shared" si="16"/>
        <v/>
      </c>
      <c r="S80">
        <f t="shared" si="17"/>
        <v>0</v>
      </c>
    </row>
    <row r="81" spans="1:19">
      <c r="A81" t="str">
        <f>IF(B81=0,"",发货清单!A81*10^6+COUNTIF($D$2:D81,D81)*10^3+ROW(A80))</f>
        <v/>
      </c>
      <c r="B81">
        <f>IFERROR(LEFT(发货清单!H81,SEARCH("-",发货清单!H81)-1),发货清单!H81)</f>
        <v>0</v>
      </c>
      <c r="C81" t="str">
        <f>IFERROR(VLOOKUP(发货清单!A81,数据库!A:D,4,0),"")</f>
        <v/>
      </c>
      <c r="D81" t="str">
        <f>IFERROR(VLOOKUP(发货清单!A81,数据库!A:C,3,0),"")</f>
        <v/>
      </c>
      <c r="E81">
        <f>发货清单!M81</f>
        <v>0</v>
      </c>
      <c r="F81">
        <f>发货清单!U81</f>
        <v>0</v>
      </c>
      <c r="G81" t="str">
        <f>IFERROR(VLOOKUP(发货清单!A81,数据库!A:B,2,0),"")</f>
        <v/>
      </c>
      <c r="H81">
        <f>发货清单!N81</f>
        <v>0</v>
      </c>
      <c r="I81" t="str">
        <f t="shared" si="9"/>
        <v/>
      </c>
      <c r="J81" t="str">
        <f t="shared" si="10"/>
        <v xml:space="preserve"> </v>
      </c>
      <c r="K81" t="str">
        <f t="shared" si="11"/>
        <v/>
      </c>
      <c r="L81" t="str">
        <f t="shared" si="12"/>
        <v/>
      </c>
      <c r="N81" s="245">
        <f t="shared" si="13"/>
        <v>0</v>
      </c>
      <c r="O81" s="245">
        <f t="shared" si="14"/>
        <v>0</v>
      </c>
      <c r="P81" t="str">
        <f t="shared" si="15"/>
        <v/>
      </c>
      <c r="Q81" t="str">
        <f>IFERROR(VLOOKUP(P81,数据库!C:M,11,0),"")</f>
        <v/>
      </c>
      <c r="R81" t="str">
        <f t="shared" si="16"/>
        <v/>
      </c>
      <c r="S81">
        <f t="shared" si="17"/>
        <v>0</v>
      </c>
    </row>
    <row r="82" spans="1:19">
      <c r="A82" t="str">
        <f>IF(B82=0,"",发货清单!A82*10^6+COUNTIF($D$2:D82,D82)*10^3+ROW(A81))</f>
        <v/>
      </c>
      <c r="B82">
        <f>IFERROR(LEFT(发货清单!H82,SEARCH("-",发货清单!H82)-1),发货清单!H82)</f>
        <v>0</v>
      </c>
      <c r="C82" t="str">
        <f>IFERROR(VLOOKUP(发货清单!A82,数据库!A:D,4,0),"")</f>
        <v/>
      </c>
      <c r="D82" t="str">
        <f>IFERROR(VLOOKUP(发货清单!A82,数据库!A:C,3,0),"")</f>
        <v/>
      </c>
      <c r="E82">
        <f>发货清单!M82</f>
        <v>0</v>
      </c>
      <c r="F82">
        <f>发货清单!U82</f>
        <v>0</v>
      </c>
      <c r="G82" t="str">
        <f>IFERROR(VLOOKUP(发货清单!A82,数据库!A:B,2,0),"")</f>
        <v/>
      </c>
      <c r="H82">
        <f>发货清单!N82</f>
        <v>0</v>
      </c>
      <c r="I82" t="str">
        <f t="shared" si="9"/>
        <v/>
      </c>
      <c r="J82" t="str">
        <f t="shared" si="10"/>
        <v xml:space="preserve"> </v>
      </c>
      <c r="K82" t="str">
        <f t="shared" si="11"/>
        <v/>
      </c>
      <c r="L82" t="str">
        <f t="shared" si="12"/>
        <v/>
      </c>
      <c r="N82" s="245">
        <f t="shared" si="13"/>
        <v>0</v>
      </c>
      <c r="O82" s="245">
        <f t="shared" si="14"/>
        <v>0</v>
      </c>
      <c r="P82" t="str">
        <f t="shared" si="15"/>
        <v/>
      </c>
      <c r="Q82" t="str">
        <f>IFERROR(VLOOKUP(P82,数据库!C:M,11,0),"")</f>
        <v/>
      </c>
      <c r="R82" t="str">
        <f t="shared" si="16"/>
        <v/>
      </c>
      <c r="S82">
        <f t="shared" si="17"/>
        <v>0</v>
      </c>
    </row>
    <row r="83" spans="1:19">
      <c r="A83" t="str">
        <f>IF(B83=0,"",发货清单!A83*10^6+COUNTIF($D$2:D83,D83)*10^3+ROW(A82))</f>
        <v/>
      </c>
      <c r="B83">
        <f>IFERROR(LEFT(发货清单!H83,SEARCH("-",发货清单!H83)-1),发货清单!H83)</f>
        <v>0</v>
      </c>
      <c r="C83" t="str">
        <f>IFERROR(VLOOKUP(发货清单!A83,数据库!A:D,4,0),"")</f>
        <v/>
      </c>
      <c r="D83" t="str">
        <f>IFERROR(VLOOKUP(发货清单!A83,数据库!A:C,3,0),"")</f>
        <v/>
      </c>
      <c r="E83">
        <f>发货清单!M83</f>
        <v>0</v>
      </c>
      <c r="F83">
        <f>发货清单!U83</f>
        <v>0</v>
      </c>
      <c r="G83" t="str">
        <f>IFERROR(VLOOKUP(发货清单!A83,数据库!A:B,2,0),"")</f>
        <v/>
      </c>
      <c r="H83">
        <f>发货清单!N83</f>
        <v>0</v>
      </c>
      <c r="I83" t="str">
        <f t="shared" si="9"/>
        <v/>
      </c>
      <c r="J83" t="str">
        <f t="shared" si="10"/>
        <v xml:space="preserve"> </v>
      </c>
      <c r="K83" t="str">
        <f t="shared" si="11"/>
        <v/>
      </c>
      <c r="L83" t="str">
        <f t="shared" si="12"/>
        <v/>
      </c>
      <c r="N83" s="245">
        <f t="shared" si="13"/>
        <v>0</v>
      </c>
      <c r="O83" s="245">
        <f t="shared" si="14"/>
        <v>0</v>
      </c>
      <c r="P83" t="str">
        <f t="shared" si="15"/>
        <v/>
      </c>
      <c r="Q83" t="str">
        <f>IFERROR(VLOOKUP(P83,数据库!C:M,11,0),"")</f>
        <v/>
      </c>
      <c r="R83" t="str">
        <f t="shared" si="16"/>
        <v/>
      </c>
      <c r="S83">
        <f t="shared" si="17"/>
        <v>0</v>
      </c>
    </row>
    <row r="84" spans="1:19">
      <c r="A84" t="str">
        <f>IF(B84=0,"",发货清单!A84*10^6+COUNTIF($D$2:D84,D84)*10^3+ROW(A83))</f>
        <v/>
      </c>
      <c r="B84">
        <f>IFERROR(LEFT(发货清单!H84,SEARCH("-",发货清单!H84)-1),发货清单!H84)</f>
        <v>0</v>
      </c>
      <c r="C84" t="str">
        <f>IFERROR(VLOOKUP(发货清单!A84,数据库!A:D,4,0),"")</f>
        <v/>
      </c>
      <c r="D84" t="str">
        <f>IFERROR(VLOOKUP(发货清单!A84,数据库!A:C,3,0),"")</f>
        <v/>
      </c>
      <c r="E84">
        <f>发货清单!M84</f>
        <v>0</v>
      </c>
      <c r="F84">
        <f>发货清单!U84</f>
        <v>0</v>
      </c>
      <c r="G84" t="str">
        <f>IFERROR(VLOOKUP(发货清单!A84,数据库!A:B,2,0),"")</f>
        <v/>
      </c>
      <c r="H84">
        <f>发货清单!N84</f>
        <v>0</v>
      </c>
      <c r="I84" t="str">
        <f t="shared" si="9"/>
        <v/>
      </c>
      <c r="J84" t="str">
        <f t="shared" si="10"/>
        <v xml:space="preserve"> </v>
      </c>
      <c r="K84" t="str">
        <f t="shared" si="11"/>
        <v/>
      </c>
      <c r="L84" t="str">
        <f t="shared" si="12"/>
        <v/>
      </c>
      <c r="N84" s="245">
        <f t="shared" si="13"/>
        <v>0</v>
      </c>
      <c r="O84" s="245">
        <f t="shared" si="14"/>
        <v>0</v>
      </c>
      <c r="P84" t="str">
        <f t="shared" si="15"/>
        <v/>
      </c>
      <c r="Q84" t="str">
        <f>IFERROR(VLOOKUP(P84,数据库!C:M,11,0),"")</f>
        <v/>
      </c>
      <c r="R84" t="str">
        <f t="shared" si="16"/>
        <v/>
      </c>
      <c r="S84">
        <f t="shared" si="17"/>
        <v>0</v>
      </c>
    </row>
    <row r="85" spans="1:19">
      <c r="A85" t="str">
        <f>IF(B85=0,"",发货清单!A85*10^6+COUNTIF($D$2:D85,D85)*10^3+ROW(A84))</f>
        <v/>
      </c>
      <c r="B85">
        <f>IFERROR(LEFT(发货清单!H85,SEARCH("-",发货清单!H85)-1),发货清单!H85)</f>
        <v>0</v>
      </c>
      <c r="C85" t="str">
        <f>IFERROR(VLOOKUP(发货清单!A85,数据库!A:D,4,0),"")</f>
        <v/>
      </c>
      <c r="D85" t="str">
        <f>IFERROR(VLOOKUP(发货清单!A85,数据库!A:C,3,0),"")</f>
        <v/>
      </c>
      <c r="E85">
        <f>发货清单!M85</f>
        <v>0</v>
      </c>
      <c r="F85">
        <f>发货清单!U85</f>
        <v>0</v>
      </c>
      <c r="G85" t="str">
        <f>IFERROR(VLOOKUP(发货清单!A85,数据库!A:B,2,0),"")</f>
        <v/>
      </c>
      <c r="H85">
        <f>发货清单!N85</f>
        <v>0</v>
      </c>
      <c r="I85" t="str">
        <f t="shared" si="9"/>
        <v/>
      </c>
      <c r="J85" t="str">
        <f t="shared" si="10"/>
        <v xml:space="preserve"> </v>
      </c>
      <c r="K85" t="str">
        <f t="shared" si="11"/>
        <v/>
      </c>
      <c r="L85" t="str">
        <f t="shared" si="12"/>
        <v/>
      </c>
      <c r="N85" s="245">
        <f t="shared" si="13"/>
        <v>0</v>
      </c>
      <c r="O85" s="245">
        <f t="shared" si="14"/>
        <v>0</v>
      </c>
      <c r="P85" t="str">
        <f t="shared" si="15"/>
        <v/>
      </c>
      <c r="Q85" t="str">
        <f>IFERROR(VLOOKUP(P85,数据库!C:M,11,0),"")</f>
        <v/>
      </c>
      <c r="R85" t="str">
        <f t="shared" si="16"/>
        <v/>
      </c>
      <c r="S85">
        <f t="shared" si="17"/>
        <v>0</v>
      </c>
    </row>
    <row r="86" spans="1:19">
      <c r="A86" t="str">
        <f>IF(B86=0,"",发货清单!A86*10^6+COUNTIF($D$2:D86,D86)*10^3+ROW(A85))</f>
        <v/>
      </c>
      <c r="B86">
        <f>IFERROR(LEFT(发货清单!H86,SEARCH("-",发货清单!H86)-1),发货清单!H86)</f>
        <v>0</v>
      </c>
      <c r="C86" t="str">
        <f>IFERROR(VLOOKUP(发货清单!A86,数据库!A:D,4,0),"")</f>
        <v/>
      </c>
      <c r="D86" t="str">
        <f>IFERROR(VLOOKUP(发货清单!A86,数据库!A:C,3,0),"")</f>
        <v/>
      </c>
      <c r="E86">
        <f>发货清单!M86</f>
        <v>0</v>
      </c>
      <c r="F86">
        <f>发货清单!U86</f>
        <v>0</v>
      </c>
      <c r="G86" t="str">
        <f>IFERROR(VLOOKUP(发货清单!A86,数据库!A:B,2,0),"")</f>
        <v/>
      </c>
      <c r="H86">
        <f>发货清单!N86</f>
        <v>0</v>
      </c>
      <c r="I86" t="str">
        <f t="shared" si="9"/>
        <v/>
      </c>
      <c r="J86" t="str">
        <f t="shared" si="10"/>
        <v xml:space="preserve"> </v>
      </c>
      <c r="K86" t="str">
        <f t="shared" si="11"/>
        <v/>
      </c>
      <c r="L86" t="str">
        <f t="shared" si="12"/>
        <v/>
      </c>
      <c r="N86" s="245">
        <f t="shared" si="13"/>
        <v>0</v>
      </c>
      <c r="O86" s="245">
        <f t="shared" si="14"/>
        <v>0</v>
      </c>
      <c r="P86" t="str">
        <f t="shared" si="15"/>
        <v/>
      </c>
      <c r="Q86" t="str">
        <f>IFERROR(VLOOKUP(P86,数据库!C:M,11,0),"")</f>
        <v/>
      </c>
      <c r="R86" t="str">
        <f t="shared" si="16"/>
        <v/>
      </c>
      <c r="S86">
        <f t="shared" si="17"/>
        <v>0</v>
      </c>
    </row>
    <row r="87" spans="1:19">
      <c r="A87" t="str">
        <f>IF(B87=0,"",发货清单!A87*10^6+COUNTIF($D$2:D87,D87)*10^3+ROW(A86))</f>
        <v/>
      </c>
      <c r="B87">
        <f>IFERROR(LEFT(发货清单!H87,SEARCH("-",发货清单!H87)-1),发货清单!H87)</f>
        <v>0</v>
      </c>
      <c r="C87" t="str">
        <f>IFERROR(VLOOKUP(发货清单!A87,数据库!A:D,4,0),"")</f>
        <v/>
      </c>
      <c r="D87" t="str">
        <f>IFERROR(VLOOKUP(发货清单!A87,数据库!A:C,3,0),"")</f>
        <v/>
      </c>
      <c r="E87">
        <f>发货清单!M87</f>
        <v>0</v>
      </c>
      <c r="F87">
        <f>发货清单!U87</f>
        <v>0</v>
      </c>
      <c r="G87" t="str">
        <f>IFERROR(VLOOKUP(发货清单!A87,数据库!A:B,2,0),"")</f>
        <v/>
      </c>
      <c r="H87">
        <f>发货清单!N87</f>
        <v>0</v>
      </c>
      <c r="I87" t="str">
        <f t="shared" si="9"/>
        <v/>
      </c>
      <c r="J87" t="str">
        <f t="shared" si="10"/>
        <v xml:space="preserve"> </v>
      </c>
      <c r="K87" t="str">
        <f t="shared" si="11"/>
        <v/>
      </c>
      <c r="L87" t="str">
        <f t="shared" si="12"/>
        <v/>
      </c>
      <c r="N87" s="245">
        <f t="shared" si="13"/>
        <v>0</v>
      </c>
      <c r="O87" s="245">
        <f t="shared" si="14"/>
        <v>0</v>
      </c>
      <c r="P87" t="str">
        <f t="shared" si="15"/>
        <v/>
      </c>
      <c r="Q87" t="str">
        <f>IFERROR(VLOOKUP(P87,数据库!C:M,11,0),"")</f>
        <v/>
      </c>
      <c r="R87" t="str">
        <f t="shared" si="16"/>
        <v/>
      </c>
      <c r="S87">
        <f t="shared" si="17"/>
        <v>0</v>
      </c>
    </row>
    <row r="88" spans="1:19">
      <c r="A88" t="str">
        <f>IF(B88=0,"",发货清单!A88*10^6+COUNTIF($D$2:D88,D88)*10^3+ROW(A87))</f>
        <v/>
      </c>
      <c r="B88">
        <f>IFERROR(LEFT(发货清单!H88,SEARCH("-",发货清单!H88)-1),发货清单!H88)</f>
        <v>0</v>
      </c>
      <c r="C88" t="str">
        <f>IFERROR(VLOOKUP(发货清单!A88,数据库!A:D,4,0),"")</f>
        <v/>
      </c>
      <c r="D88" t="str">
        <f>IFERROR(VLOOKUP(发货清单!A88,数据库!A:C,3,0),"")</f>
        <v/>
      </c>
      <c r="E88">
        <f>发货清单!M88</f>
        <v>0</v>
      </c>
      <c r="F88">
        <f>发货清单!U88</f>
        <v>0</v>
      </c>
      <c r="G88" t="str">
        <f>IFERROR(VLOOKUP(发货清单!A88,数据库!A:B,2,0),"")</f>
        <v/>
      </c>
      <c r="H88">
        <f>发货清单!N88</f>
        <v>0</v>
      </c>
      <c r="I88" t="str">
        <f t="shared" si="9"/>
        <v/>
      </c>
      <c r="J88" t="str">
        <f t="shared" si="10"/>
        <v xml:space="preserve"> </v>
      </c>
      <c r="K88" t="str">
        <f t="shared" si="11"/>
        <v/>
      </c>
      <c r="L88" t="str">
        <f t="shared" si="12"/>
        <v/>
      </c>
      <c r="N88" s="245">
        <f t="shared" si="13"/>
        <v>0</v>
      </c>
      <c r="O88" s="245">
        <f t="shared" si="14"/>
        <v>0</v>
      </c>
      <c r="P88" t="str">
        <f t="shared" si="15"/>
        <v/>
      </c>
      <c r="Q88" t="str">
        <f>IFERROR(VLOOKUP(P88,数据库!C:M,11,0),"")</f>
        <v/>
      </c>
      <c r="R88" t="str">
        <f t="shared" si="16"/>
        <v/>
      </c>
      <c r="S88">
        <f t="shared" si="17"/>
        <v>0</v>
      </c>
    </row>
    <row r="89" spans="1:19">
      <c r="A89" t="str">
        <f>IF(B89=0,"",发货清单!A89*10^6+COUNTIF($D$2:D89,D89)*10^3+ROW(A88))</f>
        <v/>
      </c>
      <c r="B89">
        <f>IFERROR(LEFT(发货清单!H89,SEARCH("-",发货清单!H89)-1),发货清单!H89)</f>
        <v>0</v>
      </c>
      <c r="C89" t="str">
        <f>IFERROR(VLOOKUP(发货清单!A89,数据库!A:D,4,0),"")</f>
        <v/>
      </c>
      <c r="D89" t="str">
        <f>IFERROR(VLOOKUP(发货清单!A89,数据库!A:C,3,0),"")</f>
        <v/>
      </c>
      <c r="E89">
        <f>发货清单!M89</f>
        <v>0</v>
      </c>
      <c r="F89">
        <f>发货清单!U89</f>
        <v>0</v>
      </c>
      <c r="G89" t="str">
        <f>IFERROR(VLOOKUP(发货清单!A89,数据库!A:B,2,0),"")</f>
        <v/>
      </c>
      <c r="H89">
        <f>发货清单!N89</f>
        <v>0</v>
      </c>
      <c r="I89" t="str">
        <f t="shared" si="9"/>
        <v/>
      </c>
      <c r="J89" t="str">
        <f t="shared" si="10"/>
        <v xml:space="preserve"> </v>
      </c>
      <c r="K89" t="str">
        <f t="shared" si="11"/>
        <v/>
      </c>
      <c r="L89" t="str">
        <f t="shared" si="12"/>
        <v/>
      </c>
      <c r="N89" s="245">
        <f t="shared" si="13"/>
        <v>0</v>
      </c>
      <c r="O89" s="245">
        <f t="shared" si="14"/>
        <v>0</v>
      </c>
      <c r="P89" t="str">
        <f t="shared" si="15"/>
        <v/>
      </c>
      <c r="Q89" t="str">
        <f>IFERROR(VLOOKUP(P89,数据库!C:M,11,0),"")</f>
        <v/>
      </c>
      <c r="R89" t="str">
        <f t="shared" si="16"/>
        <v/>
      </c>
      <c r="S89">
        <f t="shared" si="17"/>
        <v>0</v>
      </c>
    </row>
    <row r="90" spans="1:19">
      <c r="A90" t="str">
        <f>IF(B90=0,"",发货清单!A90*10^6+COUNTIF($D$2:D90,D90)*10^3+ROW(A89))</f>
        <v/>
      </c>
      <c r="B90">
        <f>IFERROR(LEFT(发货清单!H90,SEARCH("-",发货清单!H90)-1),发货清单!H90)</f>
        <v>0</v>
      </c>
      <c r="C90" t="str">
        <f>IFERROR(VLOOKUP(发货清单!A90,数据库!A:D,4,0),"")</f>
        <v/>
      </c>
      <c r="D90" t="str">
        <f>IFERROR(VLOOKUP(发货清单!A90,数据库!A:C,3,0),"")</f>
        <v/>
      </c>
      <c r="E90">
        <f>发货清单!M90</f>
        <v>0</v>
      </c>
      <c r="F90">
        <f>发货清单!U90</f>
        <v>0</v>
      </c>
      <c r="G90" t="str">
        <f>IFERROR(VLOOKUP(发货清单!A90,数据库!A:B,2,0),"")</f>
        <v/>
      </c>
      <c r="H90">
        <f>发货清单!N90</f>
        <v>0</v>
      </c>
      <c r="I90" t="str">
        <f t="shared" si="9"/>
        <v/>
      </c>
      <c r="J90" t="str">
        <f t="shared" si="10"/>
        <v xml:space="preserve"> </v>
      </c>
      <c r="K90" t="str">
        <f t="shared" si="11"/>
        <v/>
      </c>
      <c r="L90" t="str">
        <f t="shared" si="12"/>
        <v/>
      </c>
      <c r="N90" s="245">
        <f t="shared" si="13"/>
        <v>0</v>
      </c>
      <c r="O90" s="245">
        <f t="shared" si="14"/>
        <v>0</v>
      </c>
      <c r="P90" t="str">
        <f t="shared" si="15"/>
        <v/>
      </c>
      <c r="Q90" t="str">
        <f>IFERROR(VLOOKUP(P90,数据库!C:M,11,0),"")</f>
        <v/>
      </c>
      <c r="R90" t="str">
        <f t="shared" si="16"/>
        <v/>
      </c>
      <c r="S90">
        <f t="shared" si="17"/>
        <v>0</v>
      </c>
    </row>
    <row r="91" spans="1:19">
      <c r="A91" t="str">
        <f>IF(B91=0,"",发货清单!A91*10^6+COUNTIF($D$2:D91,D91)*10^3+ROW(A90))</f>
        <v/>
      </c>
      <c r="B91">
        <f>IFERROR(LEFT(发货清单!H91,SEARCH("-",发货清单!H91)-1),发货清单!H91)</f>
        <v>0</v>
      </c>
      <c r="C91" t="str">
        <f>IFERROR(VLOOKUP(发货清单!A91,数据库!A:D,4,0),"")</f>
        <v/>
      </c>
      <c r="D91" t="str">
        <f>IFERROR(VLOOKUP(发货清单!A91,数据库!A:C,3,0),"")</f>
        <v/>
      </c>
      <c r="E91">
        <f>发货清单!M91</f>
        <v>0</v>
      </c>
      <c r="F91">
        <f>发货清单!U91</f>
        <v>0</v>
      </c>
      <c r="G91" t="str">
        <f>IFERROR(VLOOKUP(发货清单!A91,数据库!A:B,2,0),"")</f>
        <v/>
      </c>
      <c r="H91">
        <f>发货清单!N91</f>
        <v>0</v>
      </c>
      <c r="I91" t="str">
        <f t="shared" si="9"/>
        <v/>
      </c>
      <c r="J91" t="str">
        <f t="shared" si="10"/>
        <v xml:space="preserve"> </v>
      </c>
      <c r="K91" t="str">
        <f t="shared" si="11"/>
        <v/>
      </c>
      <c r="L91" t="str">
        <f t="shared" si="12"/>
        <v/>
      </c>
      <c r="N91" s="245">
        <f t="shared" si="13"/>
        <v>0</v>
      </c>
      <c r="O91" s="245">
        <f t="shared" si="14"/>
        <v>0</v>
      </c>
      <c r="P91" t="str">
        <f t="shared" si="15"/>
        <v/>
      </c>
      <c r="Q91" t="str">
        <f>IFERROR(VLOOKUP(P91,数据库!C:M,11,0),"")</f>
        <v/>
      </c>
      <c r="R91" t="str">
        <f t="shared" si="16"/>
        <v/>
      </c>
      <c r="S91">
        <f t="shared" si="17"/>
        <v>0</v>
      </c>
    </row>
    <row r="92" spans="1:19">
      <c r="A92" t="str">
        <f>IF(B92=0,"",发货清单!A92*10^6+COUNTIF($D$2:D92,D92)*10^3+ROW(A91))</f>
        <v/>
      </c>
      <c r="B92">
        <f>IFERROR(LEFT(发货清单!H92,SEARCH("-",发货清单!H92)-1),发货清单!H92)</f>
        <v>0</v>
      </c>
      <c r="C92" t="str">
        <f>IFERROR(VLOOKUP(发货清单!A92,数据库!A:D,4,0),"")</f>
        <v/>
      </c>
      <c r="D92" t="str">
        <f>IFERROR(VLOOKUP(发货清单!A92,数据库!A:C,3,0),"")</f>
        <v/>
      </c>
      <c r="E92">
        <f>发货清单!M92</f>
        <v>0</v>
      </c>
      <c r="F92">
        <f>发货清单!U92</f>
        <v>0</v>
      </c>
      <c r="G92" t="str">
        <f>IFERROR(VLOOKUP(发货清单!A92,数据库!A:B,2,0),"")</f>
        <v/>
      </c>
      <c r="H92">
        <f>发货清单!N92</f>
        <v>0</v>
      </c>
      <c r="I92" t="str">
        <f t="shared" si="9"/>
        <v/>
      </c>
      <c r="J92" t="str">
        <f t="shared" si="10"/>
        <v xml:space="preserve"> </v>
      </c>
      <c r="K92" t="str">
        <f t="shared" si="11"/>
        <v/>
      </c>
      <c r="L92" t="str">
        <f t="shared" si="12"/>
        <v/>
      </c>
      <c r="N92" s="245">
        <f t="shared" si="13"/>
        <v>0</v>
      </c>
      <c r="O92" s="245">
        <f t="shared" si="14"/>
        <v>0</v>
      </c>
      <c r="P92" t="str">
        <f t="shared" si="15"/>
        <v/>
      </c>
      <c r="Q92" t="str">
        <f>IFERROR(VLOOKUP(P92,数据库!C:M,11,0),"")</f>
        <v/>
      </c>
      <c r="R92" t="str">
        <f t="shared" si="16"/>
        <v/>
      </c>
      <c r="S92">
        <f t="shared" si="17"/>
        <v>0</v>
      </c>
    </row>
    <row r="93" spans="1:19">
      <c r="A93" t="str">
        <f>IF(B93=0,"",发货清单!A93*10^6+COUNTIF($D$2:D93,D93)*10^3+ROW(A92))</f>
        <v/>
      </c>
      <c r="B93">
        <f>IFERROR(LEFT(发货清单!H93,SEARCH("-",发货清单!H93)-1),发货清单!H93)</f>
        <v>0</v>
      </c>
      <c r="C93" t="str">
        <f>IFERROR(VLOOKUP(发货清单!A93,数据库!A:D,4,0),"")</f>
        <v/>
      </c>
      <c r="D93" t="str">
        <f>IFERROR(VLOOKUP(发货清单!A93,数据库!A:C,3,0),"")</f>
        <v/>
      </c>
      <c r="E93">
        <f>发货清单!M93</f>
        <v>0</v>
      </c>
      <c r="F93">
        <f>发货清单!U93</f>
        <v>0</v>
      </c>
      <c r="G93" t="str">
        <f>IFERROR(VLOOKUP(发货清单!A93,数据库!A:B,2,0),"")</f>
        <v/>
      </c>
      <c r="H93">
        <f>发货清单!N93</f>
        <v>0</v>
      </c>
      <c r="I93" t="str">
        <f t="shared" si="9"/>
        <v/>
      </c>
      <c r="J93" t="str">
        <f t="shared" si="10"/>
        <v xml:space="preserve"> </v>
      </c>
      <c r="K93" t="str">
        <f t="shared" si="11"/>
        <v/>
      </c>
      <c r="L93" t="str">
        <f t="shared" si="12"/>
        <v/>
      </c>
      <c r="N93" s="245">
        <f t="shared" si="13"/>
        <v>0</v>
      </c>
      <c r="O93" s="245">
        <f t="shared" si="14"/>
        <v>0</v>
      </c>
      <c r="P93" t="str">
        <f t="shared" si="15"/>
        <v/>
      </c>
      <c r="Q93" t="str">
        <f>IFERROR(VLOOKUP(P93,数据库!C:M,11,0),"")</f>
        <v/>
      </c>
      <c r="R93" t="str">
        <f t="shared" si="16"/>
        <v/>
      </c>
      <c r="S93">
        <f t="shared" si="17"/>
        <v>0</v>
      </c>
    </row>
    <row r="94" spans="1:19">
      <c r="A94" t="str">
        <f>IF(B94=0,"",发货清单!A94*10^6+COUNTIF($D$2:D94,D94)*10^3+ROW(A93))</f>
        <v/>
      </c>
      <c r="B94">
        <f>IFERROR(LEFT(发货清单!H94,SEARCH("-",发货清单!H94)-1),发货清单!H94)</f>
        <v>0</v>
      </c>
      <c r="C94" t="str">
        <f>IFERROR(VLOOKUP(发货清单!A94,数据库!A:D,4,0),"")</f>
        <v/>
      </c>
      <c r="D94" t="str">
        <f>IFERROR(VLOOKUP(发货清单!A94,数据库!A:C,3,0),"")</f>
        <v/>
      </c>
      <c r="E94">
        <f>发货清单!M94</f>
        <v>0</v>
      </c>
      <c r="F94">
        <f>发货清单!U94</f>
        <v>0</v>
      </c>
      <c r="G94" t="str">
        <f>IFERROR(VLOOKUP(发货清单!A94,数据库!A:B,2,0),"")</f>
        <v/>
      </c>
      <c r="H94">
        <f>发货清单!N94</f>
        <v>0</v>
      </c>
      <c r="I94" t="str">
        <f t="shared" si="9"/>
        <v/>
      </c>
      <c r="J94" t="str">
        <f t="shared" si="10"/>
        <v xml:space="preserve"> </v>
      </c>
      <c r="K94" t="str">
        <f t="shared" si="11"/>
        <v/>
      </c>
      <c r="L94" t="str">
        <f t="shared" si="12"/>
        <v/>
      </c>
      <c r="N94" s="245">
        <f t="shared" si="13"/>
        <v>0</v>
      </c>
      <c r="O94" s="245">
        <f t="shared" si="14"/>
        <v>0</v>
      </c>
      <c r="P94" t="str">
        <f t="shared" si="15"/>
        <v/>
      </c>
      <c r="Q94" t="str">
        <f>IFERROR(VLOOKUP(P94,数据库!C:M,11,0),"")</f>
        <v/>
      </c>
      <c r="R94" t="str">
        <f t="shared" si="16"/>
        <v/>
      </c>
      <c r="S94">
        <f t="shared" si="17"/>
        <v>0</v>
      </c>
    </row>
    <row r="95" spans="1:19">
      <c r="A95" t="str">
        <f>IF(B95=0,"",发货清单!A95*10^6+COUNTIF($D$2:D95,D95)*10^3+ROW(A94))</f>
        <v/>
      </c>
      <c r="B95">
        <f>IFERROR(LEFT(发货清单!H95,SEARCH("-",发货清单!H95)-1),发货清单!H95)</f>
        <v>0</v>
      </c>
      <c r="C95" t="str">
        <f>IFERROR(VLOOKUP(发货清单!A95,数据库!A:D,4,0),"")</f>
        <v/>
      </c>
      <c r="D95" t="str">
        <f>IFERROR(VLOOKUP(发货清单!A95,数据库!A:C,3,0),"")</f>
        <v/>
      </c>
      <c r="E95">
        <f>发货清单!M95</f>
        <v>0</v>
      </c>
      <c r="F95">
        <f>发货清单!U95</f>
        <v>0</v>
      </c>
      <c r="G95" t="str">
        <f>IFERROR(VLOOKUP(发货清单!A95,数据库!A:B,2,0),"")</f>
        <v/>
      </c>
      <c r="H95">
        <f>发货清单!N95</f>
        <v>0</v>
      </c>
      <c r="I95" t="str">
        <f t="shared" si="9"/>
        <v/>
      </c>
      <c r="J95" t="str">
        <f t="shared" si="10"/>
        <v xml:space="preserve"> </v>
      </c>
      <c r="K95" t="str">
        <f t="shared" si="11"/>
        <v/>
      </c>
      <c r="L95" t="str">
        <f t="shared" si="12"/>
        <v/>
      </c>
      <c r="N95" s="245">
        <f t="shared" si="13"/>
        <v>0</v>
      </c>
      <c r="O95" s="245">
        <f t="shared" si="14"/>
        <v>0</v>
      </c>
      <c r="P95" t="str">
        <f t="shared" si="15"/>
        <v/>
      </c>
      <c r="Q95" t="str">
        <f>IFERROR(VLOOKUP(P95,数据库!C:M,11,0),"")</f>
        <v/>
      </c>
      <c r="R95" t="str">
        <f t="shared" si="16"/>
        <v/>
      </c>
      <c r="S95">
        <f t="shared" si="17"/>
        <v>0</v>
      </c>
    </row>
    <row r="96" spans="1:19">
      <c r="A96" t="str">
        <f>IF(B96=0,"",发货清单!A96*10^6+COUNTIF($D$2:D96,D96)*10^3+ROW(A95))</f>
        <v/>
      </c>
      <c r="B96">
        <f>IFERROR(LEFT(发货清单!H96,SEARCH("-",发货清单!H96)-1),发货清单!H96)</f>
        <v>0</v>
      </c>
      <c r="C96" t="str">
        <f>IFERROR(VLOOKUP(发货清单!A96,数据库!A:D,4,0),"")</f>
        <v/>
      </c>
      <c r="D96" t="str">
        <f>IFERROR(VLOOKUP(发货清单!A96,数据库!A:C,3,0),"")</f>
        <v/>
      </c>
      <c r="E96">
        <f>发货清单!M96</f>
        <v>0</v>
      </c>
      <c r="F96">
        <f>发货清单!U96</f>
        <v>0</v>
      </c>
      <c r="G96" t="str">
        <f>IFERROR(VLOOKUP(发货清单!A96,数据库!A:B,2,0),"")</f>
        <v/>
      </c>
      <c r="H96">
        <f>发货清单!N96</f>
        <v>0</v>
      </c>
      <c r="I96" t="str">
        <f t="shared" si="9"/>
        <v/>
      </c>
      <c r="J96" t="str">
        <f t="shared" si="10"/>
        <v xml:space="preserve"> </v>
      </c>
      <c r="K96" t="str">
        <f t="shared" si="11"/>
        <v/>
      </c>
      <c r="L96" t="str">
        <f t="shared" si="12"/>
        <v/>
      </c>
      <c r="N96" s="245">
        <f t="shared" si="13"/>
        <v>0</v>
      </c>
      <c r="O96" s="245">
        <f t="shared" si="14"/>
        <v>0</v>
      </c>
      <c r="P96" t="str">
        <f t="shared" si="15"/>
        <v/>
      </c>
      <c r="Q96" t="str">
        <f>IFERROR(VLOOKUP(P96,数据库!C:M,11,0),"")</f>
        <v/>
      </c>
      <c r="R96" t="str">
        <f t="shared" si="16"/>
        <v/>
      </c>
      <c r="S96">
        <f t="shared" si="17"/>
        <v>0</v>
      </c>
    </row>
    <row r="97" spans="1:19">
      <c r="A97" t="str">
        <f>IF(B97=0,"",发货清单!A97*10^6+COUNTIF($D$2:D97,D97)*10^3+ROW(A96))</f>
        <v/>
      </c>
      <c r="B97">
        <f>IFERROR(LEFT(发货清单!H97,SEARCH("-",发货清单!H97)-1),发货清单!H97)</f>
        <v>0</v>
      </c>
      <c r="C97" t="str">
        <f>IFERROR(VLOOKUP(发货清单!A97,数据库!A:D,4,0),"")</f>
        <v/>
      </c>
      <c r="D97" t="str">
        <f>IFERROR(VLOOKUP(发货清单!A97,数据库!A:C,3,0),"")</f>
        <v/>
      </c>
      <c r="E97">
        <f>发货清单!M97</f>
        <v>0</v>
      </c>
      <c r="F97">
        <f>发货清单!U97</f>
        <v>0</v>
      </c>
      <c r="G97" t="str">
        <f>IFERROR(VLOOKUP(发货清单!A97,数据库!A:B,2,0),"")</f>
        <v/>
      </c>
      <c r="H97">
        <f>发货清单!N97</f>
        <v>0</v>
      </c>
      <c r="I97" t="str">
        <f t="shared" si="9"/>
        <v/>
      </c>
      <c r="J97" t="str">
        <f t="shared" si="10"/>
        <v xml:space="preserve"> </v>
      </c>
      <c r="K97" t="str">
        <f t="shared" si="11"/>
        <v/>
      </c>
      <c r="L97" t="str">
        <f t="shared" si="12"/>
        <v/>
      </c>
      <c r="N97" s="245">
        <f t="shared" si="13"/>
        <v>0</v>
      </c>
      <c r="O97" s="245">
        <f t="shared" si="14"/>
        <v>0</v>
      </c>
      <c r="P97" t="str">
        <f t="shared" si="15"/>
        <v/>
      </c>
      <c r="Q97" t="str">
        <f>IFERROR(VLOOKUP(P97,数据库!C:M,11,0),"")</f>
        <v/>
      </c>
      <c r="R97" t="str">
        <f t="shared" si="16"/>
        <v/>
      </c>
      <c r="S97">
        <f t="shared" si="17"/>
        <v>0</v>
      </c>
    </row>
    <row r="98" spans="1:19">
      <c r="A98" t="str">
        <f>IF(B98=0,"",发货清单!A98*10^6+COUNTIF($D$2:D98,D98)*10^3+ROW(A97))</f>
        <v/>
      </c>
      <c r="B98">
        <f>IFERROR(LEFT(发货清单!H98,SEARCH("-",发货清单!H98)-1),发货清单!H98)</f>
        <v>0</v>
      </c>
      <c r="C98" t="str">
        <f>IFERROR(VLOOKUP(发货清单!A98,数据库!A:D,4,0),"")</f>
        <v/>
      </c>
      <c r="D98" t="str">
        <f>IFERROR(VLOOKUP(发货清单!A98,数据库!A:C,3,0),"")</f>
        <v/>
      </c>
      <c r="E98">
        <f>发货清单!M98</f>
        <v>0</v>
      </c>
      <c r="F98">
        <f>发货清单!U98</f>
        <v>0</v>
      </c>
      <c r="G98" t="str">
        <f>IFERROR(VLOOKUP(发货清单!A98,数据库!A:B,2,0),"")</f>
        <v/>
      </c>
      <c r="H98">
        <f>发货清单!N98</f>
        <v>0</v>
      </c>
      <c r="I98" t="str">
        <f t="shared" si="9"/>
        <v/>
      </c>
      <c r="J98" t="str">
        <f t="shared" si="10"/>
        <v xml:space="preserve"> </v>
      </c>
      <c r="K98" t="str">
        <f t="shared" si="11"/>
        <v/>
      </c>
      <c r="L98" t="str">
        <f t="shared" si="12"/>
        <v/>
      </c>
      <c r="N98" s="245">
        <f t="shared" si="13"/>
        <v>0</v>
      </c>
      <c r="O98" s="245">
        <f t="shared" si="14"/>
        <v>0</v>
      </c>
      <c r="P98" t="str">
        <f t="shared" si="15"/>
        <v/>
      </c>
      <c r="Q98" t="str">
        <f>IFERROR(VLOOKUP(P98,数据库!C:M,11,0),"")</f>
        <v/>
      </c>
      <c r="R98" t="str">
        <f t="shared" si="16"/>
        <v/>
      </c>
      <c r="S98">
        <f t="shared" si="17"/>
        <v>0</v>
      </c>
    </row>
    <row r="99" spans="1:19">
      <c r="A99" t="str">
        <f>IF(B99=0,"",发货清单!A99*10^6+COUNTIF($D$2:D99,D99)*10^3+ROW(A98))</f>
        <v/>
      </c>
      <c r="B99">
        <f>IFERROR(LEFT(发货清单!H99,SEARCH("-",发货清单!H99)-1),发货清单!H99)</f>
        <v>0</v>
      </c>
      <c r="C99" t="str">
        <f>IFERROR(VLOOKUP(发货清单!A99,数据库!A:D,4,0),"")</f>
        <v/>
      </c>
      <c r="D99" t="str">
        <f>IFERROR(VLOOKUP(发货清单!A99,数据库!A:C,3,0),"")</f>
        <v/>
      </c>
      <c r="E99">
        <f>发货清单!M99</f>
        <v>0</v>
      </c>
      <c r="F99">
        <f>发货清单!U99</f>
        <v>0</v>
      </c>
      <c r="G99" t="str">
        <f>IFERROR(VLOOKUP(发货清单!A99,数据库!A:B,2,0),"")</f>
        <v/>
      </c>
      <c r="H99">
        <f>发货清单!N99</f>
        <v>0</v>
      </c>
      <c r="I99" t="str">
        <f t="shared" si="9"/>
        <v/>
      </c>
      <c r="J99" t="str">
        <f t="shared" si="10"/>
        <v xml:space="preserve"> </v>
      </c>
      <c r="K99" t="str">
        <f t="shared" si="11"/>
        <v/>
      </c>
      <c r="L99" t="str">
        <f t="shared" si="12"/>
        <v/>
      </c>
      <c r="N99" s="245">
        <f t="shared" si="13"/>
        <v>0</v>
      </c>
      <c r="O99" s="245">
        <f t="shared" si="14"/>
        <v>0</v>
      </c>
      <c r="P99" t="str">
        <f t="shared" si="15"/>
        <v/>
      </c>
      <c r="Q99" t="str">
        <f>IFERROR(VLOOKUP(P99,数据库!C:M,11,0),"")</f>
        <v/>
      </c>
      <c r="R99" t="str">
        <f t="shared" si="16"/>
        <v/>
      </c>
      <c r="S99">
        <f t="shared" si="17"/>
        <v>0</v>
      </c>
    </row>
    <row r="100" spans="1:19">
      <c r="A100" t="str">
        <f>IF(B100=0,"",发货清单!A100*10^6+COUNTIF($D$2:D100,D100)*10^3+ROW(A99))</f>
        <v/>
      </c>
      <c r="B100">
        <f>IFERROR(LEFT(发货清单!H100,SEARCH("-",发货清单!H100)-1),发货清单!H100)</f>
        <v>0</v>
      </c>
      <c r="C100" t="str">
        <f>IFERROR(VLOOKUP(发货清单!A100,数据库!A:D,4,0),"")</f>
        <v/>
      </c>
      <c r="D100" t="str">
        <f>IFERROR(VLOOKUP(发货清单!A100,数据库!A:C,3,0),"")</f>
        <v/>
      </c>
      <c r="E100">
        <f>发货清单!M100</f>
        <v>0</v>
      </c>
      <c r="F100">
        <f>发货清单!U100</f>
        <v>0</v>
      </c>
      <c r="G100" t="str">
        <f>IFERROR(VLOOKUP(发货清单!A100,数据库!A:B,2,0),"")</f>
        <v/>
      </c>
      <c r="H100">
        <f>发货清单!N100</f>
        <v>0</v>
      </c>
      <c r="I100" t="str">
        <f t="shared" si="9"/>
        <v/>
      </c>
      <c r="J100" t="str">
        <f t="shared" si="10"/>
        <v xml:space="preserve"> </v>
      </c>
      <c r="K100" t="str">
        <f t="shared" si="11"/>
        <v/>
      </c>
      <c r="L100" t="str">
        <f t="shared" si="12"/>
        <v/>
      </c>
      <c r="N100" s="245">
        <f t="shared" si="13"/>
        <v>0</v>
      </c>
      <c r="O100" s="245">
        <f t="shared" si="14"/>
        <v>0</v>
      </c>
      <c r="P100" t="str">
        <f t="shared" si="15"/>
        <v/>
      </c>
      <c r="Q100" t="str">
        <f>IFERROR(VLOOKUP(P100,数据库!C:M,11,0),"")</f>
        <v/>
      </c>
      <c r="R100" t="str">
        <f t="shared" si="16"/>
        <v/>
      </c>
      <c r="S100">
        <f t="shared" si="17"/>
        <v>0</v>
      </c>
    </row>
    <row r="101" spans="1:19">
      <c r="A101" t="str">
        <f>IF(B101=0,"",发货清单!A101*10^6+COUNTIF($D$2:D101,D101)*10^3+ROW(A100))</f>
        <v/>
      </c>
      <c r="B101">
        <f>IFERROR(LEFT(发货清单!H101,SEARCH("-",发货清单!H101)-1),发货清单!H101)</f>
        <v>0</v>
      </c>
      <c r="C101" t="str">
        <f>IFERROR(VLOOKUP(发货清单!A101,数据库!A:D,4,0),"")</f>
        <v/>
      </c>
      <c r="D101" t="str">
        <f>IFERROR(VLOOKUP(发货清单!A101,数据库!A:C,3,0),"")</f>
        <v/>
      </c>
      <c r="E101">
        <f>发货清单!M101</f>
        <v>0</v>
      </c>
      <c r="F101">
        <f>发货清单!U101</f>
        <v>0</v>
      </c>
      <c r="G101" t="str">
        <f>IFERROR(VLOOKUP(发货清单!A101,数据库!A:B,2,0),"")</f>
        <v/>
      </c>
      <c r="H101">
        <f>发货清单!N101</f>
        <v>0</v>
      </c>
      <c r="I101" t="str">
        <f t="shared" si="9"/>
        <v/>
      </c>
      <c r="J101" t="str">
        <f t="shared" si="10"/>
        <v xml:space="preserve"> </v>
      </c>
      <c r="K101" t="str">
        <f t="shared" si="11"/>
        <v/>
      </c>
      <c r="L101" t="str">
        <f t="shared" si="12"/>
        <v/>
      </c>
      <c r="N101" s="245">
        <f t="shared" si="13"/>
        <v>0</v>
      </c>
      <c r="O101" s="245">
        <f t="shared" si="14"/>
        <v>0</v>
      </c>
      <c r="P101" t="str">
        <f t="shared" si="15"/>
        <v/>
      </c>
      <c r="Q101" t="str">
        <f>IFERROR(VLOOKUP(P101,数据库!C:M,11,0),"")</f>
        <v/>
      </c>
      <c r="R101" t="str">
        <f t="shared" si="16"/>
        <v/>
      </c>
      <c r="S101">
        <f t="shared" si="17"/>
        <v>0</v>
      </c>
    </row>
    <row r="102" spans="1:19">
      <c r="A102" t="str">
        <f>IF(B102=0,"",发货清单!A102*10^6+COUNTIF($D$2:D102,D102)*10^3+ROW(A101))</f>
        <v/>
      </c>
      <c r="B102">
        <f>IFERROR(LEFT(发货清单!H102,SEARCH("-",发货清单!H102)-1),发货清单!H102)</f>
        <v>0</v>
      </c>
      <c r="C102" t="str">
        <f>IFERROR(VLOOKUP(发货清单!A102,数据库!A:D,4,0),"")</f>
        <v/>
      </c>
      <c r="D102" t="str">
        <f>IFERROR(VLOOKUP(发货清单!A102,数据库!A:C,3,0),"")</f>
        <v/>
      </c>
      <c r="E102">
        <f>发货清单!M102</f>
        <v>0</v>
      </c>
      <c r="F102">
        <f>发货清单!U102</f>
        <v>0</v>
      </c>
      <c r="G102" t="str">
        <f>IFERROR(VLOOKUP(发货清单!A102,数据库!A:B,2,0),"")</f>
        <v/>
      </c>
      <c r="H102">
        <f>发货清单!N102</f>
        <v>0</v>
      </c>
      <c r="I102" t="str">
        <f t="shared" si="9"/>
        <v/>
      </c>
      <c r="J102" t="str">
        <f t="shared" si="10"/>
        <v xml:space="preserve"> </v>
      </c>
      <c r="K102" t="str">
        <f t="shared" si="11"/>
        <v/>
      </c>
      <c r="L102" t="str">
        <f t="shared" si="12"/>
        <v/>
      </c>
      <c r="N102" s="245">
        <f t="shared" si="13"/>
        <v>0</v>
      </c>
      <c r="O102" s="245">
        <f t="shared" si="14"/>
        <v>0</v>
      </c>
      <c r="P102" t="str">
        <f t="shared" si="15"/>
        <v/>
      </c>
      <c r="Q102" t="str">
        <f>IFERROR(VLOOKUP(P102,数据库!C:M,11,0),"")</f>
        <v/>
      </c>
      <c r="R102" t="str">
        <f t="shared" si="16"/>
        <v/>
      </c>
      <c r="S102">
        <f t="shared" si="17"/>
        <v>0</v>
      </c>
    </row>
    <row r="103" spans="1:19">
      <c r="A103" t="str">
        <f>IF(B103=0,"",发货清单!A103*10^6+COUNTIF($D$2:D103,D103)*10^3+ROW(A102))</f>
        <v/>
      </c>
      <c r="B103">
        <f>IFERROR(LEFT(发货清单!H103,SEARCH("-",发货清单!H103)-1),发货清单!H103)</f>
        <v>0</v>
      </c>
      <c r="C103" t="str">
        <f>IFERROR(VLOOKUP(发货清单!A103,数据库!A:D,4,0),"")</f>
        <v/>
      </c>
      <c r="D103" t="str">
        <f>IFERROR(VLOOKUP(发货清单!A103,数据库!A:C,3,0),"")</f>
        <v/>
      </c>
      <c r="E103">
        <f>发货清单!M103</f>
        <v>0</v>
      </c>
      <c r="F103">
        <f>发货清单!U103</f>
        <v>0</v>
      </c>
      <c r="G103" t="str">
        <f>IFERROR(VLOOKUP(发货清单!A103,数据库!A:B,2,0),"")</f>
        <v/>
      </c>
      <c r="H103">
        <f>发货清单!N103</f>
        <v>0</v>
      </c>
      <c r="I103" t="str">
        <f t="shared" si="9"/>
        <v/>
      </c>
      <c r="J103" t="str">
        <f t="shared" si="10"/>
        <v xml:space="preserve"> </v>
      </c>
      <c r="K103" t="str">
        <f t="shared" si="11"/>
        <v/>
      </c>
      <c r="L103" t="str">
        <f t="shared" si="12"/>
        <v/>
      </c>
      <c r="N103" s="245">
        <f t="shared" si="13"/>
        <v>0</v>
      </c>
      <c r="O103" s="245">
        <f t="shared" si="14"/>
        <v>0</v>
      </c>
      <c r="P103" t="str">
        <f t="shared" si="15"/>
        <v/>
      </c>
      <c r="Q103" t="str">
        <f>IFERROR(VLOOKUP(P103,数据库!C:M,11,0),"")</f>
        <v/>
      </c>
      <c r="R103" t="str">
        <f t="shared" si="16"/>
        <v/>
      </c>
      <c r="S103">
        <f t="shared" si="17"/>
        <v>0</v>
      </c>
    </row>
    <row r="104" spans="1:19">
      <c r="A104" t="str">
        <f>IF(B104=0,"",发货清单!A104*10^6+COUNTIF($D$2:D104,D104)*10^3+ROW(A103))</f>
        <v/>
      </c>
      <c r="B104">
        <f>IFERROR(LEFT(发货清单!H104,SEARCH("-",发货清单!H104)-1),发货清单!H104)</f>
        <v>0</v>
      </c>
      <c r="C104" t="str">
        <f>IFERROR(VLOOKUP(发货清单!A104,数据库!A:D,4,0),"")</f>
        <v/>
      </c>
      <c r="D104" t="str">
        <f>IFERROR(VLOOKUP(发货清单!A104,数据库!A:C,3,0),"")</f>
        <v/>
      </c>
      <c r="E104">
        <f>发货清单!M104</f>
        <v>0</v>
      </c>
      <c r="F104">
        <f>发货清单!U104</f>
        <v>0</v>
      </c>
      <c r="G104" t="str">
        <f>IFERROR(VLOOKUP(发货清单!A104,数据库!A:B,2,0),"")</f>
        <v/>
      </c>
      <c r="H104">
        <f>发货清单!N104</f>
        <v>0</v>
      </c>
      <c r="I104" t="str">
        <f t="shared" si="9"/>
        <v/>
      </c>
      <c r="J104" t="str">
        <f t="shared" si="10"/>
        <v xml:space="preserve"> </v>
      </c>
      <c r="K104" t="str">
        <f t="shared" si="11"/>
        <v/>
      </c>
      <c r="L104" t="str">
        <f t="shared" si="12"/>
        <v/>
      </c>
      <c r="N104" s="245">
        <f t="shared" si="13"/>
        <v>0</v>
      </c>
      <c r="O104" s="245">
        <f t="shared" si="14"/>
        <v>0</v>
      </c>
      <c r="P104" t="str">
        <f t="shared" si="15"/>
        <v/>
      </c>
      <c r="Q104" t="str">
        <f>IFERROR(VLOOKUP(P104,数据库!C:M,11,0),"")</f>
        <v/>
      </c>
      <c r="R104" t="str">
        <f t="shared" si="16"/>
        <v/>
      </c>
      <c r="S104">
        <f t="shared" si="17"/>
        <v>0</v>
      </c>
    </row>
    <row r="105" spans="1:19">
      <c r="A105" t="str">
        <f>IF(B105=0,"",发货清单!A105*10^6+COUNTIF($D$2:D105,D105)*10^3+ROW(A104))</f>
        <v/>
      </c>
      <c r="B105">
        <f>IFERROR(LEFT(发货清单!H105,SEARCH("-",发货清单!H105)-1),发货清单!H105)</f>
        <v>0</v>
      </c>
      <c r="C105" t="str">
        <f>IFERROR(VLOOKUP(发货清单!A105,数据库!A:D,4,0),"")</f>
        <v/>
      </c>
      <c r="D105" t="str">
        <f>IFERROR(VLOOKUP(发货清单!A105,数据库!A:C,3,0),"")</f>
        <v/>
      </c>
      <c r="E105">
        <f>发货清单!M105</f>
        <v>0</v>
      </c>
      <c r="F105">
        <f>发货清单!U105</f>
        <v>0</v>
      </c>
      <c r="G105" t="str">
        <f>IFERROR(VLOOKUP(发货清单!A105,数据库!A:B,2,0),"")</f>
        <v/>
      </c>
      <c r="H105">
        <f>发货清单!N105</f>
        <v>0</v>
      </c>
      <c r="I105" t="str">
        <f t="shared" si="9"/>
        <v/>
      </c>
      <c r="J105" t="str">
        <f t="shared" si="10"/>
        <v xml:space="preserve"> </v>
      </c>
      <c r="K105" t="str">
        <f t="shared" si="11"/>
        <v/>
      </c>
      <c r="L105" t="str">
        <f t="shared" si="12"/>
        <v/>
      </c>
      <c r="N105" s="245">
        <f t="shared" si="13"/>
        <v>0</v>
      </c>
      <c r="O105" s="245">
        <f t="shared" si="14"/>
        <v>0</v>
      </c>
      <c r="P105" t="str">
        <f t="shared" si="15"/>
        <v/>
      </c>
      <c r="Q105" t="str">
        <f>IFERROR(VLOOKUP(P105,数据库!C:M,11,0),"")</f>
        <v/>
      </c>
      <c r="R105" t="str">
        <f t="shared" si="16"/>
        <v/>
      </c>
      <c r="S105">
        <f t="shared" si="17"/>
        <v>0</v>
      </c>
    </row>
    <row r="106" spans="1:19">
      <c r="A106" t="str">
        <f>IF(B106=0,"",发货清单!A106*10^6+COUNTIF($D$2:D106,D106)*10^3+ROW(A105))</f>
        <v/>
      </c>
      <c r="B106">
        <f>IFERROR(LEFT(发货清单!H106,SEARCH("-",发货清单!H106)-1),发货清单!H106)</f>
        <v>0</v>
      </c>
      <c r="C106" t="str">
        <f>IFERROR(VLOOKUP(发货清单!A106,数据库!A:D,4,0),"")</f>
        <v/>
      </c>
      <c r="D106" t="str">
        <f>IFERROR(VLOOKUP(发货清单!A106,数据库!A:C,3,0),"")</f>
        <v/>
      </c>
      <c r="E106">
        <f>发货清单!M106</f>
        <v>0</v>
      </c>
      <c r="F106">
        <f>发货清单!U106</f>
        <v>0</v>
      </c>
      <c r="G106" t="str">
        <f>IFERROR(VLOOKUP(发货清单!A106,数据库!A:B,2,0),"")</f>
        <v/>
      </c>
      <c r="H106">
        <f>发货清单!N106</f>
        <v>0</v>
      </c>
      <c r="I106" t="str">
        <f t="shared" si="9"/>
        <v/>
      </c>
      <c r="J106" t="str">
        <f t="shared" si="10"/>
        <v xml:space="preserve"> </v>
      </c>
      <c r="K106" t="str">
        <f t="shared" si="11"/>
        <v/>
      </c>
      <c r="L106" t="str">
        <f t="shared" si="12"/>
        <v/>
      </c>
      <c r="N106" s="245">
        <f t="shared" si="13"/>
        <v>0</v>
      </c>
      <c r="O106" s="245">
        <f t="shared" si="14"/>
        <v>0</v>
      </c>
      <c r="P106" t="str">
        <f t="shared" si="15"/>
        <v/>
      </c>
      <c r="Q106" t="str">
        <f>IFERROR(VLOOKUP(P106,数据库!C:M,11,0),"")</f>
        <v/>
      </c>
      <c r="R106" t="str">
        <f t="shared" si="16"/>
        <v/>
      </c>
      <c r="S106">
        <f t="shared" si="17"/>
        <v>0</v>
      </c>
    </row>
    <row r="107" spans="1:19">
      <c r="A107" t="str">
        <f>IF(B107=0,"",发货清单!A107*10^6+COUNTIF($D$2:D107,D107)*10^3+ROW(A106))</f>
        <v/>
      </c>
      <c r="B107">
        <f>IFERROR(LEFT(发货清单!H107,SEARCH("-",发货清单!H107)-1),发货清单!H107)</f>
        <v>0</v>
      </c>
      <c r="C107" t="str">
        <f>IFERROR(VLOOKUP(发货清单!A107,数据库!A:D,4,0),"")</f>
        <v/>
      </c>
      <c r="D107" t="str">
        <f>IFERROR(VLOOKUP(发货清单!A107,数据库!A:C,3,0),"")</f>
        <v/>
      </c>
      <c r="E107">
        <f>发货清单!M107</f>
        <v>0</v>
      </c>
      <c r="F107">
        <f>发货清单!U107</f>
        <v>0</v>
      </c>
      <c r="G107" t="str">
        <f>IFERROR(VLOOKUP(发货清单!A107,数据库!A:B,2,0),"")</f>
        <v/>
      </c>
      <c r="H107">
        <f>发货清单!N107</f>
        <v>0</v>
      </c>
      <c r="I107" t="str">
        <f t="shared" si="9"/>
        <v/>
      </c>
      <c r="J107" t="str">
        <f t="shared" si="10"/>
        <v xml:space="preserve"> </v>
      </c>
      <c r="K107" t="str">
        <f t="shared" si="11"/>
        <v/>
      </c>
      <c r="L107" t="str">
        <f t="shared" si="12"/>
        <v/>
      </c>
      <c r="N107" s="245">
        <f t="shared" si="13"/>
        <v>0</v>
      </c>
      <c r="O107" s="245">
        <f t="shared" si="14"/>
        <v>0</v>
      </c>
      <c r="P107" t="str">
        <f t="shared" si="15"/>
        <v/>
      </c>
      <c r="Q107" t="str">
        <f>IFERROR(VLOOKUP(P107,数据库!C:M,11,0),"")</f>
        <v/>
      </c>
      <c r="R107" t="str">
        <f t="shared" si="16"/>
        <v/>
      </c>
      <c r="S107">
        <f t="shared" si="17"/>
        <v>0</v>
      </c>
    </row>
    <row r="108" spans="1:19">
      <c r="A108" t="str">
        <f>IF(B108=0,"",发货清单!A108*10^6+COUNTIF($D$2:D108,D108)*10^3+ROW(A107))</f>
        <v/>
      </c>
      <c r="B108">
        <f>IFERROR(LEFT(发货清单!H108,SEARCH("-",发货清单!H108)-1),发货清单!H108)</f>
        <v>0</v>
      </c>
      <c r="C108" t="str">
        <f>IFERROR(VLOOKUP(发货清单!A108,数据库!A:D,4,0),"")</f>
        <v/>
      </c>
      <c r="D108" t="str">
        <f>IFERROR(VLOOKUP(发货清单!A108,数据库!A:C,3,0),"")</f>
        <v/>
      </c>
      <c r="E108">
        <f>发货清单!M108</f>
        <v>0</v>
      </c>
      <c r="F108">
        <f>发货清单!U108</f>
        <v>0</v>
      </c>
      <c r="G108" t="str">
        <f>IFERROR(VLOOKUP(发货清单!A108,数据库!A:B,2,0),"")</f>
        <v/>
      </c>
      <c r="H108">
        <f>发货清单!N108</f>
        <v>0</v>
      </c>
      <c r="I108" t="str">
        <f t="shared" si="9"/>
        <v/>
      </c>
      <c r="J108" t="str">
        <f t="shared" si="10"/>
        <v xml:space="preserve"> </v>
      </c>
      <c r="K108" t="str">
        <f t="shared" si="11"/>
        <v/>
      </c>
      <c r="L108" t="str">
        <f t="shared" si="12"/>
        <v/>
      </c>
      <c r="N108" s="245">
        <f t="shared" si="13"/>
        <v>0</v>
      </c>
      <c r="O108" s="245">
        <f t="shared" si="14"/>
        <v>0</v>
      </c>
      <c r="P108" t="str">
        <f t="shared" si="15"/>
        <v/>
      </c>
      <c r="Q108" t="str">
        <f>IFERROR(VLOOKUP(P108,数据库!C:M,11,0),"")</f>
        <v/>
      </c>
      <c r="R108" t="str">
        <f t="shared" si="16"/>
        <v/>
      </c>
      <c r="S108">
        <f t="shared" si="17"/>
        <v>0</v>
      </c>
    </row>
    <row r="109" spans="1:19">
      <c r="A109" t="str">
        <f>IF(B109=0,"",发货清单!A109*10^6+COUNTIF($D$2:D109,D109)*10^3+ROW(A108))</f>
        <v/>
      </c>
      <c r="B109">
        <f>IFERROR(LEFT(发货清单!H109,SEARCH("-",发货清单!H109)-1),发货清单!H109)</f>
        <v>0</v>
      </c>
      <c r="C109" t="str">
        <f>IFERROR(VLOOKUP(发货清单!A109,数据库!A:D,4,0),"")</f>
        <v/>
      </c>
      <c r="D109" t="str">
        <f>IFERROR(VLOOKUP(发货清单!A109,数据库!A:C,3,0),"")</f>
        <v/>
      </c>
      <c r="E109">
        <f>发货清单!M109</f>
        <v>0</v>
      </c>
      <c r="F109">
        <f>发货清单!U109</f>
        <v>0</v>
      </c>
      <c r="G109" t="str">
        <f>IFERROR(VLOOKUP(发货清单!A109,数据库!A:B,2,0),"")</f>
        <v/>
      </c>
      <c r="H109">
        <f>发货清单!N109</f>
        <v>0</v>
      </c>
      <c r="I109" t="str">
        <f t="shared" si="9"/>
        <v/>
      </c>
      <c r="J109" t="str">
        <f t="shared" si="10"/>
        <v xml:space="preserve"> </v>
      </c>
      <c r="K109" t="str">
        <f t="shared" si="11"/>
        <v/>
      </c>
      <c r="L109" t="str">
        <f t="shared" si="12"/>
        <v/>
      </c>
      <c r="N109" s="245">
        <f t="shared" si="13"/>
        <v>0</v>
      </c>
      <c r="O109" s="245">
        <f t="shared" si="14"/>
        <v>0</v>
      </c>
      <c r="P109" t="str">
        <f t="shared" si="15"/>
        <v/>
      </c>
      <c r="Q109" t="str">
        <f>IFERROR(VLOOKUP(P109,数据库!C:M,11,0),"")</f>
        <v/>
      </c>
      <c r="R109" t="str">
        <f t="shared" si="16"/>
        <v/>
      </c>
      <c r="S109">
        <f t="shared" si="17"/>
        <v>0</v>
      </c>
    </row>
    <row r="110" spans="1:19">
      <c r="A110" t="str">
        <f>IF(B110=0,"",发货清单!A110*10^6+COUNTIF($D$2:D110,D110)*10^3+ROW(A109))</f>
        <v/>
      </c>
      <c r="B110">
        <f>IFERROR(LEFT(发货清单!H110,SEARCH("-",发货清单!H110)-1),发货清单!H110)</f>
        <v>0</v>
      </c>
      <c r="C110" t="str">
        <f>IFERROR(VLOOKUP(发货清单!A110,数据库!A:D,4,0),"")</f>
        <v/>
      </c>
      <c r="D110" t="str">
        <f>IFERROR(VLOOKUP(发货清单!A110,数据库!A:C,3,0),"")</f>
        <v/>
      </c>
      <c r="E110">
        <f>发货清单!M110</f>
        <v>0</v>
      </c>
      <c r="F110">
        <f>发货清单!U110</f>
        <v>0</v>
      </c>
      <c r="G110" t="str">
        <f>IFERROR(VLOOKUP(发货清单!A110,数据库!A:B,2,0),"")</f>
        <v/>
      </c>
      <c r="H110">
        <f>发货清单!N110</f>
        <v>0</v>
      </c>
      <c r="I110" t="str">
        <f t="shared" si="9"/>
        <v/>
      </c>
      <c r="J110" t="str">
        <f t="shared" si="10"/>
        <v xml:space="preserve"> </v>
      </c>
      <c r="K110" t="str">
        <f t="shared" si="11"/>
        <v/>
      </c>
      <c r="L110" t="str">
        <f t="shared" si="12"/>
        <v/>
      </c>
      <c r="N110" s="245">
        <f t="shared" si="13"/>
        <v>0</v>
      </c>
      <c r="O110" s="245">
        <f t="shared" si="14"/>
        <v>0</v>
      </c>
      <c r="P110" t="str">
        <f t="shared" si="15"/>
        <v/>
      </c>
      <c r="Q110" t="str">
        <f>IFERROR(VLOOKUP(P110,数据库!C:M,11,0),"")</f>
        <v/>
      </c>
      <c r="R110" t="str">
        <f t="shared" si="16"/>
        <v/>
      </c>
      <c r="S110">
        <f t="shared" si="17"/>
        <v>0</v>
      </c>
    </row>
    <row r="111" spans="1:19">
      <c r="A111" t="str">
        <f>IF(B111=0,"",发货清单!A111*10^6+COUNTIF($D$2:D111,D111)*10^3+ROW(A110))</f>
        <v/>
      </c>
      <c r="B111">
        <f>IFERROR(LEFT(发货清单!H111,SEARCH("-",发货清单!H111)-1),发货清单!H111)</f>
        <v>0</v>
      </c>
      <c r="C111" t="str">
        <f>IFERROR(VLOOKUP(发货清单!A111,数据库!A:D,4,0),"")</f>
        <v/>
      </c>
      <c r="D111" t="str">
        <f>IFERROR(VLOOKUP(发货清单!A111,数据库!A:C,3,0),"")</f>
        <v/>
      </c>
      <c r="E111">
        <f>发货清单!M111</f>
        <v>0</v>
      </c>
      <c r="F111">
        <f>发货清单!U111</f>
        <v>0</v>
      </c>
      <c r="G111" t="str">
        <f>IFERROR(VLOOKUP(发货清单!A111,数据库!A:B,2,0),"")</f>
        <v/>
      </c>
      <c r="H111">
        <f>发货清单!N111</f>
        <v>0</v>
      </c>
      <c r="I111" t="str">
        <f t="shared" si="9"/>
        <v/>
      </c>
      <c r="J111" t="str">
        <f t="shared" si="10"/>
        <v xml:space="preserve"> </v>
      </c>
      <c r="K111" t="str">
        <f t="shared" si="11"/>
        <v/>
      </c>
      <c r="L111" t="str">
        <f t="shared" si="12"/>
        <v/>
      </c>
      <c r="N111" s="245">
        <f t="shared" si="13"/>
        <v>0</v>
      </c>
      <c r="O111" s="245">
        <f t="shared" si="14"/>
        <v>0</v>
      </c>
      <c r="P111" t="str">
        <f t="shared" si="15"/>
        <v/>
      </c>
      <c r="Q111" t="str">
        <f>IFERROR(VLOOKUP(P111,数据库!C:M,11,0),"")</f>
        <v/>
      </c>
      <c r="R111" t="str">
        <f t="shared" si="16"/>
        <v/>
      </c>
      <c r="S111">
        <f t="shared" si="17"/>
        <v>0</v>
      </c>
    </row>
    <row r="112" spans="1:19">
      <c r="A112" t="str">
        <f>IF(B112=0,"",发货清单!A112*10^6+COUNTIF($D$2:D112,D112)*10^3+ROW(A111))</f>
        <v/>
      </c>
      <c r="B112">
        <f>IFERROR(LEFT(发货清单!H112,SEARCH("-",发货清单!H112)-1),发货清单!H112)</f>
        <v>0</v>
      </c>
      <c r="C112" t="str">
        <f>IFERROR(VLOOKUP(发货清单!A112,数据库!A:D,4,0),"")</f>
        <v/>
      </c>
      <c r="D112" t="str">
        <f>IFERROR(VLOOKUP(发货清单!A112,数据库!A:C,3,0),"")</f>
        <v/>
      </c>
      <c r="E112">
        <f>发货清单!M112</f>
        <v>0</v>
      </c>
      <c r="F112">
        <f>发货清单!U112</f>
        <v>0</v>
      </c>
      <c r="G112" t="str">
        <f>IFERROR(VLOOKUP(发货清单!A112,数据库!A:B,2,0),"")</f>
        <v/>
      </c>
      <c r="H112">
        <f>发货清单!N112</f>
        <v>0</v>
      </c>
      <c r="I112" t="str">
        <f t="shared" si="9"/>
        <v/>
      </c>
      <c r="J112" t="str">
        <f t="shared" si="10"/>
        <v xml:space="preserve"> </v>
      </c>
      <c r="K112" t="str">
        <f t="shared" si="11"/>
        <v/>
      </c>
      <c r="L112" t="str">
        <f t="shared" si="12"/>
        <v/>
      </c>
      <c r="N112" s="245">
        <f t="shared" si="13"/>
        <v>0</v>
      </c>
      <c r="O112" s="245">
        <f t="shared" si="14"/>
        <v>0</v>
      </c>
      <c r="P112" t="str">
        <f t="shared" si="15"/>
        <v/>
      </c>
      <c r="Q112" t="str">
        <f>IFERROR(VLOOKUP(P112,数据库!C:M,11,0),"")</f>
        <v/>
      </c>
      <c r="R112" t="str">
        <f t="shared" si="16"/>
        <v/>
      </c>
      <c r="S112">
        <f t="shared" si="17"/>
        <v>0</v>
      </c>
    </row>
    <row r="113" spans="1:19">
      <c r="A113" t="str">
        <f>IF(B113=0,"",发货清单!A113*10^6+COUNTIF($D$2:D113,D113)*10^3+ROW(A112))</f>
        <v/>
      </c>
      <c r="B113">
        <f>IFERROR(LEFT(发货清单!H113,SEARCH("-",发货清单!H113)-1),发货清单!H113)</f>
        <v>0</v>
      </c>
      <c r="C113" t="str">
        <f>IFERROR(VLOOKUP(发货清单!A113,数据库!A:D,4,0),"")</f>
        <v/>
      </c>
      <c r="D113" t="str">
        <f>IFERROR(VLOOKUP(发货清单!A113,数据库!A:C,3,0),"")</f>
        <v/>
      </c>
      <c r="E113">
        <f>发货清单!M113</f>
        <v>0</v>
      </c>
      <c r="F113">
        <f>发货清单!U113</f>
        <v>0</v>
      </c>
      <c r="G113" t="str">
        <f>IFERROR(VLOOKUP(发货清单!A113,数据库!A:B,2,0),"")</f>
        <v/>
      </c>
      <c r="H113">
        <f>发货清单!N113</f>
        <v>0</v>
      </c>
      <c r="I113" t="str">
        <f t="shared" si="9"/>
        <v/>
      </c>
      <c r="J113" t="str">
        <f t="shared" si="10"/>
        <v xml:space="preserve"> </v>
      </c>
      <c r="K113" t="str">
        <f t="shared" si="11"/>
        <v/>
      </c>
      <c r="L113" t="str">
        <f t="shared" si="12"/>
        <v/>
      </c>
      <c r="N113" s="245">
        <f t="shared" si="13"/>
        <v>0</v>
      </c>
      <c r="O113" s="245">
        <f t="shared" si="14"/>
        <v>0</v>
      </c>
      <c r="P113" t="str">
        <f t="shared" si="15"/>
        <v/>
      </c>
      <c r="Q113" t="str">
        <f>IFERROR(VLOOKUP(P113,数据库!C:M,11,0),"")</f>
        <v/>
      </c>
      <c r="R113" t="str">
        <f t="shared" si="16"/>
        <v/>
      </c>
      <c r="S113">
        <f t="shared" si="17"/>
        <v>0</v>
      </c>
    </row>
    <row r="114" spans="1:19">
      <c r="A114" t="str">
        <f>IF(B114=0,"",发货清单!A114*10^6+COUNTIF($D$2:D114,D114)*10^3+ROW(A113))</f>
        <v/>
      </c>
      <c r="B114">
        <f>IFERROR(LEFT(发货清单!H114,SEARCH("-",发货清单!H114)-1),发货清单!H114)</f>
        <v>0</v>
      </c>
      <c r="C114" t="str">
        <f>IFERROR(VLOOKUP(发货清单!A114,数据库!A:D,4,0),"")</f>
        <v/>
      </c>
      <c r="D114" t="str">
        <f>IFERROR(VLOOKUP(发货清单!A114,数据库!A:C,3,0),"")</f>
        <v/>
      </c>
      <c r="E114">
        <f>发货清单!M114</f>
        <v>0</v>
      </c>
      <c r="F114">
        <f>发货清单!U114</f>
        <v>0</v>
      </c>
      <c r="G114" t="str">
        <f>IFERROR(VLOOKUP(发货清单!A114,数据库!A:B,2,0),"")</f>
        <v/>
      </c>
      <c r="H114">
        <f>发货清单!N114</f>
        <v>0</v>
      </c>
      <c r="I114" t="str">
        <f t="shared" si="9"/>
        <v/>
      </c>
      <c r="J114" t="str">
        <f t="shared" si="10"/>
        <v xml:space="preserve"> </v>
      </c>
      <c r="K114" t="str">
        <f t="shared" si="11"/>
        <v/>
      </c>
      <c r="L114" t="str">
        <f t="shared" si="12"/>
        <v/>
      </c>
      <c r="N114" s="245">
        <f t="shared" si="13"/>
        <v>0</v>
      </c>
      <c r="O114" s="245">
        <f t="shared" si="14"/>
        <v>0</v>
      </c>
      <c r="P114" t="str">
        <f t="shared" si="15"/>
        <v/>
      </c>
      <c r="Q114" t="str">
        <f>IFERROR(VLOOKUP(P114,数据库!C:M,11,0),"")</f>
        <v/>
      </c>
      <c r="R114" t="str">
        <f t="shared" si="16"/>
        <v/>
      </c>
      <c r="S114">
        <f t="shared" si="17"/>
        <v>0</v>
      </c>
    </row>
    <row r="115" spans="1:19">
      <c r="A115" t="str">
        <f>IF(B115=0,"",发货清单!A115*10^6+COUNTIF($D$2:D115,D115)*10^3+ROW(A114))</f>
        <v/>
      </c>
      <c r="B115">
        <f>IFERROR(LEFT(发货清单!H115,SEARCH("-",发货清单!H115)-1),发货清单!H115)</f>
        <v>0</v>
      </c>
      <c r="C115" t="str">
        <f>IFERROR(VLOOKUP(发货清单!A115,数据库!A:D,4,0),"")</f>
        <v/>
      </c>
      <c r="D115" t="str">
        <f>IFERROR(VLOOKUP(发货清单!A115,数据库!A:C,3,0),"")</f>
        <v/>
      </c>
      <c r="E115">
        <f>发货清单!M115</f>
        <v>0</v>
      </c>
      <c r="F115">
        <f>发货清单!U115</f>
        <v>0</v>
      </c>
      <c r="G115" t="str">
        <f>IFERROR(VLOOKUP(发货清单!A115,数据库!A:B,2,0),"")</f>
        <v/>
      </c>
      <c r="H115">
        <f>发货清单!N115</f>
        <v>0</v>
      </c>
      <c r="I115" t="str">
        <f t="shared" si="9"/>
        <v/>
      </c>
      <c r="J115" t="str">
        <f t="shared" si="10"/>
        <v xml:space="preserve"> </v>
      </c>
      <c r="K115" t="str">
        <f t="shared" si="11"/>
        <v/>
      </c>
      <c r="L115" t="str">
        <f t="shared" si="12"/>
        <v/>
      </c>
      <c r="N115" s="245">
        <f t="shared" si="13"/>
        <v>0</v>
      </c>
      <c r="O115" s="245">
        <f t="shared" si="14"/>
        <v>0</v>
      </c>
      <c r="P115" t="str">
        <f t="shared" si="15"/>
        <v/>
      </c>
      <c r="Q115" t="str">
        <f>IFERROR(VLOOKUP(P115,数据库!C:M,11,0),"")</f>
        <v/>
      </c>
      <c r="R115" t="str">
        <f t="shared" si="16"/>
        <v/>
      </c>
      <c r="S115">
        <f t="shared" si="17"/>
        <v>0</v>
      </c>
    </row>
    <row r="116" spans="1:19">
      <c r="A116" t="str">
        <f>IF(B116=0,"",发货清单!A116*10^6+COUNTIF($D$2:D116,D116)*10^3+ROW(A115))</f>
        <v/>
      </c>
      <c r="B116">
        <f>IFERROR(LEFT(发货清单!H116,SEARCH("-",发货清单!H116)-1),发货清单!H116)</f>
        <v>0</v>
      </c>
      <c r="C116" t="str">
        <f>IFERROR(VLOOKUP(发货清单!A116,数据库!A:D,4,0),"")</f>
        <v/>
      </c>
      <c r="D116" t="str">
        <f>IFERROR(VLOOKUP(发货清单!A116,数据库!A:C,3,0),"")</f>
        <v/>
      </c>
      <c r="E116">
        <f>发货清单!M116</f>
        <v>0</v>
      </c>
      <c r="F116">
        <f>发货清单!U116</f>
        <v>0</v>
      </c>
      <c r="G116" t="str">
        <f>IFERROR(VLOOKUP(发货清单!A116,数据库!A:B,2,0),"")</f>
        <v/>
      </c>
      <c r="H116">
        <f>发货清单!N116</f>
        <v>0</v>
      </c>
      <c r="I116" t="str">
        <f t="shared" si="9"/>
        <v/>
      </c>
      <c r="J116" t="str">
        <f t="shared" si="10"/>
        <v xml:space="preserve"> </v>
      </c>
      <c r="K116" t="str">
        <f t="shared" si="11"/>
        <v/>
      </c>
      <c r="L116" t="str">
        <f t="shared" si="12"/>
        <v/>
      </c>
      <c r="N116" s="245">
        <f t="shared" si="13"/>
        <v>0</v>
      </c>
      <c r="O116" s="245">
        <f t="shared" si="14"/>
        <v>0</v>
      </c>
      <c r="P116" t="str">
        <f t="shared" si="15"/>
        <v/>
      </c>
      <c r="Q116" t="str">
        <f>IFERROR(VLOOKUP(P116,数据库!C:M,11,0),"")</f>
        <v/>
      </c>
      <c r="R116" t="str">
        <f t="shared" si="16"/>
        <v/>
      </c>
      <c r="S116">
        <f t="shared" si="17"/>
        <v>0</v>
      </c>
    </row>
    <row r="117" spans="1:19">
      <c r="A117" t="str">
        <f>IF(B117=0,"",发货清单!A117*10^6+COUNTIF($D$2:D117,D117)*10^3+ROW(A116))</f>
        <v/>
      </c>
      <c r="B117">
        <f>IFERROR(LEFT(发货清单!H117,SEARCH("-",发货清单!H117)-1),发货清单!H117)</f>
        <v>0</v>
      </c>
      <c r="C117" t="str">
        <f>IFERROR(VLOOKUP(发货清单!A117,数据库!A:D,4,0),"")</f>
        <v/>
      </c>
      <c r="D117" t="str">
        <f>IFERROR(VLOOKUP(发货清单!A117,数据库!A:C,3,0),"")</f>
        <v/>
      </c>
      <c r="E117">
        <f>发货清单!M117</f>
        <v>0</v>
      </c>
      <c r="F117">
        <f>发货清单!U117</f>
        <v>0</v>
      </c>
      <c r="G117" t="str">
        <f>IFERROR(VLOOKUP(发货清单!A117,数据库!A:B,2,0),"")</f>
        <v/>
      </c>
      <c r="H117">
        <f>发货清单!N117</f>
        <v>0</v>
      </c>
      <c r="I117" t="str">
        <f t="shared" si="9"/>
        <v/>
      </c>
      <c r="J117" t="str">
        <f t="shared" si="10"/>
        <v xml:space="preserve"> </v>
      </c>
      <c r="K117" t="str">
        <f t="shared" si="11"/>
        <v/>
      </c>
      <c r="L117" t="str">
        <f t="shared" si="12"/>
        <v/>
      </c>
      <c r="N117" s="245">
        <f t="shared" si="13"/>
        <v>0</v>
      </c>
      <c r="O117" s="245">
        <f t="shared" si="14"/>
        <v>0</v>
      </c>
      <c r="P117" t="str">
        <f t="shared" si="15"/>
        <v/>
      </c>
      <c r="Q117" t="str">
        <f>IFERROR(VLOOKUP(P117,数据库!C:M,11,0),"")</f>
        <v/>
      </c>
      <c r="R117" t="str">
        <f t="shared" si="16"/>
        <v/>
      </c>
      <c r="S117">
        <f t="shared" si="17"/>
        <v>0</v>
      </c>
    </row>
    <row r="118" spans="1:19">
      <c r="A118" t="str">
        <f>IF(B118=0,"",发货清单!A118*10^6+COUNTIF($D$2:D118,D118)*10^3+ROW(A117))</f>
        <v/>
      </c>
      <c r="B118">
        <f>IFERROR(LEFT(发货清单!H118,SEARCH("-",发货清单!H118)-1),发货清单!H118)</f>
        <v>0</v>
      </c>
      <c r="C118" t="str">
        <f>IFERROR(VLOOKUP(发货清单!A118,数据库!A:D,4,0),"")</f>
        <v/>
      </c>
      <c r="D118" t="str">
        <f>IFERROR(VLOOKUP(发货清单!A118,数据库!A:C,3,0),"")</f>
        <v/>
      </c>
      <c r="E118">
        <f>发货清单!M118</f>
        <v>0</v>
      </c>
      <c r="F118">
        <f>发货清单!U118</f>
        <v>0</v>
      </c>
      <c r="G118" t="str">
        <f>IFERROR(VLOOKUP(发货清单!A118,数据库!A:B,2,0),"")</f>
        <v/>
      </c>
      <c r="H118">
        <f>发货清单!N118</f>
        <v>0</v>
      </c>
      <c r="I118" t="str">
        <f t="shared" si="9"/>
        <v/>
      </c>
      <c r="J118" t="str">
        <f t="shared" si="10"/>
        <v xml:space="preserve"> </v>
      </c>
      <c r="K118" t="str">
        <f t="shared" si="11"/>
        <v/>
      </c>
      <c r="L118" t="str">
        <f t="shared" si="12"/>
        <v/>
      </c>
      <c r="N118" s="245">
        <f t="shared" si="13"/>
        <v>0</v>
      </c>
      <c r="O118" s="245">
        <f t="shared" si="14"/>
        <v>0</v>
      </c>
      <c r="P118" t="str">
        <f t="shared" si="15"/>
        <v/>
      </c>
      <c r="Q118" t="str">
        <f>IFERROR(VLOOKUP(P118,数据库!C:M,11,0),"")</f>
        <v/>
      </c>
      <c r="R118" t="str">
        <f t="shared" si="16"/>
        <v/>
      </c>
      <c r="S118">
        <f t="shared" si="17"/>
        <v>0</v>
      </c>
    </row>
    <row r="119" spans="1:19">
      <c r="A119" t="str">
        <f>IF(B119=0,"",发货清单!A119*10^6+COUNTIF($D$2:D119,D119)*10^3+ROW(A118))</f>
        <v/>
      </c>
      <c r="B119">
        <f>IFERROR(LEFT(发货清单!H119,SEARCH("-",发货清单!H119)-1),发货清单!H119)</f>
        <v>0</v>
      </c>
      <c r="C119" t="str">
        <f>IFERROR(VLOOKUP(发货清单!A119,数据库!A:D,4,0),"")</f>
        <v/>
      </c>
      <c r="D119" t="str">
        <f>IFERROR(VLOOKUP(发货清单!A119,数据库!A:C,3,0),"")</f>
        <v/>
      </c>
      <c r="E119">
        <f>发货清单!M119</f>
        <v>0</v>
      </c>
      <c r="F119">
        <f>发货清单!U119</f>
        <v>0</v>
      </c>
      <c r="G119" t="str">
        <f>IFERROR(VLOOKUP(发货清单!A119,数据库!A:B,2,0),"")</f>
        <v/>
      </c>
      <c r="H119">
        <f>发货清单!N119</f>
        <v>0</v>
      </c>
      <c r="I119" t="str">
        <f t="shared" si="9"/>
        <v/>
      </c>
      <c r="J119" t="str">
        <f t="shared" si="10"/>
        <v xml:space="preserve"> </v>
      </c>
      <c r="K119" t="str">
        <f t="shared" si="11"/>
        <v/>
      </c>
      <c r="L119" t="str">
        <f t="shared" si="12"/>
        <v/>
      </c>
      <c r="N119" s="245">
        <f t="shared" si="13"/>
        <v>0</v>
      </c>
      <c r="O119" s="245">
        <f t="shared" si="14"/>
        <v>0</v>
      </c>
      <c r="P119" t="str">
        <f t="shared" si="15"/>
        <v/>
      </c>
      <c r="Q119" t="str">
        <f>IFERROR(VLOOKUP(P119,数据库!C:M,11,0),"")</f>
        <v/>
      </c>
      <c r="R119" t="str">
        <f t="shared" si="16"/>
        <v/>
      </c>
      <c r="S119">
        <f t="shared" si="17"/>
        <v>0</v>
      </c>
    </row>
    <row r="120" spans="1:19">
      <c r="A120" t="str">
        <f>IF(B120=0,"",发货清单!A120*10^6+COUNTIF($D$2:D120,D120)*10^3+ROW(A119))</f>
        <v/>
      </c>
      <c r="B120">
        <f>IFERROR(LEFT(发货清单!H120,SEARCH("-",发货清单!H120)-1),发货清单!H120)</f>
        <v>0</v>
      </c>
      <c r="C120" t="str">
        <f>IFERROR(VLOOKUP(发货清单!A120,数据库!A:D,4,0),"")</f>
        <v/>
      </c>
      <c r="D120" t="str">
        <f>IFERROR(VLOOKUP(发货清单!A120,数据库!A:C,3,0),"")</f>
        <v/>
      </c>
      <c r="E120">
        <f>发货清单!M120</f>
        <v>0</v>
      </c>
      <c r="F120">
        <f>发货清单!U120</f>
        <v>0</v>
      </c>
      <c r="G120" t="str">
        <f>IFERROR(VLOOKUP(发货清单!A120,数据库!A:B,2,0),"")</f>
        <v/>
      </c>
      <c r="H120">
        <f>发货清单!N120</f>
        <v>0</v>
      </c>
      <c r="I120" t="str">
        <f t="shared" si="9"/>
        <v/>
      </c>
      <c r="J120" t="str">
        <f t="shared" si="10"/>
        <v xml:space="preserve"> </v>
      </c>
      <c r="K120" t="str">
        <f t="shared" si="11"/>
        <v/>
      </c>
      <c r="L120" t="str">
        <f t="shared" si="12"/>
        <v/>
      </c>
      <c r="N120" s="245">
        <f t="shared" si="13"/>
        <v>0</v>
      </c>
      <c r="O120" s="245">
        <f t="shared" si="14"/>
        <v>0</v>
      </c>
      <c r="P120" t="str">
        <f t="shared" si="15"/>
        <v/>
      </c>
      <c r="Q120" t="str">
        <f>IFERROR(VLOOKUP(P120,数据库!C:M,11,0),"")</f>
        <v/>
      </c>
      <c r="R120" t="str">
        <f t="shared" si="16"/>
        <v/>
      </c>
      <c r="S120">
        <f t="shared" si="17"/>
        <v>0</v>
      </c>
    </row>
    <row r="121" spans="1:19">
      <c r="A121" t="str">
        <f>IF(B121=0,"",发货清单!A121*10^6+COUNTIF($D$2:D121,D121)*10^3+ROW(A120))</f>
        <v/>
      </c>
      <c r="B121">
        <f>IFERROR(LEFT(发货清单!H121,SEARCH("-",发货清单!H121)-1),发货清单!H121)</f>
        <v>0</v>
      </c>
      <c r="C121" t="str">
        <f>IFERROR(VLOOKUP(发货清单!A121,数据库!A:D,4,0),"")</f>
        <v/>
      </c>
      <c r="D121" t="str">
        <f>IFERROR(VLOOKUP(发货清单!A121,数据库!A:C,3,0),"")</f>
        <v/>
      </c>
      <c r="E121">
        <f>发货清单!M121</f>
        <v>0</v>
      </c>
      <c r="F121">
        <f>发货清单!U121</f>
        <v>0</v>
      </c>
      <c r="G121" t="str">
        <f>IFERROR(VLOOKUP(发货清单!A121,数据库!A:B,2,0),"")</f>
        <v/>
      </c>
      <c r="H121">
        <f>发货清单!N121</f>
        <v>0</v>
      </c>
      <c r="I121" t="str">
        <f t="shared" si="9"/>
        <v/>
      </c>
      <c r="J121" t="str">
        <f t="shared" si="10"/>
        <v xml:space="preserve"> </v>
      </c>
      <c r="K121" t="str">
        <f t="shared" si="11"/>
        <v/>
      </c>
      <c r="L121" t="str">
        <f t="shared" si="12"/>
        <v/>
      </c>
      <c r="N121" s="245">
        <f t="shared" si="13"/>
        <v>0</v>
      </c>
      <c r="O121" s="245">
        <f t="shared" si="14"/>
        <v>0</v>
      </c>
      <c r="P121" t="str">
        <f t="shared" si="15"/>
        <v/>
      </c>
      <c r="Q121" t="str">
        <f>IFERROR(VLOOKUP(P121,数据库!C:M,11,0),"")</f>
        <v/>
      </c>
      <c r="R121" t="str">
        <f t="shared" si="16"/>
        <v/>
      </c>
      <c r="S121">
        <f t="shared" si="17"/>
        <v>0</v>
      </c>
    </row>
    <row r="122" spans="1:19">
      <c r="A122" t="str">
        <f>IF(B122=0,"",发货清单!A122*10^6+COUNTIF($D$2:D122,D122)*10^3+ROW(A121))</f>
        <v/>
      </c>
      <c r="B122">
        <f>IFERROR(LEFT(发货清单!H122,SEARCH("-",发货清单!H122)-1),发货清单!H122)</f>
        <v>0</v>
      </c>
      <c r="C122" t="str">
        <f>IFERROR(VLOOKUP(发货清单!A122,数据库!A:D,4,0),"")</f>
        <v/>
      </c>
      <c r="D122" t="str">
        <f>IFERROR(VLOOKUP(发货清单!A122,数据库!A:C,3,0),"")</f>
        <v/>
      </c>
      <c r="E122">
        <f>发货清单!M122</f>
        <v>0</v>
      </c>
      <c r="F122">
        <f>发货清单!U122</f>
        <v>0</v>
      </c>
      <c r="G122" t="str">
        <f>IFERROR(VLOOKUP(发货清单!A122,数据库!A:B,2,0),"")</f>
        <v/>
      </c>
      <c r="H122">
        <f>发货清单!N122</f>
        <v>0</v>
      </c>
      <c r="I122" t="str">
        <f t="shared" si="9"/>
        <v/>
      </c>
      <c r="J122" t="str">
        <f t="shared" si="10"/>
        <v xml:space="preserve"> </v>
      </c>
      <c r="K122" t="str">
        <f t="shared" si="11"/>
        <v/>
      </c>
      <c r="L122" t="str">
        <f t="shared" si="12"/>
        <v/>
      </c>
      <c r="N122" s="245">
        <f t="shared" si="13"/>
        <v>0</v>
      </c>
      <c r="O122" s="245">
        <f t="shared" si="14"/>
        <v>0</v>
      </c>
      <c r="P122" t="str">
        <f t="shared" si="15"/>
        <v/>
      </c>
      <c r="Q122" t="str">
        <f>IFERROR(VLOOKUP(P122,数据库!C:M,11,0),"")</f>
        <v/>
      </c>
      <c r="R122" t="str">
        <f t="shared" si="16"/>
        <v/>
      </c>
      <c r="S122">
        <f t="shared" si="17"/>
        <v>0</v>
      </c>
    </row>
    <row r="123" spans="1:19">
      <c r="A123" t="str">
        <f>IF(B123=0,"",发货清单!A123*10^6+COUNTIF($D$2:D123,D123)*10^3+ROW(A122))</f>
        <v/>
      </c>
      <c r="B123">
        <f>IFERROR(LEFT(发货清单!H123,SEARCH("-",发货清单!H123)-1),发货清单!H123)</f>
        <v>0</v>
      </c>
      <c r="C123" t="str">
        <f>IFERROR(VLOOKUP(发货清单!A123,数据库!A:D,4,0),"")</f>
        <v/>
      </c>
      <c r="D123" t="str">
        <f>IFERROR(VLOOKUP(发货清单!A123,数据库!A:C,3,0),"")</f>
        <v/>
      </c>
      <c r="E123">
        <f>发货清单!M123</f>
        <v>0</v>
      </c>
      <c r="F123">
        <f>发货清单!U123</f>
        <v>0</v>
      </c>
      <c r="G123" t="str">
        <f>IFERROR(VLOOKUP(发货清单!A123,数据库!A:B,2,0),"")</f>
        <v/>
      </c>
      <c r="H123">
        <f>发货清单!N123</f>
        <v>0</v>
      </c>
      <c r="I123" t="str">
        <f t="shared" si="9"/>
        <v/>
      </c>
      <c r="J123" t="str">
        <f t="shared" si="10"/>
        <v xml:space="preserve"> </v>
      </c>
      <c r="K123" t="str">
        <f t="shared" si="11"/>
        <v/>
      </c>
      <c r="L123" t="str">
        <f t="shared" si="12"/>
        <v/>
      </c>
      <c r="N123" s="245">
        <f t="shared" si="13"/>
        <v>0</v>
      </c>
      <c r="O123" s="245">
        <f t="shared" si="14"/>
        <v>0</v>
      </c>
      <c r="P123" t="str">
        <f t="shared" si="15"/>
        <v/>
      </c>
      <c r="Q123" t="str">
        <f>IFERROR(VLOOKUP(P123,数据库!C:M,11,0),"")</f>
        <v/>
      </c>
      <c r="R123" t="str">
        <f t="shared" si="16"/>
        <v/>
      </c>
      <c r="S123">
        <f t="shared" si="17"/>
        <v>0</v>
      </c>
    </row>
    <row r="124" spans="1:19">
      <c r="A124" t="str">
        <f>IF(B124=0,"",发货清单!A124*10^6+COUNTIF($D$2:D124,D124)*10^3+ROW(A123))</f>
        <v/>
      </c>
      <c r="B124">
        <f>IFERROR(LEFT(发货清单!H124,SEARCH("-",发货清单!H124)-1),发货清单!H124)</f>
        <v>0</v>
      </c>
      <c r="C124" t="str">
        <f>IFERROR(VLOOKUP(发货清单!A124,数据库!A:D,4,0),"")</f>
        <v/>
      </c>
      <c r="D124" t="str">
        <f>IFERROR(VLOOKUP(发货清单!A124,数据库!A:C,3,0),"")</f>
        <v/>
      </c>
      <c r="E124">
        <f>发货清单!M124</f>
        <v>0</v>
      </c>
      <c r="F124">
        <f>发货清单!U124</f>
        <v>0</v>
      </c>
      <c r="G124" t="str">
        <f>IFERROR(VLOOKUP(发货清单!A124,数据库!A:B,2,0),"")</f>
        <v/>
      </c>
      <c r="H124">
        <f>发货清单!N124</f>
        <v>0</v>
      </c>
      <c r="I124" t="str">
        <f t="shared" si="9"/>
        <v/>
      </c>
      <c r="J124" t="str">
        <f t="shared" si="10"/>
        <v xml:space="preserve"> </v>
      </c>
      <c r="K124" t="str">
        <f t="shared" si="11"/>
        <v/>
      </c>
      <c r="L124" t="str">
        <f t="shared" si="12"/>
        <v/>
      </c>
      <c r="N124" s="245">
        <f t="shared" si="13"/>
        <v>0</v>
      </c>
      <c r="O124" s="245">
        <f t="shared" si="14"/>
        <v>0</v>
      </c>
      <c r="P124" t="str">
        <f t="shared" si="15"/>
        <v/>
      </c>
      <c r="Q124" t="str">
        <f>IFERROR(VLOOKUP(P124,数据库!C:M,11,0),"")</f>
        <v/>
      </c>
      <c r="R124" t="str">
        <f t="shared" si="16"/>
        <v/>
      </c>
      <c r="S124">
        <f t="shared" si="17"/>
        <v>0</v>
      </c>
    </row>
    <row r="125" spans="1:19">
      <c r="A125" t="str">
        <f>IF(B125=0,"",发货清单!A125*10^6+COUNTIF($D$2:D125,D125)*10^3+ROW(A124))</f>
        <v/>
      </c>
      <c r="B125">
        <f>IFERROR(LEFT(发货清单!H125,SEARCH("-",发货清单!H125)-1),发货清单!H125)</f>
        <v>0</v>
      </c>
      <c r="C125" t="str">
        <f>IFERROR(VLOOKUP(发货清单!A125,数据库!A:D,4,0),"")</f>
        <v/>
      </c>
      <c r="D125" t="str">
        <f>IFERROR(VLOOKUP(发货清单!A125,数据库!A:C,3,0),"")</f>
        <v/>
      </c>
      <c r="E125">
        <f>发货清单!M125</f>
        <v>0</v>
      </c>
      <c r="F125">
        <f>发货清单!U125</f>
        <v>0</v>
      </c>
      <c r="G125" t="str">
        <f>IFERROR(VLOOKUP(发货清单!A125,数据库!A:B,2,0),"")</f>
        <v/>
      </c>
      <c r="H125">
        <f>发货清单!N125</f>
        <v>0</v>
      </c>
      <c r="I125" t="str">
        <f t="shared" si="9"/>
        <v/>
      </c>
      <c r="J125" t="str">
        <f t="shared" si="10"/>
        <v xml:space="preserve"> </v>
      </c>
      <c r="K125" t="str">
        <f t="shared" si="11"/>
        <v/>
      </c>
      <c r="L125" t="str">
        <f t="shared" si="12"/>
        <v/>
      </c>
      <c r="N125" s="245">
        <f t="shared" si="13"/>
        <v>0</v>
      </c>
      <c r="O125" s="245">
        <f t="shared" si="14"/>
        <v>0</v>
      </c>
      <c r="P125" t="str">
        <f t="shared" si="15"/>
        <v/>
      </c>
      <c r="Q125" t="str">
        <f>IFERROR(VLOOKUP(P125,数据库!C:M,11,0),"")</f>
        <v/>
      </c>
      <c r="R125" t="str">
        <f t="shared" si="16"/>
        <v/>
      </c>
      <c r="S125">
        <f t="shared" si="17"/>
        <v>0</v>
      </c>
    </row>
    <row r="126" spans="1:19">
      <c r="A126" t="str">
        <f>IF(B126=0,"",发货清单!A126*10^6+COUNTIF($D$2:D126,D126)*10^3+ROW(A125))</f>
        <v/>
      </c>
      <c r="B126">
        <f>IFERROR(LEFT(发货清单!H126,SEARCH("-",发货清单!H126)-1),发货清单!H126)</f>
        <v>0</v>
      </c>
      <c r="C126" t="str">
        <f>IFERROR(VLOOKUP(发货清单!A126,数据库!A:D,4,0),"")</f>
        <v/>
      </c>
      <c r="D126" t="str">
        <f>IFERROR(VLOOKUP(发货清单!A126,数据库!A:C,3,0),"")</f>
        <v/>
      </c>
      <c r="E126">
        <f>发货清单!M126</f>
        <v>0</v>
      </c>
      <c r="F126">
        <f>发货清单!U126</f>
        <v>0</v>
      </c>
      <c r="G126" t="str">
        <f>IFERROR(VLOOKUP(发货清单!A126,数据库!A:B,2,0),"")</f>
        <v/>
      </c>
      <c r="H126">
        <f>发货清单!N126</f>
        <v>0</v>
      </c>
      <c r="I126" t="str">
        <f t="shared" si="9"/>
        <v/>
      </c>
      <c r="J126" t="str">
        <f t="shared" si="10"/>
        <v xml:space="preserve"> </v>
      </c>
      <c r="K126" t="str">
        <f t="shared" si="11"/>
        <v/>
      </c>
      <c r="L126" t="str">
        <f t="shared" si="12"/>
        <v/>
      </c>
      <c r="N126" s="245">
        <f t="shared" si="13"/>
        <v>0</v>
      </c>
      <c r="O126" s="245">
        <f t="shared" si="14"/>
        <v>0</v>
      </c>
      <c r="P126" t="str">
        <f t="shared" si="15"/>
        <v/>
      </c>
      <c r="Q126" t="str">
        <f>IFERROR(VLOOKUP(P126,数据库!C:M,11,0),"")</f>
        <v/>
      </c>
      <c r="R126" t="str">
        <f t="shared" si="16"/>
        <v/>
      </c>
      <c r="S126">
        <f t="shared" si="17"/>
        <v>0</v>
      </c>
    </row>
    <row r="127" spans="1:19">
      <c r="A127" t="str">
        <f>IF(B127=0,"",发货清单!A127*10^6+COUNTIF($D$2:D127,D127)*10^3+ROW(A126))</f>
        <v/>
      </c>
      <c r="B127">
        <f>IFERROR(LEFT(发货清单!H127,SEARCH("-",发货清单!H127)-1),发货清单!H127)</f>
        <v>0</v>
      </c>
      <c r="C127" t="str">
        <f>IFERROR(VLOOKUP(发货清单!A127,数据库!A:D,4,0),"")</f>
        <v/>
      </c>
      <c r="D127" t="str">
        <f>IFERROR(VLOOKUP(发货清单!A127,数据库!A:C,3,0),"")</f>
        <v/>
      </c>
      <c r="E127">
        <f>发货清单!M127</f>
        <v>0</v>
      </c>
      <c r="F127">
        <f>发货清单!U127</f>
        <v>0</v>
      </c>
      <c r="G127" t="str">
        <f>IFERROR(VLOOKUP(发货清单!A127,数据库!A:B,2,0),"")</f>
        <v/>
      </c>
      <c r="H127">
        <f>发货清单!N127</f>
        <v>0</v>
      </c>
      <c r="I127" t="str">
        <f t="shared" si="9"/>
        <v/>
      </c>
      <c r="J127" t="str">
        <f t="shared" si="10"/>
        <v xml:space="preserve"> </v>
      </c>
      <c r="K127" t="str">
        <f t="shared" si="11"/>
        <v/>
      </c>
      <c r="L127" t="str">
        <f t="shared" si="12"/>
        <v/>
      </c>
      <c r="N127" s="245">
        <f t="shared" si="13"/>
        <v>0</v>
      </c>
      <c r="O127" s="245">
        <f t="shared" si="14"/>
        <v>0</v>
      </c>
      <c r="P127" t="str">
        <f t="shared" si="15"/>
        <v/>
      </c>
      <c r="Q127" t="str">
        <f>IFERROR(VLOOKUP(P127,数据库!C:M,11,0),"")</f>
        <v/>
      </c>
      <c r="R127" t="str">
        <f t="shared" si="16"/>
        <v/>
      </c>
      <c r="S127">
        <f t="shared" si="17"/>
        <v>0</v>
      </c>
    </row>
    <row r="128" spans="1:19">
      <c r="A128" t="str">
        <f>IF(B128=0,"",发货清单!A128*10^6+COUNTIF($D$2:D128,D128)*10^3+ROW(A127))</f>
        <v/>
      </c>
      <c r="B128">
        <f>IFERROR(LEFT(发货清单!H128,SEARCH("-",发货清单!H128)-1),发货清单!H128)</f>
        <v>0</v>
      </c>
      <c r="C128" t="str">
        <f>IFERROR(VLOOKUP(发货清单!A128,数据库!A:D,4,0),"")</f>
        <v/>
      </c>
      <c r="D128" t="str">
        <f>IFERROR(VLOOKUP(发货清单!A128,数据库!A:C,3,0),"")</f>
        <v/>
      </c>
      <c r="E128">
        <f>发货清单!M128</f>
        <v>0</v>
      </c>
      <c r="F128">
        <f>发货清单!U128</f>
        <v>0</v>
      </c>
      <c r="G128" t="str">
        <f>IFERROR(VLOOKUP(发货清单!A128,数据库!A:B,2,0),"")</f>
        <v/>
      </c>
      <c r="H128">
        <f>发货清单!N128</f>
        <v>0</v>
      </c>
      <c r="I128" t="str">
        <f t="shared" si="9"/>
        <v/>
      </c>
      <c r="J128" t="str">
        <f t="shared" si="10"/>
        <v xml:space="preserve"> </v>
      </c>
      <c r="K128" t="str">
        <f t="shared" si="11"/>
        <v/>
      </c>
      <c r="L128" t="str">
        <f t="shared" si="12"/>
        <v/>
      </c>
      <c r="N128" s="245">
        <f t="shared" si="13"/>
        <v>0</v>
      </c>
      <c r="O128" s="245">
        <f t="shared" si="14"/>
        <v>0</v>
      </c>
      <c r="P128" t="str">
        <f t="shared" si="15"/>
        <v/>
      </c>
      <c r="Q128" t="str">
        <f>IFERROR(VLOOKUP(P128,数据库!C:M,11,0),"")</f>
        <v/>
      </c>
      <c r="R128" t="str">
        <f t="shared" si="16"/>
        <v/>
      </c>
      <c r="S128">
        <f t="shared" si="17"/>
        <v>0</v>
      </c>
    </row>
    <row r="129" spans="1:19">
      <c r="A129" t="str">
        <f>IF(B129=0,"",发货清单!A129*10^6+COUNTIF($D$2:D129,D129)*10^3+ROW(A128))</f>
        <v/>
      </c>
      <c r="B129">
        <f>IFERROR(LEFT(发货清单!H129,SEARCH("-",发货清单!H129)-1),发货清单!H129)</f>
        <v>0</v>
      </c>
      <c r="C129" t="str">
        <f>IFERROR(VLOOKUP(发货清单!A129,数据库!A:D,4,0),"")</f>
        <v/>
      </c>
      <c r="D129" t="str">
        <f>IFERROR(VLOOKUP(发货清单!A129,数据库!A:C,3,0),"")</f>
        <v/>
      </c>
      <c r="E129">
        <f>发货清单!M129</f>
        <v>0</v>
      </c>
      <c r="F129">
        <f>发货清单!U129</f>
        <v>0</v>
      </c>
      <c r="G129" t="str">
        <f>IFERROR(VLOOKUP(发货清单!A129,数据库!A:B,2,0),"")</f>
        <v/>
      </c>
      <c r="H129">
        <f>发货清单!N129</f>
        <v>0</v>
      </c>
      <c r="I129" t="str">
        <f t="shared" si="9"/>
        <v/>
      </c>
      <c r="J129" t="str">
        <f t="shared" si="10"/>
        <v xml:space="preserve"> </v>
      </c>
      <c r="K129" t="str">
        <f t="shared" si="11"/>
        <v/>
      </c>
      <c r="L129" t="str">
        <f t="shared" si="12"/>
        <v/>
      </c>
      <c r="N129" s="245">
        <f t="shared" si="13"/>
        <v>0</v>
      </c>
      <c r="O129" s="245">
        <f t="shared" si="14"/>
        <v>0</v>
      </c>
      <c r="P129" t="str">
        <f t="shared" si="15"/>
        <v/>
      </c>
      <c r="Q129" t="str">
        <f>IFERROR(VLOOKUP(P129,数据库!C:M,11,0),"")</f>
        <v/>
      </c>
      <c r="R129" t="str">
        <f t="shared" si="16"/>
        <v/>
      </c>
      <c r="S129">
        <f t="shared" si="17"/>
        <v>0</v>
      </c>
    </row>
    <row r="130" spans="1:19">
      <c r="A130" t="str">
        <f>IF(B130=0,"",发货清单!A130*10^6+COUNTIF($D$2:D130,D130)*10^3+ROW(A129))</f>
        <v/>
      </c>
      <c r="B130">
        <f>IFERROR(LEFT(发货清单!H130,SEARCH("-",发货清单!H130)-1),发货清单!H130)</f>
        <v>0</v>
      </c>
      <c r="C130" t="str">
        <f>IFERROR(VLOOKUP(发货清单!A130,数据库!A:D,4,0),"")</f>
        <v/>
      </c>
      <c r="D130" t="str">
        <f>IFERROR(VLOOKUP(发货清单!A130,数据库!A:C,3,0),"")</f>
        <v/>
      </c>
      <c r="E130">
        <f>发货清单!M130</f>
        <v>0</v>
      </c>
      <c r="F130">
        <f>发货清单!U130</f>
        <v>0</v>
      </c>
      <c r="G130" t="str">
        <f>IFERROR(VLOOKUP(发货清单!A130,数据库!A:B,2,0),"")</f>
        <v/>
      </c>
      <c r="H130">
        <f>发货清单!N130</f>
        <v>0</v>
      </c>
      <c r="I130" t="str">
        <f t="shared" si="9"/>
        <v/>
      </c>
      <c r="J130" t="str">
        <f t="shared" si="10"/>
        <v xml:space="preserve"> </v>
      </c>
      <c r="K130" t="str">
        <f t="shared" si="11"/>
        <v/>
      </c>
      <c r="L130" t="str">
        <f t="shared" si="12"/>
        <v/>
      </c>
      <c r="N130" s="245">
        <f t="shared" si="13"/>
        <v>0</v>
      </c>
      <c r="O130" s="245">
        <f t="shared" si="14"/>
        <v>0</v>
      </c>
      <c r="P130" t="str">
        <f t="shared" si="15"/>
        <v/>
      </c>
      <c r="Q130" t="str">
        <f>IFERROR(VLOOKUP(P130,数据库!C:M,11,0),"")</f>
        <v/>
      </c>
      <c r="R130" t="str">
        <f t="shared" si="16"/>
        <v/>
      </c>
      <c r="S130">
        <f t="shared" si="17"/>
        <v>0</v>
      </c>
    </row>
    <row r="131" spans="1:19">
      <c r="A131" t="str">
        <f>IF(B131=0,"",发货清单!A131*10^6+COUNTIF($D$2:D131,D131)*10^3+ROW(A130))</f>
        <v/>
      </c>
      <c r="B131">
        <f>IFERROR(LEFT(发货清单!H131,SEARCH("-",发货清单!H131)-1),发货清单!H131)</f>
        <v>0</v>
      </c>
      <c r="C131" t="str">
        <f>IFERROR(VLOOKUP(发货清单!A131,数据库!A:D,4,0),"")</f>
        <v/>
      </c>
      <c r="D131" t="str">
        <f>IFERROR(VLOOKUP(发货清单!A131,数据库!A:C,3,0),"")</f>
        <v/>
      </c>
      <c r="E131">
        <f>发货清单!M131</f>
        <v>0</v>
      </c>
      <c r="F131">
        <f>发货清单!U131</f>
        <v>0</v>
      </c>
      <c r="G131" t="str">
        <f>IFERROR(VLOOKUP(发货清单!A131,数据库!A:B,2,0),"")</f>
        <v/>
      </c>
      <c r="H131">
        <f>发货清单!N131</f>
        <v>0</v>
      </c>
      <c r="I131" t="str">
        <f t="shared" ref="I131:I194" si="18">IFERROR(SMALL(A:A,ROW(A130)),"")</f>
        <v/>
      </c>
      <c r="J131" t="str">
        <f t="shared" ref="J131:J194" si="19">IFERROR(IF(RIGHT(I131,6)-2000&gt;0," ",I131)," ")</f>
        <v xml:space="preserve"> </v>
      </c>
      <c r="K131" t="str">
        <f t="shared" ref="K131:K194" si="20">IFERROR(SMALL(J:J,ROW(A130)),"")</f>
        <v/>
      </c>
      <c r="L131" t="str">
        <f t="shared" ref="L131:L194" si="21">IFERROR(VLOOKUP(K131,A:G,7,0)," ")</f>
        <v/>
      </c>
      <c r="N131" s="245">
        <f t="shared" ref="N131:N194" si="22">IF(P131=" ",0,SUMIF(D:D,P131,E:E))</f>
        <v>0</v>
      </c>
      <c r="O131" s="245">
        <f t="shared" ref="O131:O194" si="23">SUMIF(D:D,P131,F:F)</f>
        <v>0</v>
      </c>
      <c r="P131" t="str">
        <f t="shared" ref="P131:P194" si="24">IFERROR(VLOOKUP(K131,A:D,4,0)," ")</f>
        <v/>
      </c>
      <c r="Q131" t="str">
        <f>IFERROR(VLOOKUP(P131,数据库!C:M,11,0),"")</f>
        <v/>
      </c>
      <c r="R131" t="str">
        <f t="shared" ref="R131:R194" si="25">IFERROR(VLOOKUP(K131,A:C,3,0)," ")</f>
        <v/>
      </c>
      <c r="S131">
        <f t="shared" ref="S131:S194" si="26">IFERROR(VLOOKUP(K131,A:H,8,0)," ")</f>
        <v>0</v>
      </c>
    </row>
    <row r="132" spans="1:19">
      <c r="A132" t="str">
        <f>IF(B132=0,"",发货清单!A132*10^6+COUNTIF($D$2:D132,D132)*10^3+ROW(A131))</f>
        <v/>
      </c>
      <c r="B132">
        <f>IFERROR(LEFT(发货清单!H132,SEARCH("-",发货清单!H132)-1),发货清单!H132)</f>
        <v>0</v>
      </c>
      <c r="C132" t="str">
        <f>IFERROR(VLOOKUP(发货清单!A132,数据库!A:D,4,0),"")</f>
        <v/>
      </c>
      <c r="D132" t="str">
        <f>IFERROR(VLOOKUP(发货清单!A132,数据库!A:C,3,0),"")</f>
        <v/>
      </c>
      <c r="E132">
        <f>发货清单!M132</f>
        <v>0</v>
      </c>
      <c r="F132">
        <f>发货清单!U132</f>
        <v>0</v>
      </c>
      <c r="G132" t="str">
        <f>IFERROR(VLOOKUP(发货清单!A132,数据库!A:B,2,0),"")</f>
        <v/>
      </c>
      <c r="H132">
        <f>发货清单!N132</f>
        <v>0</v>
      </c>
      <c r="I132" t="str">
        <f t="shared" si="18"/>
        <v/>
      </c>
      <c r="J132" t="str">
        <f t="shared" si="19"/>
        <v xml:space="preserve"> </v>
      </c>
      <c r="K132" t="str">
        <f t="shared" si="20"/>
        <v/>
      </c>
      <c r="L132" t="str">
        <f t="shared" si="21"/>
        <v/>
      </c>
      <c r="N132" s="245">
        <f t="shared" si="22"/>
        <v>0</v>
      </c>
      <c r="O132" s="245">
        <f t="shared" si="23"/>
        <v>0</v>
      </c>
      <c r="P132" t="str">
        <f t="shared" si="24"/>
        <v/>
      </c>
      <c r="Q132" t="str">
        <f>IFERROR(VLOOKUP(P132,数据库!C:M,11,0),"")</f>
        <v/>
      </c>
      <c r="R132" t="str">
        <f t="shared" si="25"/>
        <v/>
      </c>
      <c r="S132">
        <f t="shared" si="26"/>
        <v>0</v>
      </c>
    </row>
    <row r="133" spans="1:19">
      <c r="A133" t="str">
        <f>IF(B133=0,"",发货清单!A133*10^6+COUNTIF($D$2:D133,D133)*10^3+ROW(A132))</f>
        <v/>
      </c>
      <c r="B133">
        <f>IFERROR(LEFT(发货清单!H133,SEARCH("-",发货清单!H133)-1),发货清单!H133)</f>
        <v>0</v>
      </c>
      <c r="C133" t="str">
        <f>IFERROR(VLOOKUP(发货清单!A133,数据库!A:D,4,0),"")</f>
        <v/>
      </c>
      <c r="D133" t="str">
        <f>IFERROR(VLOOKUP(发货清单!A133,数据库!A:C,3,0),"")</f>
        <v/>
      </c>
      <c r="E133">
        <f>发货清单!M133</f>
        <v>0</v>
      </c>
      <c r="F133">
        <f>发货清单!U133</f>
        <v>0</v>
      </c>
      <c r="G133" t="str">
        <f>IFERROR(VLOOKUP(发货清单!A133,数据库!A:B,2,0),"")</f>
        <v/>
      </c>
      <c r="H133">
        <f>发货清单!N133</f>
        <v>0</v>
      </c>
      <c r="I133" t="str">
        <f t="shared" si="18"/>
        <v/>
      </c>
      <c r="J133" t="str">
        <f t="shared" si="19"/>
        <v xml:space="preserve"> </v>
      </c>
      <c r="K133" t="str">
        <f t="shared" si="20"/>
        <v/>
      </c>
      <c r="L133" t="str">
        <f t="shared" si="21"/>
        <v/>
      </c>
      <c r="N133" s="245">
        <f t="shared" si="22"/>
        <v>0</v>
      </c>
      <c r="O133" s="245">
        <f t="shared" si="23"/>
        <v>0</v>
      </c>
      <c r="P133" t="str">
        <f t="shared" si="24"/>
        <v/>
      </c>
      <c r="Q133" t="str">
        <f>IFERROR(VLOOKUP(P133,数据库!C:M,11,0),"")</f>
        <v/>
      </c>
      <c r="R133" t="str">
        <f t="shared" si="25"/>
        <v/>
      </c>
      <c r="S133">
        <f t="shared" si="26"/>
        <v>0</v>
      </c>
    </row>
    <row r="134" spans="1:19">
      <c r="A134" t="str">
        <f>IF(B134=0,"",发货清单!A134*10^6+COUNTIF($D$2:D134,D134)*10^3+ROW(A133))</f>
        <v/>
      </c>
      <c r="B134">
        <f>IFERROR(LEFT(发货清单!H134,SEARCH("-",发货清单!H134)-1),发货清单!H134)</f>
        <v>0</v>
      </c>
      <c r="C134" t="str">
        <f>IFERROR(VLOOKUP(发货清单!A134,数据库!A:D,4,0),"")</f>
        <v/>
      </c>
      <c r="D134" t="str">
        <f>IFERROR(VLOOKUP(发货清单!A134,数据库!A:C,3,0),"")</f>
        <v/>
      </c>
      <c r="E134">
        <f>发货清单!M134</f>
        <v>0</v>
      </c>
      <c r="F134">
        <f>发货清单!U134</f>
        <v>0</v>
      </c>
      <c r="G134" t="str">
        <f>IFERROR(VLOOKUP(发货清单!A134,数据库!A:B,2,0),"")</f>
        <v/>
      </c>
      <c r="H134">
        <f>发货清单!N134</f>
        <v>0</v>
      </c>
      <c r="I134" t="str">
        <f t="shared" si="18"/>
        <v/>
      </c>
      <c r="J134" t="str">
        <f t="shared" si="19"/>
        <v xml:space="preserve"> </v>
      </c>
      <c r="K134" t="str">
        <f t="shared" si="20"/>
        <v/>
      </c>
      <c r="L134" t="str">
        <f t="shared" si="21"/>
        <v/>
      </c>
      <c r="N134" s="245">
        <f t="shared" si="22"/>
        <v>0</v>
      </c>
      <c r="O134" s="245">
        <f t="shared" si="23"/>
        <v>0</v>
      </c>
      <c r="P134" t="str">
        <f t="shared" si="24"/>
        <v/>
      </c>
      <c r="Q134" t="str">
        <f>IFERROR(VLOOKUP(P134,数据库!C:M,11,0),"")</f>
        <v/>
      </c>
      <c r="R134" t="str">
        <f t="shared" si="25"/>
        <v/>
      </c>
      <c r="S134">
        <f t="shared" si="26"/>
        <v>0</v>
      </c>
    </row>
    <row r="135" spans="1:19">
      <c r="A135" t="str">
        <f>IF(B135=0,"",发货清单!A135*10^6+COUNTIF($D$2:D135,D135)*10^3+ROW(A134))</f>
        <v/>
      </c>
      <c r="B135">
        <f>IFERROR(LEFT(发货清单!H135,SEARCH("-",发货清单!H135)-1),发货清单!H135)</f>
        <v>0</v>
      </c>
      <c r="C135" t="str">
        <f>IFERROR(VLOOKUP(发货清单!A135,数据库!A:D,4,0),"")</f>
        <v/>
      </c>
      <c r="D135" t="str">
        <f>IFERROR(VLOOKUP(发货清单!A135,数据库!A:C,3,0),"")</f>
        <v/>
      </c>
      <c r="E135">
        <f>发货清单!M135</f>
        <v>0</v>
      </c>
      <c r="F135">
        <f>发货清单!U135</f>
        <v>0</v>
      </c>
      <c r="G135" t="str">
        <f>IFERROR(VLOOKUP(发货清单!A135,数据库!A:B,2,0),"")</f>
        <v/>
      </c>
      <c r="H135">
        <f>发货清单!N135</f>
        <v>0</v>
      </c>
      <c r="I135" t="str">
        <f t="shared" si="18"/>
        <v/>
      </c>
      <c r="J135" t="str">
        <f t="shared" si="19"/>
        <v xml:space="preserve"> </v>
      </c>
      <c r="K135" t="str">
        <f t="shared" si="20"/>
        <v/>
      </c>
      <c r="L135" t="str">
        <f t="shared" si="21"/>
        <v/>
      </c>
      <c r="N135" s="245">
        <f t="shared" si="22"/>
        <v>0</v>
      </c>
      <c r="O135" s="245">
        <f t="shared" si="23"/>
        <v>0</v>
      </c>
      <c r="P135" t="str">
        <f t="shared" si="24"/>
        <v/>
      </c>
      <c r="Q135" t="str">
        <f>IFERROR(VLOOKUP(P135,数据库!C:M,11,0),"")</f>
        <v/>
      </c>
      <c r="R135" t="str">
        <f t="shared" si="25"/>
        <v/>
      </c>
      <c r="S135">
        <f t="shared" si="26"/>
        <v>0</v>
      </c>
    </row>
    <row r="136" spans="1:19">
      <c r="A136" t="str">
        <f>IF(B136=0,"",发货清单!A136*10^6+COUNTIF($D$2:D136,D136)*10^3+ROW(A135))</f>
        <v/>
      </c>
      <c r="B136">
        <f>IFERROR(LEFT(发货清单!H136,SEARCH("-",发货清单!H136)-1),发货清单!H136)</f>
        <v>0</v>
      </c>
      <c r="C136" t="str">
        <f>IFERROR(VLOOKUP(发货清单!A136,数据库!A:D,4,0),"")</f>
        <v/>
      </c>
      <c r="D136" t="str">
        <f>IFERROR(VLOOKUP(发货清单!A136,数据库!A:C,3,0),"")</f>
        <v/>
      </c>
      <c r="E136">
        <f>发货清单!M136</f>
        <v>0</v>
      </c>
      <c r="F136">
        <f>发货清单!U136</f>
        <v>0</v>
      </c>
      <c r="G136" t="str">
        <f>IFERROR(VLOOKUP(发货清单!A136,数据库!A:B,2,0),"")</f>
        <v/>
      </c>
      <c r="H136">
        <f>发货清单!N136</f>
        <v>0</v>
      </c>
      <c r="I136" t="str">
        <f t="shared" si="18"/>
        <v/>
      </c>
      <c r="J136" t="str">
        <f t="shared" si="19"/>
        <v xml:space="preserve"> </v>
      </c>
      <c r="K136" t="str">
        <f t="shared" si="20"/>
        <v/>
      </c>
      <c r="L136" t="str">
        <f t="shared" si="21"/>
        <v/>
      </c>
      <c r="N136" s="245">
        <f t="shared" si="22"/>
        <v>0</v>
      </c>
      <c r="O136" s="245">
        <f t="shared" si="23"/>
        <v>0</v>
      </c>
      <c r="P136" t="str">
        <f t="shared" si="24"/>
        <v/>
      </c>
      <c r="Q136" t="str">
        <f>IFERROR(VLOOKUP(P136,数据库!C:M,11,0),"")</f>
        <v/>
      </c>
      <c r="R136" t="str">
        <f t="shared" si="25"/>
        <v/>
      </c>
      <c r="S136">
        <f t="shared" si="26"/>
        <v>0</v>
      </c>
    </row>
    <row r="137" spans="1:19">
      <c r="A137" t="str">
        <f>IF(B137=0,"",发货清单!A137*10^6+COUNTIF($D$2:D137,D137)*10^3+ROW(A136))</f>
        <v/>
      </c>
      <c r="B137">
        <f>IFERROR(LEFT(发货清单!H137,SEARCH("-",发货清单!H137)-1),发货清单!H137)</f>
        <v>0</v>
      </c>
      <c r="C137" t="str">
        <f>IFERROR(VLOOKUP(发货清单!A137,数据库!A:D,4,0),"")</f>
        <v/>
      </c>
      <c r="D137" t="str">
        <f>IFERROR(VLOOKUP(发货清单!A137,数据库!A:C,3,0),"")</f>
        <v/>
      </c>
      <c r="E137">
        <f>发货清单!M137</f>
        <v>0</v>
      </c>
      <c r="F137">
        <f>发货清单!U137</f>
        <v>0</v>
      </c>
      <c r="G137" t="str">
        <f>IFERROR(VLOOKUP(发货清单!A137,数据库!A:B,2,0),"")</f>
        <v/>
      </c>
      <c r="H137">
        <f>发货清单!N137</f>
        <v>0</v>
      </c>
      <c r="I137" t="str">
        <f t="shared" si="18"/>
        <v/>
      </c>
      <c r="J137" t="str">
        <f t="shared" si="19"/>
        <v xml:space="preserve"> </v>
      </c>
      <c r="K137" t="str">
        <f t="shared" si="20"/>
        <v/>
      </c>
      <c r="L137" t="str">
        <f t="shared" si="21"/>
        <v/>
      </c>
      <c r="N137" s="245">
        <f t="shared" si="22"/>
        <v>0</v>
      </c>
      <c r="O137" s="245">
        <f t="shared" si="23"/>
        <v>0</v>
      </c>
      <c r="P137" t="str">
        <f t="shared" si="24"/>
        <v/>
      </c>
      <c r="Q137" t="str">
        <f>IFERROR(VLOOKUP(P137,数据库!C:M,11,0),"")</f>
        <v/>
      </c>
      <c r="R137" t="str">
        <f t="shared" si="25"/>
        <v/>
      </c>
      <c r="S137">
        <f t="shared" si="26"/>
        <v>0</v>
      </c>
    </row>
    <row r="138" spans="1:19">
      <c r="A138" t="str">
        <f>IF(B138=0,"",发货清单!A138*10^6+COUNTIF($D$2:D138,D138)*10^3+ROW(A137))</f>
        <v/>
      </c>
      <c r="B138">
        <f>IFERROR(LEFT(发货清单!H138,SEARCH("-",发货清单!H138)-1),发货清单!H138)</f>
        <v>0</v>
      </c>
      <c r="C138" t="str">
        <f>IFERROR(VLOOKUP(发货清单!A138,数据库!A:D,4,0),"")</f>
        <v/>
      </c>
      <c r="D138" t="str">
        <f>IFERROR(VLOOKUP(发货清单!A138,数据库!A:C,3,0),"")</f>
        <v/>
      </c>
      <c r="E138">
        <f>发货清单!M138</f>
        <v>0</v>
      </c>
      <c r="F138">
        <f>发货清单!U138</f>
        <v>0</v>
      </c>
      <c r="G138" t="str">
        <f>IFERROR(VLOOKUP(发货清单!A138,数据库!A:B,2,0),"")</f>
        <v/>
      </c>
      <c r="H138">
        <f>发货清单!N138</f>
        <v>0</v>
      </c>
      <c r="I138" t="str">
        <f t="shared" si="18"/>
        <v/>
      </c>
      <c r="J138" t="str">
        <f t="shared" si="19"/>
        <v xml:space="preserve"> </v>
      </c>
      <c r="K138" t="str">
        <f t="shared" si="20"/>
        <v/>
      </c>
      <c r="L138" t="str">
        <f t="shared" si="21"/>
        <v/>
      </c>
      <c r="N138" s="245">
        <f t="shared" si="22"/>
        <v>0</v>
      </c>
      <c r="O138" s="245">
        <f t="shared" si="23"/>
        <v>0</v>
      </c>
      <c r="P138" t="str">
        <f t="shared" si="24"/>
        <v/>
      </c>
      <c r="Q138" t="str">
        <f>IFERROR(VLOOKUP(P138,数据库!C:M,11,0),"")</f>
        <v/>
      </c>
      <c r="R138" t="str">
        <f t="shared" si="25"/>
        <v/>
      </c>
      <c r="S138">
        <f t="shared" si="26"/>
        <v>0</v>
      </c>
    </row>
    <row r="139" spans="1:19">
      <c r="A139" t="str">
        <f>IF(B139=0,"",发货清单!A139*10^6+COUNTIF($D$2:D139,D139)*10^3+ROW(A138))</f>
        <v/>
      </c>
      <c r="B139">
        <f>IFERROR(LEFT(发货清单!H139,SEARCH("-",发货清单!H139)-1),发货清单!H139)</f>
        <v>0</v>
      </c>
      <c r="C139" t="str">
        <f>IFERROR(VLOOKUP(发货清单!A139,数据库!A:D,4,0),"")</f>
        <v/>
      </c>
      <c r="D139" t="str">
        <f>IFERROR(VLOOKUP(发货清单!A139,数据库!A:C,3,0),"")</f>
        <v/>
      </c>
      <c r="E139">
        <f>发货清单!M139</f>
        <v>0</v>
      </c>
      <c r="F139">
        <f>发货清单!U139</f>
        <v>0</v>
      </c>
      <c r="G139" t="str">
        <f>IFERROR(VLOOKUP(发货清单!A139,数据库!A:B,2,0),"")</f>
        <v/>
      </c>
      <c r="H139">
        <f>发货清单!N139</f>
        <v>0</v>
      </c>
      <c r="I139" t="str">
        <f t="shared" si="18"/>
        <v/>
      </c>
      <c r="J139" t="str">
        <f t="shared" si="19"/>
        <v xml:space="preserve"> </v>
      </c>
      <c r="K139" t="str">
        <f t="shared" si="20"/>
        <v/>
      </c>
      <c r="L139" t="str">
        <f t="shared" si="21"/>
        <v/>
      </c>
      <c r="N139" s="245">
        <f t="shared" si="22"/>
        <v>0</v>
      </c>
      <c r="O139" s="245">
        <f t="shared" si="23"/>
        <v>0</v>
      </c>
      <c r="P139" t="str">
        <f t="shared" si="24"/>
        <v/>
      </c>
      <c r="Q139" t="str">
        <f>IFERROR(VLOOKUP(P139,数据库!C:M,11,0),"")</f>
        <v/>
      </c>
      <c r="R139" t="str">
        <f t="shared" si="25"/>
        <v/>
      </c>
      <c r="S139">
        <f t="shared" si="26"/>
        <v>0</v>
      </c>
    </row>
    <row r="140" spans="1:19">
      <c r="A140" t="str">
        <f>IF(B140=0,"",发货清单!A140*10^6+COUNTIF($D$2:D140,D140)*10^3+ROW(A139))</f>
        <v/>
      </c>
      <c r="B140">
        <f>IFERROR(LEFT(发货清单!H140,SEARCH("-",发货清单!H140)-1),发货清单!H140)</f>
        <v>0</v>
      </c>
      <c r="C140" t="str">
        <f>IFERROR(VLOOKUP(发货清单!A140,数据库!A:D,4,0),"")</f>
        <v/>
      </c>
      <c r="D140" t="str">
        <f>IFERROR(VLOOKUP(发货清单!A140,数据库!A:C,3,0),"")</f>
        <v/>
      </c>
      <c r="E140">
        <f>发货清单!M140</f>
        <v>0</v>
      </c>
      <c r="F140">
        <f>发货清单!U140</f>
        <v>0</v>
      </c>
      <c r="G140" t="str">
        <f>IFERROR(VLOOKUP(发货清单!A140,数据库!A:B,2,0),"")</f>
        <v/>
      </c>
      <c r="H140">
        <f>发货清单!N140</f>
        <v>0</v>
      </c>
      <c r="I140" t="str">
        <f t="shared" si="18"/>
        <v/>
      </c>
      <c r="J140" t="str">
        <f t="shared" si="19"/>
        <v xml:space="preserve"> </v>
      </c>
      <c r="K140" t="str">
        <f t="shared" si="20"/>
        <v/>
      </c>
      <c r="L140" t="str">
        <f t="shared" si="21"/>
        <v/>
      </c>
      <c r="N140" s="245">
        <f t="shared" si="22"/>
        <v>0</v>
      </c>
      <c r="O140" s="245">
        <f t="shared" si="23"/>
        <v>0</v>
      </c>
      <c r="P140" t="str">
        <f t="shared" si="24"/>
        <v/>
      </c>
      <c r="Q140" t="str">
        <f>IFERROR(VLOOKUP(P140,数据库!C:M,11,0),"")</f>
        <v/>
      </c>
      <c r="R140" t="str">
        <f t="shared" si="25"/>
        <v/>
      </c>
      <c r="S140">
        <f t="shared" si="26"/>
        <v>0</v>
      </c>
    </row>
    <row r="141" spans="1:19">
      <c r="A141" t="str">
        <f>IF(B141=0,"",发货清单!A141*10^6+COUNTIF($D$2:D141,D141)*10^3+ROW(A140))</f>
        <v/>
      </c>
      <c r="B141">
        <f>IFERROR(LEFT(发货清单!H141,SEARCH("-",发货清单!H141)-1),发货清单!H141)</f>
        <v>0</v>
      </c>
      <c r="C141" t="str">
        <f>IFERROR(VLOOKUP(发货清单!A141,数据库!A:D,4,0),"")</f>
        <v/>
      </c>
      <c r="D141" t="str">
        <f>IFERROR(VLOOKUP(发货清单!A141,数据库!A:C,3,0),"")</f>
        <v/>
      </c>
      <c r="E141">
        <f>发货清单!M141</f>
        <v>0</v>
      </c>
      <c r="F141">
        <f>发货清单!U141</f>
        <v>0</v>
      </c>
      <c r="G141" t="str">
        <f>IFERROR(VLOOKUP(发货清单!A141,数据库!A:B,2,0),"")</f>
        <v/>
      </c>
      <c r="H141">
        <f>发货清单!N141</f>
        <v>0</v>
      </c>
      <c r="I141" t="str">
        <f t="shared" si="18"/>
        <v/>
      </c>
      <c r="J141" t="str">
        <f t="shared" si="19"/>
        <v xml:space="preserve"> </v>
      </c>
      <c r="K141" t="str">
        <f t="shared" si="20"/>
        <v/>
      </c>
      <c r="L141" t="str">
        <f t="shared" si="21"/>
        <v/>
      </c>
      <c r="N141" s="245">
        <f t="shared" si="22"/>
        <v>0</v>
      </c>
      <c r="O141" s="245">
        <f t="shared" si="23"/>
        <v>0</v>
      </c>
      <c r="P141" t="str">
        <f t="shared" si="24"/>
        <v/>
      </c>
      <c r="Q141" t="str">
        <f>IFERROR(VLOOKUP(P141,数据库!C:M,11,0),"")</f>
        <v/>
      </c>
      <c r="R141" t="str">
        <f t="shared" si="25"/>
        <v/>
      </c>
      <c r="S141">
        <f t="shared" si="26"/>
        <v>0</v>
      </c>
    </row>
    <row r="142" spans="1:19">
      <c r="A142" t="str">
        <f>IF(B142=0,"",发货清单!A142*10^6+COUNTIF($D$2:D142,D142)*10^3+ROW(A141))</f>
        <v/>
      </c>
      <c r="B142">
        <f>IFERROR(LEFT(发货清单!H142,SEARCH("-",发货清单!H142)-1),发货清单!H142)</f>
        <v>0</v>
      </c>
      <c r="C142" t="str">
        <f>IFERROR(VLOOKUP(发货清单!A142,数据库!A:D,4,0),"")</f>
        <v/>
      </c>
      <c r="D142" t="str">
        <f>IFERROR(VLOOKUP(发货清单!A142,数据库!A:C,3,0),"")</f>
        <v/>
      </c>
      <c r="E142">
        <f>发货清单!M142</f>
        <v>0</v>
      </c>
      <c r="F142">
        <f>发货清单!U142</f>
        <v>0</v>
      </c>
      <c r="G142" t="str">
        <f>IFERROR(VLOOKUP(发货清单!A142,数据库!A:B,2,0),"")</f>
        <v/>
      </c>
      <c r="H142">
        <f>发货清单!N142</f>
        <v>0</v>
      </c>
      <c r="I142" t="str">
        <f t="shared" si="18"/>
        <v/>
      </c>
      <c r="J142" t="str">
        <f t="shared" si="19"/>
        <v xml:space="preserve"> </v>
      </c>
      <c r="K142" t="str">
        <f t="shared" si="20"/>
        <v/>
      </c>
      <c r="L142" t="str">
        <f t="shared" si="21"/>
        <v/>
      </c>
      <c r="N142" s="245">
        <f t="shared" si="22"/>
        <v>0</v>
      </c>
      <c r="O142" s="245">
        <f t="shared" si="23"/>
        <v>0</v>
      </c>
      <c r="P142" t="str">
        <f t="shared" si="24"/>
        <v/>
      </c>
      <c r="Q142" t="str">
        <f>IFERROR(VLOOKUP(P142,数据库!C:M,11,0),"")</f>
        <v/>
      </c>
      <c r="R142" t="str">
        <f t="shared" si="25"/>
        <v/>
      </c>
      <c r="S142">
        <f t="shared" si="26"/>
        <v>0</v>
      </c>
    </row>
    <row r="143" spans="1:19">
      <c r="A143" t="str">
        <f>IF(B143=0,"",发货清单!A143*10^6+COUNTIF($D$2:D143,D143)*10^3+ROW(A142))</f>
        <v/>
      </c>
      <c r="B143">
        <f>IFERROR(LEFT(发货清单!H143,SEARCH("-",发货清单!H143)-1),发货清单!H143)</f>
        <v>0</v>
      </c>
      <c r="C143" t="str">
        <f>IFERROR(VLOOKUP(发货清单!A143,数据库!A:D,4,0),"")</f>
        <v/>
      </c>
      <c r="D143" t="str">
        <f>IFERROR(VLOOKUP(发货清单!A143,数据库!A:C,3,0),"")</f>
        <v/>
      </c>
      <c r="E143">
        <f>发货清单!M143</f>
        <v>0</v>
      </c>
      <c r="F143">
        <f>发货清单!U143</f>
        <v>0</v>
      </c>
      <c r="G143" t="str">
        <f>IFERROR(VLOOKUP(发货清单!A143,数据库!A:B,2,0),"")</f>
        <v/>
      </c>
      <c r="H143">
        <f>发货清单!N143</f>
        <v>0</v>
      </c>
      <c r="I143" t="str">
        <f t="shared" si="18"/>
        <v/>
      </c>
      <c r="J143" t="str">
        <f t="shared" si="19"/>
        <v xml:space="preserve"> </v>
      </c>
      <c r="K143" t="str">
        <f t="shared" si="20"/>
        <v/>
      </c>
      <c r="L143" t="str">
        <f t="shared" si="21"/>
        <v/>
      </c>
      <c r="N143" s="245">
        <f t="shared" si="22"/>
        <v>0</v>
      </c>
      <c r="O143" s="245">
        <f t="shared" si="23"/>
        <v>0</v>
      </c>
      <c r="P143" t="str">
        <f t="shared" si="24"/>
        <v/>
      </c>
      <c r="Q143" t="str">
        <f>IFERROR(VLOOKUP(P143,数据库!C:M,11,0),"")</f>
        <v/>
      </c>
      <c r="R143" t="str">
        <f t="shared" si="25"/>
        <v/>
      </c>
      <c r="S143">
        <f t="shared" si="26"/>
        <v>0</v>
      </c>
    </row>
    <row r="144" spans="1:19">
      <c r="A144" t="str">
        <f>IF(B144=0,"",发货清单!A144*10^6+COUNTIF($D$2:D144,D144)*10^3+ROW(A143))</f>
        <v/>
      </c>
      <c r="B144">
        <f>IFERROR(LEFT(发货清单!H144,SEARCH("-",发货清单!H144)-1),发货清单!H144)</f>
        <v>0</v>
      </c>
      <c r="C144" t="str">
        <f>IFERROR(VLOOKUP(发货清单!A144,数据库!A:D,4,0),"")</f>
        <v/>
      </c>
      <c r="D144" t="str">
        <f>IFERROR(VLOOKUP(发货清单!A144,数据库!A:C,3,0),"")</f>
        <v/>
      </c>
      <c r="E144">
        <f>发货清单!M144</f>
        <v>0</v>
      </c>
      <c r="F144">
        <f>发货清单!U144</f>
        <v>0</v>
      </c>
      <c r="G144" t="str">
        <f>IFERROR(VLOOKUP(发货清单!A144,数据库!A:B,2,0),"")</f>
        <v/>
      </c>
      <c r="H144">
        <f>发货清单!N144</f>
        <v>0</v>
      </c>
      <c r="I144" t="str">
        <f t="shared" si="18"/>
        <v/>
      </c>
      <c r="J144" t="str">
        <f t="shared" si="19"/>
        <v xml:space="preserve"> </v>
      </c>
      <c r="K144" t="str">
        <f t="shared" si="20"/>
        <v/>
      </c>
      <c r="L144" t="str">
        <f t="shared" si="21"/>
        <v/>
      </c>
      <c r="N144" s="245">
        <f t="shared" si="22"/>
        <v>0</v>
      </c>
      <c r="O144" s="245">
        <f t="shared" si="23"/>
        <v>0</v>
      </c>
      <c r="P144" t="str">
        <f t="shared" si="24"/>
        <v/>
      </c>
      <c r="Q144" t="str">
        <f>IFERROR(VLOOKUP(P144,数据库!C:M,11,0),"")</f>
        <v/>
      </c>
      <c r="R144" t="str">
        <f t="shared" si="25"/>
        <v/>
      </c>
      <c r="S144">
        <f t="shared" si="26"/>
        <v>0</v>
      </c>
    </row>
    <row r="145" spans="1:19">
      <c r="A145" t="str">
        <f>IF(B145=0,"",发货清单!A145*10^6+COUNTIF($D$2:D145,D145)*10^3+ROW(A144))</f>
        <v/>
      </c>
      <c r="B145">
        <f>IFERROR(LEFT(发货清单!H145,SEARCH("-",发货清单!H145)-1),发货清单!H145)</f>
        <v>0</v>
      </c>
      <c r="C145" t="str">
        <f>IFERROR(VLOOKUP(发货清单!A145,数据库!A:D,4,0),"")</f>
        <v/>
      </c>
      <c r="D145" t="str">
        <f>IFERROR(VLOOKUP(发货清单!A145,数据库!A:C,3,0),"")</f>
        <v/>
      </c>
      <c r="E145">
        <f>发货清单!M145</f>
        <v>0</v>
      </c>
      <c r="F145">
        <f>发货清单!U145</f>
        <v>0</v>
      </c>
      <c r="G145" t="str">
        <f>IFERROR(VLOOKUP(发货清单!A145,数据库!A:B,2,0),"")</f>
        <v/>
      </c>
      <c r="H145">
        <f>发货清单!N145</f>
        <v>0</v>
      </c>
      <c r="I145" t="str">
        <f t="shared" si="18"/>
        <v/>
      </c>
      <c r="J145" t="str">
        <f t="shared" si="19"/>
        <v xml:space="preserve"> </v>
      </c>
      <c r="K145" t="str">
        <f t="shared" si="20"/>
        <v/>
      </c>
      <c r="L145" t="str">
        <f t="shared" si="21"/>
        <v/>
      </c>
      <c r="N145" s="245">
        <f t="shared" si="22"/>
        <v>0</v>
      </c>
      <c r="O145" s="245">
        <f t="shared" si="23"/>
        <v>0</v>
      </c>
      <c r="P145" t="str">
        <f t="shared" si="24"/>
        <v/>
      </c>
      <c r="Q145" t="str">
        <f>IFERROR(VLOOKUP(P145,数据库!C:M,11,0),"")</f>
        <v/>
      </c>
      <c r="R145" t="str">
        <f t="shared" si="25"/>
        <v/>
      </c>
      <c r="S145">
        <f t="shared" si="26"/>
        <v>0</v>
      </c>
    </row>
    <row r="146" spans="1:19">
      <c r="A146" t="str">
        <f>IF(B146=0,"",发货清单!A146*10^6+COUNTIF($D$2:D146,D146)*10^3+ROW(A145))</f>
        <v/>
      </c>
      <c r="B146">
        <f>IFERROR(LEFT(发货清单!H146,SEARCH("-",发货清单!H146)-1),发货清单!H146)</f>
        <v>0</v>
      </c>
      <c r="C146" t="str">
        <f>IFERROR(VLOOKUP(发货清单!A146,数据库!A:D,4,0),"")</f>
        <v/>
      </c>
      <c r="D146" t="str">
        <f>IFERROR(VLOOKUP(发货清单!A146,数据库!A:C,3,0),"")</f>
        <v/>
      </c>
      <c r="E146">
        <f>发货清单!M146</f>
        <v>0</v>
      </c>
      <c r="F146">
        <f>发货清单!U146</f>
        <v>0</v>
      </c>
      <c r="G146" t="str">
        <f>IFERROR(VLOOKUP(发货清单!A146,数据库!A:B,2,0),"")</f>
        <v/>
      </c>
      <c r="H146">
        <f>发货清单!N146</f>
        <v>0</v>
      </c>
      <c r="I146" t="str">
        <f t="shared" si="18"/>
        <v/>
      </c>
      <c r="J146" t="str">
        <f t="shared" si="19"/>
        <v xml:space="preserve"> </v>
      </c>
      <c r="K146" t="str">
        <f t="shared" si="20"/>
        <v/>
      </c>
      <c r="L146" t="str">
        <f t="shared" si="21"/>
        <v/>
      </c>
      <c r="N146" s="245">
        <f t="shared" si="22"/>
        <v>0</v>
      </c>
      <c r="O146" s="245">
        <f t="shared" si="23"/>
        <v>0</v>
      </c>
      <c r="P146" t="str">
        <f t="shared" si="24"/>
        <v/>
      </c>
      <c r="Q146" t="str">
        <f>IFERROR(VLOOKUP(P146,数据库!C:M,11,0),"")</f>
        <v/>
      </c>
      <c r="R146" t="str">
        <f t="shared" si="25"/>
        <v/>
      </c>
      <c r="S146">
        <f t="shared" si="26"/>
        <v>0</v>
      </c>
    </row>
    <row r="147" spans="1:19">
      <c r="A147" t="str">
        <f>IF(B147=0,"",发货清单!A147*10^6+COUNTIF($D$2:D147,D147)*10^3+ROW(A146))</f>
        <v/>
      </c>
      <c r="B147">
        <f>IFERROR(LEFT(发货清单!H147,SEARCH("-",发货清单!H147)-1),发货清单!H147)</f>
        <v>0</v>
      </c>
      <c r="C147" t="str">
        <f>IFERROR(VLOOKUP(发货清单!A147,数据库!A:D,4,0),"")</f>
        <v/>
      </c>
      <c r="D147" t="str">
        <f>IFERROR(VLOOKUP(发货清单!A147,数据库!A:C,3,0),"")</f>
        <v/>
      </c>
      <c r="E147">
        <f>发货清单!M147</f>
        <v>0</v>
      </c>
      <c r="F147">
        <f>发货清单!U147</f>
        <v>0</v>
      </c>
      <c r="G147" t="str">
        <f>IFERROR(VLOOKUP(发货清单!A147,数据库!A:B,2,0),"")</f>
        <v/>
      </c>
      <c r="H147">
        <f>发货清单!N147</f>
        <v>0</v>
      </c>
      <c r="I147" t="str">
        <f t="shared" si="18"/>
        <v/>
      </c>
      <c r="J147" t="str">
        <f t="shared" si="19"/>
        <v xml:space="preserve"> </v>
      </c>
      <c r="K147" t="str">
        <f t="shared" si="20"/>
        <v/>
      </c>
      <c r="L147" t="str">
        <f t="shared" si="21"/>
        <v/>
      </c>
      <c r="N147" s="245">
        <f t="shared" si="22"/>
        <v>0</v>
      </c>
      <c r="O147" s="245">
        <f t="shared" si="23"/>
        <v>0</v>
      </c>
      <c r="P147" t="str">
        <f t="shared" si="24"/>
        <v/>
      </c>
      <c r="Q147" t="str">
        <f>IFERROR(VLOOKUP(P147,数据库!C:M,11,0),"")</f>
        <v/>
      </c>
      <c r="R147" t="str">
        <f t="shared" si="25"/>
        <v/>
      </c>
      <c r="S147">
        <f t="shared" si="26"/>
        <v>0</v>
      </c>
    </row>
    <row r="148" spans="1:19">
      <c r="A148" t="str">
        <f>IF(B148=0,"",发货清单!A148*10^6+COUNTIF($D$2:D148,D148)*10^3+ROW(A147))</f>
        <v/>
      </c>
      <c r="B148">
        <f>IFERROR(LEFT(发货清单!H148,SEARCH("-",发货清单!H148)-1),发货清单!H148)</f>
        <v>0</v>
      </c>
      <c r="C148" t="str">
        <f>IFERROR(VLOOKUP(发货清单!A148,数据库!A:D,4,0),"")</f>
        <v/>
      </c>
      <c r="D148" t="str">
        <f>IFERROR(VLOOKUP(发货清单!A148,数据库!A:C,3,0),"")</f>
        <v/>
      </c>
      <c r="E148">
        <f>发货清单!M148</f>
        <v>0</v>
      </c>
      <c r="F148">
        <f>发货清单!U148</f>
        <v>0</v>
      </c>
      <c r="G148" t="str">
        <f>IFERROR(VLOOKUP(发货清单!A148,数据库!A:B,2,0),"")</f>
        <v/>
      </c>
      <c r="H148">
        <f>发货清单!N148</f>
        <v>0</v>
      </c>
      <c r="I148" t="str">
        <f t="shared" si="18"/>
        <v/>
      </c>
      <c r="J148" t="str">
        <f t="shared" si="19"/>
        <v xml:space="preserve"> </v>
      </c>
      <c r="K148" t="str">
        <f t="shared" si="20"/>
        <v/>
      </c>
      <c r="L148" t="str">
        <f t="shared" si="21"/>
        <v/>
      </c>
      <c r="N148" s="245">
        <f t="shared" si="22"/>
        <v>0</v>
      </c>
      <c r="O148" s="245">
        <f t="shared" si="23"/>
        <v>0</v>
      </c>
      <c r="P148" t="str">
        <f t="shared" si="24"/>
        <v/>
      </c>
      <c r="Q148" t="str">
        <f>IFERROR(VLOOKUP(P148,数据库!C:M,11,0),"")</f>
        <v/>
      </c>
      <c r="R148" t="str">
        <f t="shared" si="25"/>
        <v/>
      </c>
      <c r="S148">
        <f t="shared" si="26"/>
        <v>0</v>
      </c>
    </row>
    <row r="149" spans="1:19">
      <c r="A149" t="str">
        <f>IF(B149=0,"",发货清单!A149*10^6+COUNTIF($D$2:D149,D149)*10^3+ROW(A148))</f>
        <v/>
      </c>
      <c r="B149">
        <f>IFERROR(LEFT(发货清单!H149,SEARCH("-",发货清单!H149)-1),发货清单!H149)</f>
        <v>0</v>
      </c>
      <c r="C149" t="str">
        <f>IFERROR(VLOOKUP(发货清单!A149,数据库!A:D,4,0),"")</f>
        <v/>
      </c>
      <c r="D149" t="str">
        <f>IFERROR(VLOOKUP(发货清单!A149,数据库!A:C,3,0),"")</f>
        <v/>
      </c>
      <c r="E149">
        <f>发货清单!M149</f>
        <v>0</v>
      </c>
      <c r="F149">
        <f>发货清单!U149</f>
        <v>0</v>
      </c>
      <c r="G149" t="str">
        <f>IFERROR(VLOOKUP(发货清单!A149,数据库!A:B,2,0),"")</f>
        <v/>
      </c>
      <c r="H149">
        <f>发货清单!N149</f>
        <v>0</v>
      </c>
      <c r="I149" t="str">
        <f t="shared" si="18"/>
        <v/>
      </c>
      <c r="J149" t="str">
        <f t="shared" si="19"/>
        <v xml:space="preserve"> </v>
      </c>
      <c r="K149" t="str">
        <f t="shared" si="20"/>
        <v/>
      </c>
      <c r="L149" t="str">
        <f t="shared" si="21"/>
        <v/>
      </c>
      <c r="N149" s="245">
        <f t="shared" si="22"/>
        <v>0</v>
      </c>
      <c r="O149" s="245">
        <f t="shared" si="23"/>
        <v>0</v>
      </c>
      <c r="P149" t="str">
        <f t="shared" si="24"/>
        <v/>
      </c>
      <c r="Q149" t="str">
        <f>IFERROR(VLOOKUP(P149,数据库!C:M,11,0),"")</f>
        <v/>
      </c>
      <c r="R149" t="str">
        <f t="shared" si="25"/>
        <v/>
      </c>
      <c r="S149">
        <f t="shared" si="26"/>
        <v>0</v>
      </c>
    </row>
    <row r="150" spans="1:19">
      <c r="A150" t="str">
        <f>IF(B150=0,"",发货清单!A150*10^6+COUNTIF($D$2:D150,D150)*10^3+ROW(A149))</f>
        <v/>
      </c>
      <c r="B150">
        <f>IFERROR(LEFT(发货清单!H150,SEARCH("-",发货清单!H150)-1),发货清单!H150)</f>
        <v>0</v>
      </c>
      <c r="C150" t="str">
        <f>IFERROR(VLOOKUP(发货清单!A150,数据库!A:D,4,0),"")</f>
        <v/>
      </c>
      <c r="D150" t="str">
        <f>IFERROR(VLOOKUP(发货清单!A150,数据库!A:C,3,0),"")</f>
        <v/>
      </c>
      <c r="E150">
        <f>发货清单!M150</f>
        <v>0</v>
      </c>
      <c r="F150">
        <f>发货清单!U150</f>
        <v>0</v>
      </c>
      <c r="G150" t="str">
        <f>IFERROR(VLOOKUP(发货清单!A150,数据库!A:B,2,0),"")</f>
        <v/>
      </c>
      <c r="H150">
        <f>发货清单!N150</f>
        <v>0</v>
      </c>
      <c r="I150" t="str">
        <f t="shared" si="18"/>
        <v/>
      </c>
      <c r="J150" t="str">
        <f t="shared" si="19"/>
        <v xml:space="preserve"> </v>
      </c>
      <c r="K150" t="str">
        <f t="shared" si="20"/>
        <v/>
      </c>
      <c r="L150" t="str">
        <f t="shared" si="21"/>
        <v/>
      </c>
      <c r="N150" s="245">
        <f t="shared" si="22"/>
        <v>0</v>
      </c>
      <c r="O150" s="245">
        <f t="shared" si="23"/>
        <v>0</v>
      </c>
      <c r="P150" t="str">
        <f t="shared" si="24"/>
        <v/>
      </c>
      <c r="Q150" t="str">
        <f>IFERROR(VLOOKUP(P150,数据库!C:M,11,0),"")</f>
        <v/>
      </c>
      <c r="R150" t="str">
        <f t="shared" si="25"/>
        <v/>
      </c>
      <c r="S150">
        <f t="shared" si="26"/>
        <v>0</v>
      </c>
    </row>
    <row r="151" spans="1:19">
      <c r="A151" t="str">
        <f>IF(B151=0,"",发货清单!A151*10^6+COUNTIF($D$2:D151,D151)*10^3+ROW(A150))</f>
        <v/>
      </c>
      <c r="B151">
        <f>IFERROR(LEFT(发货清单!H151,SEARCH("-",发货清单!H151)-1),发货清单!H151)</f>
        <v>0</v>
      </c>
      <c r="C151" t="str">
        <f>IFERROR(VLOOKUP(发货清单!A151,数据库!A:D,4,0),"")</f>
        <v/>
      </c>
      <c r="D151" t="str">
        <f>IFERROR(VLOOKUP(发货清单!A151,数据库!A:C,3,0),"")</f>
        <v/>
      </c>
      <c r="E151">
        <f>发货清单!M151</f>
        <v>0</v>
      </c>
      <c r="F151">
        <f>发货清单!U151</f>
        <v>0</v>
      </c>
      <c r="G151" t="str">
        <f>IFERROR(VLOOKUP(发货清单!A151,数据库!A:B,2,0),"")</f>
        <v/>
      </c>
      <c r="H151">
        <f>发货清单!N151</f>
        <v>0</v>
      </c>
      <c r="I151" t="str">
        <f t="shared" si="18"/>
        <v/>
      </c>
      <c r="J151" t="str">
        <f t="shared" si="19"/>
        <v xml:space="preserve"> </v>
      </c>
      <c r="K151" t="str">
        <f t="shared" si="20"/>
        <v/>
      </c>
      <c r="L151" t="str">
        <f t="shared" si="21"/>
        <v/>
      </c>
      <c r="N151" s="245">
        <f t="shared" si="22"/>
        <v>0</v>
      </c>
      <c r="O151" s="245">
        <f t="shared" si="23"/>
        <v>0</v>
      </c>
      <c r="P151" t="str">
        <f t="shared" si="24"/>
        <v/>
      </c>
      <c r="Q151" t="str">
        <f>IFERROR(VLOOKUP(P151,数据库!C:M,11,0),"")</f>
        <v/>
      </c>
      <c r="R151" t="str">
        <f t="shared" si="25"/>
        <v/>
      </c>
      <c r="S151">
        <f t="shared" si="26"/>
        <v>0</v>
      </c>
    </row>
    <row r="152" spans="1:19">
      <c r="A152" t="str">
        <f>IF(B152=0,"",发货清单!A152*10^6+COUNTIF($D$2:D152,D152)*10^3+ROW(A151))</f>
        <v/>
      </c>
      <c r="B152">
        <f>IFERROR(LEFT(发货清单!H152,SEARCH("-",发货清单!H152)-1),发货清单!H152)</f>
        <v>0</v>
      </c>
      <c r="C152" t="str">
        <f>IFERROR(VLOOKUP(发货清单!A152,数据库!A:D,4,0),"")</f>
        <v/>
      </c>
      <c r="D152" t="str">
        <f>IFERROR(VLOOKUP(发货清单!A152,数据库!A:C,3,0),"")</f>
        <v/>
      </c>
      <c r="E152">
        <f>发货清单!M152</f>
        <v>0</v>
      </c>
      <c r="F152">
        <f>发货清单!U152</f>
        <v>0</v>
      </c>
      <c r="G152" t="str">
        <f>IFERROR(VLOOKUP(发货清单!A152,数据库!A:B,2,0),"")</f>
        <v/>
      </c>
      <c r="H152">
        <f>发货清单!N152</f>
        <v>0</v>
      </c>
      <c r="I152" t="str">
        <f t="shared" si="18"/>
        <v/>
      </c>
      <c r="J152" t="str">
        <f t="shared" si="19"/>
        <v xml:space="preserve"> </v>
      </c>
      <c r="K152" t="str">
        <f t="shared" si="20"/>
        <v/>
      </c>
      <c r="L152" t="str">
        <f t="shared" si="21"/>
        <v/>
      </c>
      <c r="N152" s="245">
        <f t="shared" si="22"/>
        <v>0</v>
      </c>
      <c r="O152" s="245">
        <f t="shared" si="23"/>
        <v>0</v>
      </c>
      <c r="P152" t="str">
        <f t="shared" si="24"/>
        <v/>
      </c>
      <c r="Q152" t="str">
        <f>IFERROR(VLOOKUP(P152,数据库!C:M,11,0),"")</f>
        <v/>
      </c>
      <c r="R152" t="str">
        <f t="shared" si="25"/>
        <v/>
      </c>
      <c r="S152">
        <f t="shared" si="26"/>
        <v>0</v>
      </c>
    </row>
    <row r="153" spans="1:19">
      <c r="A153" t="str">
        <f>IF(B153=0,"",发货清单!A153*10^6+COUNTIF($D$2:D153,D153)*10^3+ROW(A152))</f>
        <v/>
      </c>
      <c r="B153">
        <f>IFERROR(LEFT(发货清单!H153,SEARCH("-",发货清单!H153)-1),发货清单!H153)</f>
        <v>0</v>
      </c>
      <c r="C153" t="str">
        <f>IFERROR(VLOOKUP(发货清单!A153,数据库!A:D,4,0),"")</f>
        <v/>
      </c>
      <c r="D153" t="str">
        <f>IFERROR(VLOOKUP(发货清单!A153,数据库!A:C,3,0),"")</f>
        <v/>
      </c>
      <c r="E153">
        <f>发货清单!M153</f>
        <v>0</v>
      </c>
      <c r="F153">
        <f>发货清单!U153</f>
        <v>0</v>
      </c>
      <c r="G153" t="str">
        <f>IFERROR(VLOOKUP(发货清单!A153,数据库!A:B,2,0),"")</f>
        <v/>
      </c>
      <c r="H153">
        <f>发货清单!N153</f>
        <v>0</v>
      </c>
      <c r="I153" t="str">
        <f t="shared" si="18"/>
        <v/>
      </c>
      <c r="J153" t="str">
        <f t="shared" si="19"/>
        <v xml:space="preserve"> </v>
      </c>
      <c r="K153" t="str">
        <f t="shared" si="20"/>
        <v/>
      </c>
      <c r="L153" t="str">
        <f t="shared" si="21"/>
        <v/>
      </c>
      <c r="N153" s="245">
        <f t="shared" si="22"/>
        <v>0</v>
      </c>
      <c r="O153" s="245">
        <f t="shared" si="23"/>
        <v>0</v>
      </c>
      <c r="P153" t="str">
        <f t="shared" si="24"/>
        <v/>
      </c>
      <c r="Q153" t="str">
        <f>IFERROR(VLOOKUP(P153,数据库!C:M,11,0),"")</f>
        <v/>
      </c>
      <c r="R153" t="str">
        <f t="shared" si="25"/>
        <v/>
      </c>
      <c r="S153">
        <f t="shared" si="26"/>
        <v>0</v>
      </c>
    </row>
    <row r="154" spans="1:19">
      <c r="A154" t="str">
        <f>IF(B154=0,"",发货清单!A154*10^6+COUNTIF($D$2:D154,D154)*10^3+ROW(A153))</f>
        <v/>
      </c>
      <c r="B154">
        <f>IFERROR(LEFT(发货清单!H154,SEARCH("-",发货清单!H154)-1),发货清单!H154)</f>
        <v>0</v>
      </c>
      <c r="C154" t="str">
        <f>IFERROR(VLOOKUP(发货清单!A154,数据库!A:D,4,0),"")</f>
        <v/>
      </c>
      <c r="D154" t="str">
        <f>IFERROR(VLOOKUP(发货清单!A154,数据库!A:C,3,0),"")</f>
        <v/>
      </c>
      <c r="E154">
        <f>发货清单!M154</f>
        <v>0</v>
      </c>
      <c r="F154">
        <f>发货清单!U154</f>
        <v>0</v>
      </c>
      <c r="G154" t="str">
        <f>IFERROR(VLOOKUP(发货清单!A154,数据库!A:B,2,0),"")</f>
        <v/>
      </c>
      <c r="H154">
        <f>发货清单!N154</f>
        <v>0</v>
      </c>
      <c r="I154" t="str">
        <f t="shared" si="18"/>
        <v/>
      </c>
      <c r="J154" t="str">
        <f t="shared" si="19"/>
        <v xml:space="preserve"> </v>
      </c>
      <c r="K154" t="str">
        <f t="shared" si="20"/>
        <v/>
      </c>
      <c r="L154" t="str">
        <f t="shared" si="21"/>
        <v/>
      </c>
      <c r="N154" s="245">
        <f t="shared" si="22"/>
        <v>0</v>
      </c>
      <c r="O154" s="245">
        <f t="shared" si="23"/>
        <v>0</v>
      </c>
      <c r="P154" t="str">
        <f t="shared" si="24"/>
        <v/>
      </c>
      <c r="Q154" t="str">
        <f>IFERROR(VLOOKUP(P154,数据库!C:M,11,0),"")</f>
        <v/>
      </c>
      <c r="R154" t="str">
        <f t="shared" si="25"/>
        <v/>
      </c>
      <c r="S154">
        <f t="shared" si="26"/>
        <v>0</v>
      </c>
    </row>
    <row r="155" spans="1:19">
      <c r="A155" t="str">
        <f>IF(B155=0,"",发货清单!A155*10^6+COUNTIF($D$2:D155,D155)*10^3+ROW(A154))</f>
        <v/>
      </c>
      <c r="B155">
        <f>IFERROR(LEFT(发货清单!H155,SEARCH("-",发货清单!H155)-1),发货清单!H155)</f>
        <v>0</v>
      </c>
      <c r="C155" t="str">
        <f>IFERROR(VLOOKUP(发货清单!A155,数据库!A:D,4,0),"")</f>
        <v/>
      </c>
      <c r="D155" t="str">
        <f>IFERROR(VLOOKUP(发货清单!A155,数据库!A:C,3,0),"")</f>
        <v/>
      </c>
      <c r="E155">
        <f>发货清单!M155</f>
        <v>0</v>
      </c>
      <c r="F155">
        <f>发货清单!U155</f>
        <v>0</v>
      </c>
      <c r="G155" t="str">
        <f>IFERROR(VLOOKUP(发货清单!A155,数据库!A:B,2,0),"")</f>
        <v/>
      </c>
      <c r="H155">
        <f>发货清单!N155</f>
        <v>0</v>
      </c>
      <c r="I155" t="str">
        <f t="shared" si="18"/>
        <v/>
      </c>
      <c r="J155" t="str">
        <f t="shared" si="19"/>
        <v xml:space="preserve"> </v>
      </c>
      <c r="K155" t="str">
        <f t="shared" si="20"/>
        <v/>
      </c>
      <c r="L155" t="str">
        <f t="shared" si="21"/>
        <v/>
      </c>
      <c r="N155" s="245">
        <f t="shared" si="22"/>
        <v>0</v>
      </c>
      <c r="O155" s="245">
        <f t="shared" si="23"/>
        <v>0</v>
      </c>
      <c r="P155" t="str">
        <f t="shared" si="24"/>
        <v/>
      </c>
      <c r="Q155" t="str">
        <f>IFERROR(VLOOKUP(P155,数据库!C:M,11,0),"")</f>
        <v/>
      </c>
      <c r="R155" t="str">
        <f t="shared" si="25"/>
        <v/>
      </c>
      <c r="S155">
        <f t="shared" si="26"/>
        <v>0</v>
      </c>
    </row>
    <row r="156" spans="1:19">
      <c r="A156" t="str">
        <f>IF(B156=0,"",发货清单!A156*10^6+COUNTIF($D$2:D156,D156)*10^3+ROW(A155))</f>
        <v/>
      </c>
      <c r="B156">
        <f>IFERROR(LEFT(发货清单!H156,SEARCH("-",发货清单!H156)-1),发货清单!H156)</f>
        <v>0</v>
      </c>
      <c r="C156" t="str">
        <f>IFERROR(VLOOKUP(发货清单!A156,数据库!A:D,4,0),"")</f>
        <v/>
      </c>
      <c r="D156" t="str">
        <f>IFERROR(VLOOKUP(发货清单!A156,数据库!A:C,3,0),"")</f>
        <v/>
      </c>
      <c r="E156">
        <f>发货清单!M156</f>
        <v>0</v>
      </c>
      <c r="F156">
        <f>发货清单!U156</f>
        <v>0</v>
      </c>
      <c r="G156" t="str">
        <f>IFERROR(VLOOKUP(发货清单!A156,数据库!A:B,2,0),"")</f>
        <v/>
      </c>
      <c r="H156">
        <f>发货清单!N156</f>
        <v>0</v>
      </c>
      <c r="I156" t="str">
        <f t="shared" si="18"/>
        <v/>
      </c>
      <c r="J156" t="str">
        <f t="shared" si="19"/>
        <v xml:space="preserve"> </v>
      </c>
      <c r="K156" t="str">
        <f t="shared" si="20"/>
        <v/>
      </c>
      <c r="L156" t="str">
        <f t="shared" si="21"/>
        <v/>
      </c>
      <c r="N156" s="245">
        <f t="shared" si="22"/>
        <v>0</v>
      </c>
      <c r="O156" s="245">
        <f t="shared" si="23"/>
        <v>0</v>
      </c>
      <c r="P156" t="str">
        <f t="shared" si="24"/>
        <v/>
      </c>
      <c r="Q156" t="str">
        <f>IFERROR(VLOOKUP(P156,数据库!C:M,11,0),"")</f>
        <v/>
      </c>
      <c r="R156" t="str">
        <f t="shared" si="25"/>
        <v/>
      </c>
      <c r="S156">
        <f t="shared" si="26"/>
        <v>0</v>
      </c>
    </row>
    <row r="157" spans="1:19">
      <c r="A157" t="str">
        <f>IF(B157=0,"",发货清单!A157*10^6+COUNTIF($D$2:D157,D157)*10^3+ROW(A156))</f>
        <v/>
      </c>
      <c r="B157">
        <f>IFERROR(LEFT(发货清单!H157,SEARCH("-",发货清单!H157)-1),发货清单!H157)</f>
        <v>0</v>
      </c>
      <c r="C157" t="str">
        <f>IFERROR(VLOOKUP(发货清单!A157,数据库!A:D,4,0),"")</f>
        <v/>
      </c>
      <c r="D157" t="str">
        <f>IFERROR(VLOOKUP(发货清单!A157,数据库!A:C,3,0),"")</f>
        <v/>
      </c>
      <c r="E157">
        <f>发货清单!M157</f>
        <v>0</v>
      </c>
      <c r="F157">
        <f>发货清单!U157</f>
        <v>0</v>
      </c>
      <c r="G157" t="str">
        <f>IFERROR(VLOOKUP(发货清单!A157,数据库!A:B,2,0),"")</f>
        <v/>
      </c>
      <c r="H157">
        <f>发货清单!N157</f>
        <v>0</v>
      </c>
      <c r="I157" t="str">
        <f t="shared" si="18"/>
        <v/>
      </c>
      <c r="J157" t="str">
        <f t="shared" si="19"/>
        <v xml:space="preserve"> </v>
      </c>
      <c r="K157" t="str">
        <f t="shared" si="20"/>
        <v/>
      </c>
      <c r="L157" t="str">
        <f t="shared" si="21"/>
        <v/>
      </c>
      <c r="N157" s="245">
        <f t="shared" si="22"/>
        <v>0</v>
      </c>
      <c r="O157" s="245">
        <f t="shared" si="23"/>
        <v>0</v>
      </c>
      <c r="P157" t="str">
        <f t="shared" si="24"/>
        <v/>
      </c>
      <c r="Q157" t="str">
        <f>IFERROR(VLOOKUP(P157,数据库!C:M,11,0),"")</f>
        <v/>
      </c>
      <c r="R157" t="str">
        <f t="shared" si="25"/>
        <v/>
      </c>
      <c r="S157">
        <f t="shared" si="26"/>
        <v>0</v>
      </c>
    </row>
    <row r="158" spans="1:19">
      <c r="A158" t="str">
        <f>IF(B158=0,"",发货清单!A158*10^6+COUNTIF($D$2:D158,D158)*10^3+ROW(A157))</f>
        <v/>
      </c>
      <c r="B158">
        <f>IFERROR(LEFT(发货清单!H158,SEARCH("-",发货清单!H158)-1),发货清单!H158)</f>
        <v>0</v>
      </c>
      <c r="C158" t="str">
        <f>IFERROR(VLOOKUP(发货清单!A158,数据库!A:D,4,0),"")</f>
        <v/>
      </c>
      <c r="D158" t="str">
        <f>IFERROR(VLOOKUP(发货清单!A158,数据库!A:C,3,0),"")</f>
        <v/>
      </c>
      <c r="E158">
        <f>发货清单!M158</f>
        <v>0</v>
      </c>
      <c r="F158">
        <f>发货清单!U158</f>
        <v>0</v>
      </c>
      <c r="G158" t="str">
        <f>IFERROR(VLOOKUP(发货清单!A158,数据库!A:B,2,0),"")</f>
        <v/>
      </c>
      <c r="H158">
        <f>发货清单!N158</f>
        <v>0</v>
      </c>
      <c r="I158" t="str">
        <f t="shared" si="18"/>
        <v/>
      </c>
      <c r="J158" t="str">
        <f t="shared" si="19"/>
        <v xml:space="preserve"> </v>
      </c>
      <c r="K158" t="str">
        <f t="shared" si="20"/>
        <v/>
      </c>
      <c r="L158" t="str">
        <f t="shared" si="21"/>
        <v/>
      </c>
      <c r="N158" s="245">
        <f t="shared" si="22"/>
        <v>0</v>
      </c>
      <c r="O158" s="245">
        <f t="shared" si="23"/>
        <v>0</v>
      </c>
      <c r="P158" t="str">
        <f t="shared" si="24"/>
        <v/>
      </c>
      <c r="Q158" t="str">
        <f>IFERROR(VLOOKUP(P158,数据库!C:M,11,0),"")</f>
        <v/>
      </c>
      <c r="R158" t="str">
        <f t="shared" si="25"/>
        <v/>
      </c>
      <c r="S158">
        <f t="shared" si="26"/>
        <v>0</v>
      </c>
    </row>
    <row r="159" spans="1:19">
      <c r="A159" t="str">
        <f>IF(B159=0,"",发货清单!A159*10^6+COUNTIF($D$2:D159,D159)*10^3+ROW(A158))</f>
        <v/>
      </c>
      <c r="B159">
        <f>IFERROR(LEFT(发货清单!H159,SEARCH("-",发货清单!H159)-1),发货清单!H159)</f>
        <v>0</v>
      </c>
      <c r="C159" t="str">
        <f>IFERROR(VLOOKUP(发货清单!A159,数据库!A:D,4,0),"")</f>
        <v/>
      </c>
      <c r="D159" t="str">
        <f>IFERROR(VLOOKUP(发货清单!A159,数据库!A:C,3,0),"")</f>
        <v/>
      </c>
      <c r="E159">
        <f>发货清单!M159</f>
        <v>0</v>
      </c>
      <c r="F159">
        <f>发货清单!U159</f>
        <v>0</v>
      </c>
      <c r="G159" t="str">
        <f>IFERROR(VLOOKUP(发货清单!A159,数据库!A:B,2,0),"")</f>
        <v/>
      </c>
      <c r="H159">
        <f>发货清单!N159</f>
        <v>0</v>
      </c>
      <c r="I159" t="str">
        <f t="shared" si="18"/>
        <v/>
      </c>
      <c r="J159" t="str">
        <f t="shared" si="19"/>
        <v xml:space="preserve"> </v>
      </c>
      <c r="K159" t="str">
        <f t="shared" si="20"/>
        <v/>
      </c>
      <c r="L159" t="str">
        <f t="shared" si="21"/>
        <v/>
      </c>
      <c r="N159" s="245">
        <f t="shared" si="22"/>
        <v>0</v>
      </c>
      <c r="O159" s="245">
        <f t="shared" si="23"/>
        <v>0</v>
      </c>
      <c r="P159" t="str">
        <f t="shared" si="24"/>
        <v/>
      </c>
      <c r="Q159" t="str">
        <f>IFERROR(VLOOKUP(P159,数据库!C:M,11,0),"")</f>
        <v/>
      </c>
      <c r="R159" t="str">
        <f t="shared" si="25"/>
        <v/>
      </c>
      <c r="S159">
        <f t="shared" si="26"/>
        <v>0</v>
      </c>
    </row>
    <row r="160" spans="1:19">
      <c r="A160" t="str">
        <f>IF(B160=0,"",发货清单!A160*10^6+COUNTIF($D$2:D160,D160)*10^3+ROW(A159))</f>
        <v/>
      </c>
      <c r="B160">
        <f>IFERROR(LEFT(发货清单!H160,SEARCH("-",发货清单!H160)-1),发货清单!H160)</f>
        <v>0</v>
      </c>
      <c r="C160" t="str">
        <f>IFERROR(VLOOKUP(发货清单!A160,数据库!A:D,4,0),"")</f>
        <v/>
      </c>
      <c r="D160" t="str">
        <f>IFERROR(VLOOKUP(发货清单!A160,数据库!A:C,3,0),"")</f>
        <v/>
      </c>
      <c r="E160">
        <f>发货清单!M160</f>
        <v>0</v>
      </c>
      <c r="F160">
        <f>发货清单!U160</f>
        <v>0</v>
      </c>
      <c r="G160" t="str">
        <f>IFERROR(VLOOKUP(发货清单!A160,数据库!A:B,2,0),"")</f>
        <v/>
      </c>
      <c r="H160">
        <f>发货清单!N160</f>
        <v>0</v>
      </c>
      <c r="I160" t="str">
        <f t="shared" si="18"/>
        <v/>
      </c>
      <c r="J160" t="str">
        <f t="shared" si="19"/>
        <v xml:space="preserve"> </v>
      </c>
      <c r="K160" t="str">
        <f t="shared" si="20"/>
        <v/>
      </c>
      <c r="L160" t="str">
        <f t="shared" si="21"/>
        <v/>
      </c>
      <c r="N160" s="245">
        <f t="shared" si="22"/>
        <v>0</v>
      </c>
      <c r="O160" s="245">
        <f t="shared" si="23"/>
        <v>0</v>
      </c>
      <c r="P160" t="str">
        <f t="shared" si="24"/>
        <v/>
      </c>
      <c r="Q160" t="str">
        <f>IFERROR(VLOOKUP(P160,数据库!C:M,11,0),"")</f>
        <v/>
      </c>
      <c r="R160" t="str">
        <f t="shared" si="25"/>
        <v/>
      </c>
      <c r="S160">
        <f t="shared" si="26"/>
        <v>0</v>
      </c>
    </row>
    <row r="161" spans="1:19">
      <c r="A161" t="str">
        <f>IF(B161=0,"",发货清单!A161*10^6+COUNTIF($D$2:D161,D161)*10^3+ROW(A160))</f>
        <v/>
      </c>
      <c r="B161">
        <f>IFERROR(LEFT(发货清单!H161,SEARCH("-",发货清单!H161)-1),发货清单!H161)</f>
        <v>0</v>
      </c>
      <c r="C161" t="str">
        <f>IFERROR(VLOOKUP(发货清单!A161,数据库!A:D,4,0),"")</f>
        <v/>
      </c>
      <c r="D161" t="str">
        <f>IFERROR(VLOOKUP(发货清单!A161,数据库!A:C,3,0),"")</f>
        <v/>
      </c>
      <c r="E161">
        <f>发货清单!M161</f>
        <v>0</v>
      </c>
      <c r="F161">
        <f>发货清单!U161</f>
        <v>0</v>
      </c>
      <c r="G161" t="str">
        <f>IFERROR(VLOOKUP(发货清单!A161,数据库!A:B,2,0),"")</f>
        <v/>
      </c>
      <c r="H161">
        <f>发货清单!N161</f>
        <v>0</v>
      </c>
      <c r="I161" t="str">
        <f t="shared" si="18"/>
        <v/>
      </c>
      <c r="J161" t="str">
        <f t="shared" si="19"/>
        <v xml:space="preserve"> </v>
      </c>
      <c r="K161" t="str">
        <f t="shared" si="20"/>
        <v/>
      </c>
      <c r="L161" t="str">
        <f t="shared" si="21"/>
        <v/>
      </c>
      <c r="N161" s="245">
        <f t="shared" si="22"/>
        <v>0</v>
      </c>
      <c r="O161" s="245">
        <f t="shared" si="23"/>
        <v>0</v>
      </c>
      <c r="P161" t="str">
        <f t="shared" si="24"/>
        <v/>
      </c>
      <c r="Q161" t="str">
        <f>IFERROR(VLOOKUP(P161,数据库!C:M,11,0),"")</f>
        <v/>
      </c>
      <c r="R161" t="str">
        <f t="shared" si="25"/>
        <v/>
      </c>
      <c r="S161">
        <f t="shared" si="26"/>
        <v>0</v>
      </c>
    </row>
    <row r="162" spans="1:19">
      <c r="A162" t="str">
        <f>IF(B162=0,"",发货清单!A162*10^6+COUNTIF($D$2:D162,D162)*10^3+ROW(A161))</f>
        <v/>
      </c>
      <c r="B162">
        <f>IFERROR(LEFT(发货清单!H162,SEARCH("-",发货清单!H162)-1),发货清单!H162)</f>
        <v>0</v>
      </c>
      <c r="C162" t="str">
        <f>IFERROR(VLOOKUP(发货清单!A162,数据库!A:D,4,0),"")</f>
        <v/>
      </c>
      <c r="D162" t="str">
        <f>IFERROR(VLOOKUP(发货清单!A162,数据库!A:C,3,0),"")</f>
        <v/>
      </c>
      <c r="E162">
        <f>发货清单!M162</f>
        <v>0</v>
      </c>
      <c r="F162">
        <f>发货清单!U162</f>
        <v>0</v>
      </c>
      <c r="G162" t="str">
        <f>IFERROR(VLOOKUP(发货清单!A162,数据库!A:B,2,0),"")</f>
        <v/>
      </c>
      <c r="H162">
        <f>发货清单!N162</f>
        <v>0</v>
      </c>
      <c r="I162" t="str">
        <f t="shared" si="18"/>
        <v/>
      </c>
      <c r="J162" t="str">
        <f t="shared" si="19"/>
        <v xml:space="preserve"> </v>
      </c>
      <c r="K162" t="str">
        <f t="shared" si="20"/>
        <v/>
      </c>
      <c r="L162" t="str">
        <f t="shared" si="21"/>
        <v/>
      </c>
      <c r="N162" s="245">
        <f t="shared" si="22"/>
        <v>0</v>
      </c>
      <c r="O162" s="245">
        <f t="shared" si="23"/>
        <v>0</v>
      </c>
      <c r="P162" t="str">
        <f t="shared" si="24"/>
        <v/>
      </c>
      <c r="Q162" t="str">
        <f>IFERROR(VLOOKUP(P162,数据库!C:M,11,0),"")</f>
        <v/>
      </c>
      <c r="R162" t="str">
        <f t="shared" si="25"/>
        <v/>
      </c>
      <c r="S162">
        <f t="shared" si="26"/>
        <v>0</v>
      </c>
    </row>
    <row r="163" spans="1:19">
      <c r="A163" t="str">
        <f>IF(B163=0,"",发货清单!A163*10^6+COUNTIF($D$2:D163,D163)*10^3+ROW(A162))</f>
        <v/>
      </c>
      <c r="B163">
        <f>IFERROR(LEFT(发货清单!H163,SEARCH("-",发货清单!H163)-1),发货清单!H163)</f>
        <v>0</v>
      </c>
      <c r="C163" t="str">
        <f>IFERROR(VLOOKUP(发货清单!A163,数据库!A:D,4,0),"")</f>
        <v/>
      </c>
      <c r="D163" t="str">
        <f>IFERROR(VLOOKUP(发货清单!A163,数据库!A:C,3,0),"")</f>
        <v/>
      </c>
      <c r="E163">
        <f>发货清单!M163</f>
        <v>0</v>
      </c>
      <c r="F163">
        <f>发货清单!U163</f>
        <v>0</v>
      </c>
      <c r="G163" t="str">
        <f>IFERROR(VLOOKUP(发货清单!A163,数据库!A:B,2,0),"")</f>
        <v/>
      </c>
      <c r="H163">
        <f>发货清单!N163</f>
        <v>0</v>
      </c>
      <c r="I163" t="str">
        <f t="shared" si="18"/>
        <v/>
      </c>
      <c r="J163" t="str">
        <f t="shared" si="19"/>
        <v xml:space="preserve"> </v>
      </c>
      <c r="K163" t="str">
        <f t="shared" si="20"/>
        <v/>
      </c>
      <c r="L163" t="str">
        <f t="shared" si="21"/>
        <v/>
      </c>
      <c r="N163" s="245">
        <f t="shared" si="22"/>
        <v>0</v>
      </c>
      <c r="O163" s="245">
        <f t="shared" si="23"/>
        <v>0</v>
      </c>
      <c r="P163" t="str">
        <f t="shared" si="24"/>
        <v/>
      </c>
      <c r="Q163" t="str">
        <f>IFERROR(VLOOKUP(P163,数据库!C:M,11,0),"")</f>
        <v/>
      </c>
      <c r="R163" t="str">
        <f t="shared" si="25"/>
        <v/>
      </c>
      <c r="S163">
        <f t="shared" si="26"/>
        <v>0</v>
      </c>
    </row>
    <row r="164" spans="1:19">
      <c r="A164" t="str">
        <f>IF(B164=0,"",发货清单!A164*10^6+COUNTIF($D$2:D164,D164)*10^3+ROW(A163))</f>
        <v/>
      </c>
      <c r="B164">
        <f>IFERROR(LEFT(发货清单!H164,SEARCH("-",发货清单!H164)-1),发货清单!H164)</f>
        <v>0</v>
      </c>
      <c r="C164" t="str">
        <f>IFERROR(VLOOKUP(发货清单!A164,数据库!A:D,4,0),"")</f>
        <v/>
      </c>
      <c r="D164" t="str">
        <f>IFERROR(VLOOKUP(发货清单!A164,数据库!A:C,3,0),"")</f>
        <v/>
      </c>
      <c r="E164">
        <f>发货清单!M164</f>
        <v>0</v>
      </c>
      <c r="F164">
        <f>发货清单!U164</f>
        <v>0</v>
      </c>
      <c r="G164" t="str">
        <f>IFERROR(VLOOKUP(发货清单!A164,数据库!A:B,2,0),"")</f>
        <v/>
      </c>
      <c r="H164">
        <f>发货清单!N164</f>
        <v>0</v>
      </c>
      <c r="I164" t="str">
        <f t="shared" si="18"/>
        <v/>
      </c>
      <c r="J164" t="str">
        <f t="shared" si="19"/>
        <v xml:space="preserve"> </v>
      </c>
      <c r="K164" t="str">
        <f t="shared" si="20"/>
        <v/>
      </c>
      <c r="L164" t="str">
        <f t="shared" si="21"/>
        <v/>
      </c>
      <c r="N164" s="245">
        <f t="shared" si="22"/>
        <v>0</v>
      </c>
      <c r="O164" s="245">
        <f t="shared" si="23"/>
        <v>0</v>
      </c>
      <c r="P164" t="str">
        <f t="shared" si="24"/>
        <v/>
      </c>
      <c r="Q164" t="str">
        <f>IFERROR(VLOOKUP(P164,数据库!C:M,11,0),"")</f>
        <v/>
      </c>
      <c r="R164" t="str">
        <f t="shared" si="25"/>
        <v/>
      </c>
      <c r="S164">
        <f t="shared" si="26"/>
        <v>0</v>
      </c>
    </row>
    <row r="165" spans="1:19">
      <c r="A165" t="str">
        <f>IF(B165=0,"",发货清单!A165*10^6+COUNTIF($D$2:D165,D165)*10^3+ROW(A164))</f>
        <v/>
      </c>
      <c r="B165">
        <f>IFERROR(LEFT(发货清单!H165,SEARCH("-",发货清单!H165)-1),发货清单!H165)</f>
        <v>0</v>
      </c>
      <c r="C165" t="str">
        <f>IFERROR(VLOOKUP(发货清单!A165,数据库!A:D,4,0),"")</f>
        <v/>
      </c>
      <c r="D165" t="str">
        <f>IFERROR(VLOOKUP(发货清单!A165,数据库!A:C,3,0),"")</f>
        <v/>
      </c>
      <c r="E165">
        <f>发货清单!M165</f>
        <v>0</v>
      </c>
      <c r="F165">
        <f>发货清单!U165</f>
        <v>0</v>
      </c>
      <c r="G165" t="str">
        <f>IFERROR(VLOOKUP(发货清单!A165,数据库!A:B,2,0),"")</f>
        <v/>
      </c>
      <c r="H165">
        <f>发货清单!N165</f>
        <v>0</v>
      </c>
      <c r="I165" t="str">
        <f t="shared" si="18"/>
        <v/>
      </c>
      <c r="J165" t="str">
        <f t="shared" si="19"/>
        <v xml:space="preserve"> </v>
      </c>
      <c r="K165" t="str">
        <f t="shared" si="20"/>
        <v/>
      </c>
      <c r="L165" t="str">
        <f t="shared" si="21"/>
        <v/>
      </c>
      <c r="N165" s="245">
        <f t="shared" si="22"/>
        <v>0</v>
      </c>
      <c r="O165" s="245">
        <f t="shared" si="23"/>
        <v>0</v>
      </c>
      <c r="P165" t="str">
        <f t="shared" si="24"/>
        <v/>
      </c>
      <c r="Q165" t="str">
        <f>IFERROR(VLOOKUP(P165,数据库!C:M,11,0),"")</f>
        <v/>
      </c>
      <c r="R165" t="str">
        <f t="shared" si="25"/>
        <v/>
      </c>
      <c r="S165">
        <f t="shared" si="26"/>
        <v>0</v>
      </c>
    </row>
    <row r="166" spans="1:19">
      <c r="A166" t="str">
        <f>IF(B166=0,"",发货清单!A166*10^6+COUNTIF($D$2:D166,D166)*10^3+ROW(A165))</f>
        <v/>
      </c>
      <c r="B166">
        <f>IFERROR(LEFT(发货清单!H166,SEARCH("-",发货清单!H166)-1),发货清单!H166)</f>
        <v>0</v>
      </c>
      <c r="C166" t="str">
        <f>IFERROR(VLOOKUP(发货清单!A166,数据库!A:D,4,0),"")</f>
        <v/>
      </c>
      <c r="D166" t="str">
        <f>IFERROR(VLOOKUP(发货清单!A166,数据库!A:C,3,0),"")</f>
        <v/>
      </c>
      <c r="E166">
        <f>发货清单!M166</f>
        <v>0</v>
      </c>
      <c r="F166">
        <f>发货清单!U166</f>
        <v>0</v>
      </c>
      <c r="G166" t="str">
        <f>IFERROR(VLOOKUP(发货清单!A166,数据库!A:B,2,0),"")</f>
        <v/>
      </c>
      <c r="H166">
        <f>发货清单!N166</f>
        <v>0</v>
      </c>
      <c r="I166" t="str">
        <f t="shared" si="18"/>
        <v/>
      </c>
      <c r="J166" t="str">
        <f t="shared" si="19"/>
        <v xml:space="preserve"> </v>
      </c>
      <c r="K166" t="str">
        <f t="shared" si="20"/>
        <v/>
      </c>
      <c r="L166" t="str">
        <f t="shared" si="21"/>
        <v/>
      </c>
      <c r="N166" s="245">
        <f t="shared" si="22"/>
        <v>0</v>
      </c>
      <c r="O166" s="245">
        <f t="shared" si="23"/>
        <v>0</v>
      </c>
      <c r="P166" t="str">
        <f t="shared" si="24"/>
        <v/>
      </c>
      <c r="Q166" t="str">
        <f>IFERROR(VLOOKUP(P166,数据库!C:M,11,0),"")</f>
        <v/>
      </c>
      <c r="R166" t="str">
        <f t="shared" si="25"/>
        <v/>
      </c>
      <c r="S166">
        <f t="shared" si="26"/>
        <v>0</v>
      </c>
    </row>
    <row r="167" spans="1:19">
      <c r="A167" t="str">
        <f>IF(B167=0,"",发货清单!A167*10^6+COUNTIF($D$2:D167,D167)*10^3+ROW(A166))</f>
        <v/>
      </c>
      <c r="B167">
        <f>IFERROR(LEFT(发货清单!H167,SEARCH("-",发货清单!H167)-1),发货清单!H167)</f>
        <v>0</v>
      </c>
      <c r="C167" t="str">
        <f>IFERROR(VLOOKUP(发货清单!A167,数据库!A:D,4,0),"")</f>
        <v/>
      </c>
      <c r="D167" t="str">
        <f>IFERROR(VLOOKUP(发货清单!A167,数据库!A:C,3,0),"")</f>
        <v/>
      </c>
      <c r="E167">
        <f>发货清单!M167</f>
        <v>0</v>
      </c>
      <c r="F167">
        <f>发货清单!U167</f>
        <v>0</v>
      </c>
      <c r="G167" t="str">
        <f>IFERROR(VLOOKUP(发货清单!A167,数据库!A:B,2,0),"")</f>
        <v/>
      </c>
      <c r="H167">
        <f>发货清单!N167</f>
        <v>0</v>
      </c>
      <c r="I167" t="str">
        <f t="shared" si="18"/>
        <v/>
      </c>
      <c r="J167" t="str">
        <f t="shared" si="19"/>
        <v xml:space="preserve"> </v>
      </c>
      <c r="K167" t="str">
        <f t="shared" si="20"/>
        <v/>
      </c>
      <c r="L167" t="str">
        <f t="shared" si="21"/>
        <v/>
      </c>
      <c r="N167" s="245">
        <f t="shared" si="22"/>
        <v>0</v>
      </c>
      <c r="O167" s="245">
        <f t="shared" si="23"/>
        <v>0</v>
      </c>
      <c r="P167" t="str">
        <f t="shared" si="24"/>
        <v/>
      </c>
      <c r="Q167" t="str">
        <f>IFERROR(VLOOKUP(P167,数据库!C:M,11,0),"")</f>
        <v/>
      </c>
      <c r="R167" t="str">
        <f t="shared" si="25"/>
        <v/>
      </c>
      <c r="S167">
        <f t="shared" si="26"/>
        <v>0</v>
      </c>
    </row>
    <row r="168" spans="1:19">
      <c r="A168" t="str">
        <f>IF(B168=0,"",发货清单!A168*10^6+COUNTIF($D$2:D168,D168)*10^3+ROW(A167))</f>
        <v/>
      </c>
      <c r="B168">
        <f>IFERROR(LEFT(发货清单!H168,SEARCH("-",发货清单!H168)-1),发货清单!H168)</f>
        <v>0</v>
      </c>
      <c r="C168" t="str">
        <f>IFERROR(VLOOKUP(发货清单!A168,数据库!A:D,4,0),"")</f>
        <v/>
      </c>
      <c r="D168" t="str">
        <f>IFERROR(VLOOKUP(发货清单!A168,数据库!A:C,3,0),"")</f>
        <v/>
      </c>
      <c r="E168">
        <f>发货清单!M168</f>
        <v>0</v>
      </c>
      <c r="F168">
        <f>发货清单!U168</f>
        <v>0</v>
      </c>
      <c r="G168" t="str">
        <f>IFERROR(VLOOKUP(发货清单!A168,数据库!A:B,2,0),"")</f>
        <v/>
      </c>
      <c r="H168">
        <f>发货清单!N168</f>
        <v>0</v>
      </c>
      <c r="I168" t="str">
        <f t="shared" si="18"/>
        <v/>
      </c>
      <c r="J168" t="str">
        <f t="shared" si="19"/>
        <v xml:space="preserve"> </v>
      </c>
      <c r="K168" t="str">
        <f t="shared" si="20"/>
        <v/>
      </c>
      <c r="L168" t="str">
        <f t="shared" si="21"/>
        <v/>
      </c>
      <c r="N168" s="245">
        <f t="shared" si="22"/>
        <v>0</v>
      </c>
      <c r="O168" s="245">
        <f t="shared" si="23"/>
        <v>0</v>
      </c>
      <c r="P168" t="str">
        <f t="shared" si="24"/>
        <v/>
      </c>
      <c r="Q168" t="str">
        <f>IFERROR(VLOOKUP(P168,数据库!C:M,11,0),"")</f>
        <v/>
      </c>
      <c r="R168" t="str">
        <f t="shared" si="25"/>
        <v/>
      </c>
      <c r="S168">
        <f t="shared" si="26"/>
        <v>0</v>
      </c>
    </row>
    <row r="169" spans="1:19">
      <c r="A169" t="str">
        <f>IF(B169=0,"",发货清单!A169*10^6+COUNTIF($D$2:D169,D169)*10^3+ROW(A168))</f>
        <v/>
      </c>
      <c r="B169">
        <f>IFERROR(LEFT(发货清单!H169,SEARCH("-",发货清单!H169)-1),发货清单!H169)</f>
        <v>0</v>
      </c>
      <c r="C169" t="str">
        <f>IFERROR(VLOOKUP(发货清单!A169,数据库!A:D,4,0),"")</f>
        <v/>
      </c>
      <c r="D169" t="str">
        <f>IFERROR(VLOOKUP(发货清单!A169,数据库!A:C,3,0),"")</f>
        <v/>
      </c>
      <c r="E169">
        <f>发货清单!M169</f>
        <v>0</v>
      </c>
      <c r="F169">
        <f>发货清单!U169</f>
        <v>0</v>
      </c>
      <c r="G169" t="str">
        <f>IFERROR(VLOOKUP(发货清单!A169,数据库!A:B,2,0),"")</f>
        <v/>
      </c>
      <c r="H169">
        <f>发货清单!N169</f>
        <v>0</v>
      </c>
      <c r="I169" t="str">
        <f t="shared" si="18"/>
        <v/>
      </c>
      <c r="J169" t="str">
        <f t="shared" si="19"/>
        <v xml:space="preserve"> </v>
      </c>
      <c r="K169" t="str">
        <f t="shared" si="20"/>
        <v/>
      </c>
      <c r="L169" t="str">
        <f t="shared" si="21"/>
        <v/>
      </c>
      <c r="N169" s="245">
        <f t="shared" si="22"/>
        <v>0</v>
      </c>
      <c r="O169" s="245">
        <f t="shared" si="23"/>
        <v>0</v>
      </c>
      <c r="P169" t="str">
        <f t="shared" si="24"/>
        <v/>
      </c>
      <c r="Q169" t="str">
        <f>IFERROR(VLOOKUP(P169,数据库!C:M,11,0),"")</f>
        <v/>
      </c>
      <c r="R169" t="str">
        <f t="shared" si="25"/>
        <v/>
      </c>
      <c r="S169">
        <f t="shared" si="26"/>
        <v>0</v>
      </c>
    </row>
    <row r="170" spans="1:19">
      <c r="A170" t="str">
        <f>IF(B170=0,"",发货清单!A170*10^6+COUNTIF($D$2:D170,D170)*10^3+ROW(A169))</f>
        <v/>
      </c>
      <c r="B170">
        <f>IFERROR(LEFT(发货清单!H170,SEARCH("-",发货清单!H170)-1),发货清单!H170)</f>
        <v>0</v>
      </c>
      <c r="C170" t="str">
        <f>IFERROR(VLOOKUP(发货清单!A170,数据库!A:D,4,0),"")</f>
        <v/>
      </c>
      <c r="D170" t="str">
        <f>IFERROR(VLOOKUP(发货清单!A170,数据库!A:C,3,0),"")</f>
        <v/>
      </c>
      <c r="E170">
        <f>发货清单!M170</f>
        <v>0</v>
      </c>
      <c r="F170">
        <f>发货清单!U170</f>
        <v>0</v>
      </c>
      <c r="G170" t="str">
        <f>IFERROR(VLOOKUP(发货清单!A170,数据库!A:B,2,0),"")</f>
        <v/>
      </c>
      <c r="H170">
        <f>发货清单!N170</f>
        <v>0</v>
      </c>
      <c r="I170" t="str">
        <f t="shared" si="18"/>
        <v/>
      </c>
      <c r="J170" t="str">
        <f t="shared" si="19"/>
        <v xml:space="preserve"> </v>
      </c>
      <c r="K170" t="str">
        <f t="shared" si="20"/>
        <v/>
      </c>
      <c r="L170" t="str">
        <f t="shared" si="21"/>
        <v/>
      </c>
      <c r="N170" s="245">
        <f t="shared" si="22"/>
        <v>0</v>
      </c>
      <c r="O170" s="245">
        <f t="shared" si="23"/>
        <v>0</v>
      </c>
      <c r="P170" t="str">
        <f t="shared" si="24"/>
        <v/>
      </c>
      <c r="Q170" t="str">
        <f>IFERROR(VLOOKUP(P170,数据库!C:M,11,0),"")</f>
        <v/>
      </c>
      <c r="R170" t="str">
        <f t="shared" si="25"/>
        <v/>
      </c>
      <c r="S170">
        <f t="shared" si="26"/>
        <v>0</v>
      </c>
    </row>
    <row r="171" spans="1:19">
      <c r="A171" t="str">
        <f>IF(B171=0,"",发货清单!A171*10^6+COUNTIF($D$2:D171,D171)*10^3+ROW(A170))</f>
        <v/>
      </c>
      <c r="B171">
        <f>IFERROR(LEFT(发货清单!H171,SEARCH("-",发货清单!H171)-1),发货清单!H171)</f>
        <v>0</v>
      </c>
      <c r="C171" t="str">
        <f>IFERROR(VLOOKUP(发货清单!A171,数据库!A:D,4,0),"")</f>
        <v/>
      </c>
      <c r="D171" t="str">
        <f>IFERROR(VLOOKUP(发货清单!A171,数据库!A:C,3,0),"")</f>
        <v/>
      </c>
      <c r="E171">
        <f>发货清单!M171</f>
        <v>0</v>
      </c>
      <c r="F171">
        <f>发货清单!U171</f>
        <v>0</v>
      </c>
      <c r="G171" t="str">
        <f>IFERROR(VLOOKUP(发货清单!A171,数据库!A:B,2,0),"")</f>
        <v/>
      </c>
      <c r="H171">
        <f>发货清单!N171</f>
        <v>0</v>
      </c>
      <c r="I171" t="str">
        <f t="shared" si="18"/>
        <v/>
      </c>
      <c r="J171" t="str">
        <f t="shared" si="19"/>
        <v xml:space="preserve"> </v>
      </c>
      <c r="K171" t="str">
        <f t="shared" si="20"/>
        <v/>
      </c>
      <c r="L171" t="str">
        <f t="shared" si="21"/>
        <v/>
      </c>
      <c r="N171" s="245">
        <f t="shared" si="22"/>
        <v>0</v>
      </c>
      <c r="O171" s="245">
        <f t="shared" si="23"/>
        <v>0</v>
      </c>
      <c r="P171" t="str">
        <f t="shared" si="24"/>
        <v/>
      </c>
      <c r="Q171" t="str">
        <f>IFERROR(VLOOKUP(P171,数据库!C:M,11,0),"")</f>
        <v/>
      </c>
      <c r="R171" t="str">
        <f t="shared" si="25"/>
        <v/>
      </c>
      <c r="S171">
        <f t="shared" si="26"/>
        <v>0</v>
      </c>
    </row>
    <row r="172" spans="1:19">
      <c r="A172" t="str">
        <f>IF(B172=0,"",发货清单!A172*10^6+COUNTIF($D$2:D172,D172)*10^3+ROW(A171))</f>
        <v/>
      </c>
      <c r="B172">
        <f>IFERROR(LEFT(发货清单!H172,SEARCH("-",发货清单!H172)-1),发货清单!H172)</f>
        <v>0</v>
      </c>
      <c r="C172" t="str">
        <f>IFERROR(VLOOKUP(发货清单!A172,数据库!A:D,4,0),"")</f>
        <v/>
      </c>
      <c r="D172" t="str">
        <f>IFERROR(VLOOKUP(发货清单!A172,数据库!A:C,3,0),"")</f>
        <v/>
      </c>
      <c r="E172">
        <f>发货清单!M172</f>
        <v>0</v>
      </c>
      <c r="F172">
        <f>发货清单!U172</f>
        <v>0</v>
      </c>
      <c r="G172" t="str">
        <f>IFERROR(VLOOKUP(发货清单!A172,数据库!A:B,2,0),"")</f>
        <v/>
      </c>
      <c r="H172">
        <f>发货清单!N172</f>
        <v>0</v>
      </c>
      <c r="I172" t="str">
        <f t="shared" si="18"/>
        <v/>
      </c>
      <c r="J172" t="str">
        <f t="shared" si="19"/>
        <v xml:space="preserve"> </v>
      </c>
      <c r="K172" t="str">
        <f t="shared" si="20"/>
        <v/>
      </c>
      <c r="L172" t="str">
        <f t="shared" si="21"/>
        <v/>
      </c>
      <c r="N172" s="245">
        <f t="shared" si="22"/>
        <v>0</v>
      </c>
      <c r="O172" s="245">
        <f t="shared" si="23"/>
        <v>0</v>
      </c>
      <c r="P172" t="str">
        <f t="shared" si="24"/>
        <v/>
      </c>
      <c r="Q172" t="str">
        <f>IFERROR(VLOOKUP(P172,数据库!C:M,11,0),"")</f>
        <v/>
      </c>
      <c r="R172" t="str">
        <f t="shared" si="25"/>
        <v/>
      </c>
      <c r="S172">
        <f t="shared" si="26"/>
        <v>0</v>
      </c>
    </row>
    <row r="173" spans="1:19">
      <c r="A173" t="str">
        <f>IF(B173=0,"",发货清单!A173*10^6+COUNTIF($D$2:D173,D173)*10^3+ROW(A172))</f>
        <v/>
      </c>
      <c r="B173">
        <f>IFERROR(LEFT(发货清单!H173,SEARCH("-",发货清单!H173)-1),发货清单!H173)</f>
        <v>0</v>
      </c>
      <c r="C173" t="str">
        <f>IFERROR(VLOOKUP(发货清单!A173,数据库!A:D,4,0),"")</f>
        <v/>
      </c>
      <c r="D173" t="str">
        <f>IFERROR(VLOOKUP(发货清单!A173,数据库!A:C,3,0),"")</f>
        <v/>
      </c>
      <c r="E173">
        <f>发货清单!M173</f>
        <v>0</v>
      </c>
      <c r="F173">
        <f>发货清单!U173</f>
        <v>0</v>
      </c>
      <c r="G173" t="str">
        <f>IFERROR(VLOOKUP(发货清单!A173,数据库!A:B,2,0),"")</f>
        <v/>
      </c>
      <c r="H173">
        <f>发货清单!N173</f>
        <v>0</v>
      </c>
      <c r="I173" t="str">
        <f t="shared" si="18"/>
        <v/>
      </c>
      <c r="J173" t="str">
        <f t="shared" si="19"/>
        <v xml:space="preserve"> </v>
      </c>
      <c r="K173" t="str">
        <f t="shared" si="20"/>
        <v/>
      </c>
      <c r="L173" t="str">
        <f t="shared" si="21"/>
        <v/>
      </c>
      <c r="N173" s="245">
        <f t="shared" si="22"/>
        <v>0</v>
      </c>
      <c r="O173" s="245">
        <f t="shared" si="23"/>
        <v>0</v>
      </c>
      <c r="P173" t="str">
        <f t="shared" si="24"/>
        <v/>
      </c>
      <c r="Q173" t="str">
        <f>IFERROR(VLOOKUP(P173,数据库!C:M,11,0),"")</f>
        <v/>
      </c>
      <c r="R173" t="str">
        <f t="shared" si="25"/>
        <v/>
      </c>
      <c r="S173">
        <f t="shared" si="26"/>
        <v>0</v>
      </c>
    </row>
    <row r="174" spans="1:19">
      <c r="A174" t="str">
        <f>IF(B174=0,"",发货清单!A174*10^6+COUNTIF($D$2:D174,D174)*10^3+ROW(A173))</f>
        <v/>
      </c>
      <c r="B174">
        <f>IFERROR(LEFT(发货清单!H174,SEARCH("-",发货清单!H174)-1),发货清单!H174)</f>
        <v>0</v>
      </c>
      <c r="C174" t="str">
        <f>IFERROR(VLOOKUP(发货清单!A174,数据库!A:D,4,0),"")</f>
        <v/>
      </c>
      <c r="D174" t="str">
        <f>IFERROR(VLOOKUP(发货清单!A174,数据库!A:C,3,0),"")</f>
        <v/>
      </c>
      <c r="E174">
        <f>发货清单!M174</f>
        <v>0</v>
      </c>
      <c r="F174">
        <f>发货清单!U174</f>
        <v>0</v>
      </c>
      <c r="G174" t="str">
        <f>IFERROR(VLOOKUP(发货清单!A174,数据库!A:B,2,0),"")</f>
        <v/>
      </c>
      <c r="H174">
        <f>发货清单!N174</f>
        <v>0</v>
      </c>
      <c r="I174" t="str">
        <f t="shared" si="18"/>
        <v/>
      </c>
      <c r="J174" t="str">
        <f t="shared" si="19"/>
        <v xml:space="preserve"> </v>
      </c>
      <c r="K174" t="str">
        <f t="shared" si="20"/>
        <v/>
      </c>
      <c r="L174" t="str">
        <f t="shared" si="21"/>
        <v/>
      </c>
      <c r="N174" s="245">
        <f t="shared" si="22"/>
        <v>0</v>
      </c>
      <c r="O174" s="245">
        <f t="shared" si="23"/>
        <v>0</v>
      </c>
      <c r="P174" t="str">
        <f t="shared" si="24"/>
        <v/>
      </c>
      <c r="Q174" t="str">
        <f>IFERROR(VLOOKUP(P174,数据库!C:M,11,0),"")</f>
        <v/>
      </c>
      <c r="R174" t="str">
        <f t="shared" si="25"/>
        <v/>
      </c>
      <c r="S174">
        <f t="shared" si="26"/>
        <v>0</v>
      </c>
    </row>
    <row r="175" spans="1:19">
      <c r="A175" t="str">
        <f>IF(B175=0,"",发货清单!A175*10^6+COUNTIF($D$2:D175,D175)*10^3+ROW(A174))</f>
        <v/>
      </c>
      <c r="B175">
        <f>IFERROR(LEFT(发货清单!H175,SEARCH("-",发货清单!H175)-1),发货清单!H175)</f>
        <v>0</v>
      </c>
      <c r="C175" t="str">
        <f>IFERROR(VLOOKUP(发货清单!A175,数据库!A:D,4,0),"")</f>
        <v/>
      </c>
      <c r="D175" t="str">
        <f>IFERROR(VLOOKUP(发货清单!A175,数据库!A:C,3,0),"")</f>
        <v/>
      </c>
      <c r="E175">
        <f>发货清单!M175</f>
        <v>0</v>
      </c>
      <c r="F175">
        <f>发货清单!U175</f>
        <v>0</v>
      </c>
      <c r="G175" t="str">
        <f>IFERROR(VLOOKUP(发货清单!A175,数据库!A:B,2,0),"")</f>
        <v/>
      </c>
      <c r="H175">
        <f>发货清单!N175</f>
        <v>0</v>
      </c>
      <c r="I175" t="str">
        <f t="shared" si="18"/>
        <v/>
      </c>
      <c r="J175" t="str">
        <f t="shared" si="19"/>
        <v xml:space="preserve"> </v>
      </c>
      <c r="K175" t="str">
        <f t="shared" si="20"/>
        <v/>
      </c>
      <c r="L175" t="str">
        <f t="shared" si="21"/>
        <v/>
      </c>
      <c r="N175" s="245">
        <f t="shared" si="22"/>
        <v>0</v>
      </c>
      <c r="O175" s="245">
        <f t="shared" si="23"/>
        <v>0</v>
      </c>
      <c r="P175" t="str">
        <f t="shared" si="24"/>
        <v/>
      </c>
      <c r="Q175" t="str">
        <f>IFERROR(VLOOKUP(P175,数据库!C:M,11,0),"")</f>
        <v/>
      </c>
      <c r="R175" t="str">
        <f t="shared" si="25"/>
        <v/>
      </c>
      <c r="S175">
        <f t="shared" si="26"/>
        <v>0</v>
      </c>
    </row>
    <row r="176" spans="1:19">
      <c r="A176" t="str">
        <f>IF(B176=0,"",发货清单!A176*10^6+COUNTIF($D$2:D176,D176)*10^3+ROW(A175))</f>
        <v/>
      </c>
      <c r="B176">
        <f>IFERROR(LEFT(发货清单!H176,SEARCH("-",发货清单!H176)-1),发货清单!H176)</f>
        <v>0</v>
      </c>
      <c r="C176" t="str">
        <f>IFERROR(VLOOKUP(发货清单!A176,数据库!A:D,4,0),"")</f>
        <v/>
      </c>
      <c r="D176" t="str">
        <f>IFERROR(VLOOKUP(发货清单!A176,数据库!A:C,3,0),"")</f>
        <v/>
      </c>
      <c r="E176">
        <f>发货清单!M176</f>
        <v>0</v>
      </c>
      <c r="F176">
        <f>发货清单!U176</f>
        <v>0</v>
      </c>
      <c r="G176" t="str">
        <f>IFERROR(VLOOKUP(发货清单!A176,数据库!A:B,2,0),"")</f>
        <v/>
      </c>
      <c r="H176">
        <f>发货清单!N176</f>
        <v>0</v>
      </c>
      <c r="I176" t="str">
        <f t="shared" si="18"/>
        <v/>
      </c>
      <c r="J176" t="str">
        <f t="shared" si="19"/>
        <v xml:space="preserve"> </v>
      </c>
      <c r="K176" t="str">
        <f t="shared" si="20"/>
        <v/>
      </c>
      <c r="L176" t="str">
        <f t="shared" si="21"/>
        <v/>
      </c>
      <c r="N176" s="245">
        <f t="shared" si="22"/>
        <v>0</v>
      </c>
      <c r="O176" s="245">
        <f t="shared" si="23"/>
        <v>0</v>
      </c>
      <c r="P176" t="str">
        <f t="shared" si="24"/>
        <v/>
      </c>
      <c r="Q176" t="str">
        <f>IFERROR(VLOOKUP(P176,数据库!C:M,11,0),"")</f>
        <v/>
      </c>
      <c r="R176" t="str">
        <f t="shared" si="25"/>
        <v/>
      </c>
      <c r="S176">
        <f t="shared" si="26"/>
        <v>0</v>
      </c>
    </row>
    <row r="177" spans="1:19">
      <c r="A177" t="str">
        <f>IF(B177=0,"",发货清单!A177*10^6+COUNTIF($D$2:D177,D177)*10^3+ROW(A176))</f>
        <v/>
      </c>
      <c r="B177">
        <f>IFERROR(LEFT(发货清单!H177,SEARCH("-",发货清单!H177)-1),发货清单!H177)</f>
        <v>0</v>
      </c>
      <c r="C177" t="str">
        <f>IFERROR(VLOOKUP(发货清单!A177,数据库!A:D,4,0),"")</f>
        <v/>
      </c>
      <c r="D177" t="str">
        <f>IFERROR(VLOOKUP(发货清单!A177,数据库!A:C,3,0),"")</f>
        <v/>
      </c>
      <c r="E177">
        <f>发货清单!M177</f>
        <v>0</v>
      </c>
      <c r="F177">
        <f>发货清单!U177</f>
        <v>0</v>
      </c>
      <c r="G177" t="str">
        <f>IFERROR(VLOOKUP(发货清单!A177,数据库!A:B,2,0),"")</f>
        <v/>
      </c>
      <c r="H177">
        <f>发货清单!N177</f>
        <v>0</v>
      </c>
      <c r="I177" t="str">
        <f t="shared" si="18"/>
        <v/>
      </c>
      <c r="J177" t="str">
        <f t="shared" si="19"/>
        <v xml:space="preserve"> </v>
      </c>
      <c r="K177" t="str">
        <f t="shared" si="20"/>
        <v/>
      </c>
      <c r="L177" t="str">
        <f t="shared" si="21"/>
        <v/>
      </c>
      <c r="N177" s="245">
        <f t="shared" si="22"/>
        <v>0</v>
      </c>
      <c r="O177" s="245">
        <f t="shared" si="23"/>
        <v>0</v>
      </c>
      <c r="P177" t="str">
        <f t="shared" si="24"/>
        <v/>
      </c>
      <c r="Q177" t="str">
        <f>IFERROR(VLOOKUP(P177,数据库!C:M,11,0),"")</f>
        <v/>
      </c>
      <c r="R177" t="str">
        <f t="shared" si="25"/>
        <v/>
      </c>
      <c r="S177">
        <f t="shared" si="26"/>
        <v>0</v>
      </c>
    </row>
    <row r="178" spans="1:19">
      <c r="A178" t="str">
        <f>IF(B178=0,"",发货清单!A178*10^6+COUNTIF($D$2:D178,D178)*10^3+ROW(A177))</f>
        <v/>
      </c>
      <c r="B178">
        <f>IFERROR(LEFT(发货清单!H178,SEARCH("-",发货清单!H178)-1),发货清单!H178)</f>
        <v>0</v>
      </c>
      <c r="C178" t="str">
        <f>IFERROR(VLOOKUP(发货清单!A178,数据库!A:D,4,0),"")</f>
        <v/>
      </c>
      <c r="D178" t="str">
        <f>IFERROR(VLOOKUP(发货清单!A178,数据库!A:C,3,0),"")</f>
        <v/>
      </c>
      <c r="E178">
        <f>发货清单!M178</f>
        <v>0</v>
      </c>
      <c r="F178">
        <f>发货清单!U178</f>
        <v>0</v>
      </c>
      <c r="G178" t="str">
        <f>IFERROR(VLOOKUP(发货清单!A178,数据库!A:B,2,0),"")</f>
        <v/>
      </c>
      <c r="H178">
        <f>发货清单!N178</f>
        <v>0</v>
      </c>
      <c r="I178" t="str">
        <f t="shared" si="18"/>
        <v/>
      </c>
      <c r="J178" t="str">
        <f t="shared" si="19"/>
        <v xml:space="preserve"> </v>
      </c>
      <c r="K178" t="str">
        <f t="shared" si="20"/>
        <v/>
      </c>
      <c r="L178" t="str">
        <f t="shared" si="21"/>
        <v/>
      </c>
      <c r="N178" s="245">
        <f t="shared" si="22"/>
        <v>0</v>
      </c>
      <c r="O178" s="245">
        <f t="shared" si="23"/>
        <v>0</v>
      </c>
      <c r="P178" t="str">
        <f t="shared" si="24"/>
        <v/>
      </c>
      <c r="Q178" t="str">
        <f>IFERROR(VLOOKUP(P178,数据库!C:M,11,0),"")</f>
        <v/>
      </c>
      <c r="R178" t="str">
        <f t="shared" si="25"/>
        <v/>
      </c>
      <c r="S178">
        <f t="shared" si="26"/>
        <v>0</v>
      </c>
    </row>
    <row r="179" spans="1:19">
      <c r="A179" t="str">
        <f>IF(B179=0,"",发货清单!A179*10^6+COUNTIF($D$2:D179,D179)*10^3+ROW(A178))</f>
        <v/>
      </c>
      <c r="B179">
        <f>IFERROR(LEFT(发货清单!H179,SEARCH("-",发货清单!H179)-1),发货清单!H179)</f>
        <v>0</v>
      </c>
      <c r="C179" t="str">
        <f>IFERROR(VLOOKUP(发货清单!A179,数据库!A:D,4,0),"")</f>
        <v/>
      </c>
      <c r="D179" t="str">
        <f>IFERROR(VLOOKUP(发货清单!A179,数据库!A:C,3,0),"")</f>
        <v/>
      </c>
      <c r="E179">
        <f>发货清单!M179</f>
        <v>0</v>
      </c>
      <c r="F179">
        <f>发货清单!U179</f>
        <v>0</v>
      </c>
      <c r="G179" t="str">
        <f>IFERROR(VLOOKUP(发货清单!A179,数据库!A:B,2,0),"")</f>
        <v/>
      </c>
      <c r="H179">
        <f>发货清单!N179</f>
        <v>0</v>
      </c>
      <c r="I179" t="str">
        <f t="shared" si="18"/>
        <v/>
      </c>
      <c r="J179" t="str">
        <f t="shared" si="19"/>
        <v xml:space="preserve"> </v>
      </c>
      <c r="K179" t="str">
        <f t="shared" si="20"/>
        <v/>
      </c>
      <c r="L179" t="str">
        <f t="shared" si="21"/>
        <v/>
      </c>
      <c r="N179" s="245">
        <f t="shared" si="22"/>
        <v>0</v>
      </c>
      <c r="O179" s="245">
        <f t="shared" si="23"/>
        <v>0</v>
      </c>
      <c r="P179" t="str">
        <f t="shared" si="24"/>
        <v/>
      </c>
      <c r="Q179" t="str">
        <f>IFERROR(VLOOKUP(P179,数据库!C:M,11,0),"")</f>
        <v/>
      </c>
      <c r="R179" t="str">
        <f t="shared" si="25"/>
        <v/>
      </c>
      <c r="S179">
        <f t="shared" si="26"/>
        <v>0</v>
      </c>
    </row>
    <row r="180" spans="1:19">
      <c r="A180" t="str">
        <f>IF(B180=0,"",发货清单!A180*10^6+COUNTIF($D$2:D180,D180)*10^3+ROW(A179))</f>
        <v/>
      </c>
      <c r="B180">
        <f>IFERROR(LEFT(发货清单!H180,SEARCH("-",发货清单!H180)-1),发货清单!H180)</f>
        <v>0</v>
      </c>
      <c r="C180" t="str">
        <f>IFERROR(VLOOKUP(发货清单!A180,数据库!A:D,4,0),"")</f>
        <v/>
      </c>
      <c r="D180" t="str">
        <f>IFERROR(VLOOKUP(发货清单!A180,数据库!A:C,3,0),"")</f>
        <v/>
      </c>
      <c r="E180">
        <f>发货清单!M180</f>
        <v>0</v>
      </c>
      <c r="F180">
        <f>发货清单!U180</f>
        <v>0</v>
      </c>
      <c r="G180" t="str">
        <f>IFERROR(VLOOKUP(发货清单!A180,数据库!A:B,2,0),"")</f>
        <v/>
      </c>
      <c r="H180">
        <f>发货清单!N180</f>
        <v>0</v>
      </c>
      <c r="I180" t="str">
        <f t="shared" si="18"/>
        <v/>
      </c>
      <c r="J180" t="str">
        <f t="shared" si="19"/>
        <v xml:space="preserve"> </v>
      </c>
      <c r="K180" t="str">
        <f t="shared" si="20"/>
        <v/>
      </c>
      <c r="L180" t="str">
        <f t="shared" si="21"/>
        <v/>
      </c>
      <c r="N180" s="245">
        <f t="shared" si="22"/>
        <v>0</v>
      </c>
      <c r="O180" s="245">
        <f t="shared" si="23"/>
        <v>0</v>
      </c>
      <c r="P180" t="str">
        <f t="shared" si="24"/>
        <v/>
      </c>
      <c r="Q180" t="str">
        <f>IFERROR(VLOOKUP(P180,数据库!C:M,11,0),"")</f>
        <v/>
      </c>
      <c r="R180" t="str">
        <f t="shared" si="25"/>
        <v/>
      </c>
      <c r="S180">
        <f t="shared" si="26"/>
        <v>0</v>
      </c>
    </row>
    <row r="181" spans="1:19">
      <c r="A181" t="str">
        <f>IF(B181=0,"",发货清单!A181*10^6+COUNTIF($D$2:D181,D181)*10^3+ROW(A180))</f>
        <v/>
      </c>
      <c r="B181">
        <f>IFERROR(LEFT(发货清单!H181,SEARCH("-",发货清单!H181)-1),发货清单!H181)</f>
        <v>0</v>
      </c>
      <c r="C181" t="str">
        <f>IFERROR(VLOOKUP(发货清单!A181,数据库!A:D,4,0),"")</f>
        <v/>
      </c>
      <c r="D181" t="str">
        <f>IFERROR(VLOOKUP(发货清单!A181,数据库!A:C,3,0),"")</f>
        <v/>
      </c>
      <c r="E181">
        <f>发货清单!M181</f>
        <v>0</v>
      </c>
      <c r="F181">
        <f>发货清单!U181</f>
        <v>0</v>
      </c>
      <c r="G181" t="str">
        <f>IFERROR(VLOOKUP(发货清单!A181,数据库!A:B,2,0),"")</f>
        <v/>
      </c>
      <c r="H181">
        <f>发货清单!N181</f>
        <v>0</v>
      </c>
      <c r="I181" t="str">
        <f t="shared" si="18"/>
        <v/>
      </c>
      <c r="J181" t="str">
        <f t="shared" si="19"/>
        <v xml:space="preserve"> </v>
      </c>
      <c r="K181" t="str">
        <f t="shared" si="20"/>
        <v/>
      </c>
      <c r="L181" t="str">
        <f t="shared" si="21"/>
        <v/>
      </c>
      <c r="N181" s="245">
        <f t="shared" si="22"/>
        <v>0</v>
      </c>
      <c r="O181" s="245">
        <f t="shared" si="23"/>
        <v>0</v>
      </c>
      <c r="P181" t="str">
        <f t="shared" si="24"/>
        <v/>
      </c>
      <c r="Q181" t="str">
        <f>IFERROR(VLOOKUP(P181,数据库!C:M,11,0),"")</f>
        <v/>
      </c>
      <c r="R181" t="str">
        <f t="shared" si="25"/>
        <v/>
      </c>
      <c r="S181">
        <f t="shared" si="26"/>
        <v>0</v>
      </c>
    </row>
    <row r="182" spans="1:19">
      <c r="A182" t="str">
        <f>IF(B182=0,"",发货清单!A182*10^6+COUNTIF($D$2:D182,D182)*10^3+ROW(A181))</f>
        <v/>
      </c>
      <c r="B182">
        <f>IFERROR(LEFT(发货清单!H182,SEARCH("-",发货清单!H182)-1),发货清单!H182)</f>
        <v>0</v>
      </c>
      <c r="C182" t="str">
        <f>IFERROR(VLOOKUP(发货清单!A182,数据库!A:D,4,0),"")</f>
        <v/>
      </c>
      <c r="D182" t="str">
        <f>IFERROR(VLOOKUP(发货清单!A182,数据库!A:C,3,0),"")</f>
        <v/>
      </c>
      <c r="E182">
        <f>发货清单!M182</f>
        <v>0</v>
      </c>
      <c r="F182">
        <f>发货清单!U182</f>
        <v>0</v>
      </c>
      <c r="G182" t="str">
        <f>IFERROR(VLOOKUP(发货清单!A182,数据库!A:B,2,0),"")</f>
        <v/>
      </c>
      <c r="H182">
        <f>发货清单!N182</f>
        <v>0</v>
      </c>
      <c r="I182" t="str">
        <f t="shared" si="18"/>
        <v/>
      </c>
      <c r="J182" t="str">
        <f t="shared" si="19"/>
        <v xml:space="preserve"> </v>
      </c>
      <c r="K182" t="str">
        <f t="shared" si="20"/>
        <v/>
      </c>
      <c r="L182" t="str">
        <f t="shared" si="21"/>
        <v/>
      </c>
      <c r="N182" s="245">
        <f t="shared" si="22"/>
        <v>0</v>
      </c>
      <c r="O182" s="245">
        <f t="shared" si="23"/>
        <v>0</v>
      </c>
      <c r="P182" t="str">
        <f t="shared" si="24"/>
        <v/>
      </c>
      <c r="Q182" t="str">
        <f>IFERROR(VLOOKUP(P182,数据库!C:M,11,0),"")</f>
        <v/>
      </c>
      <c r="R182" t="str">
        <f t="shared" si="25"/>
        <v/>
      </c>
      <c r="S182">
        <f t="shared" si="26"/>
        <v>0</v>
      </c>
    </row>
    <row r="183" spans="1:19">
      <c r="A183" t="str">
        <f>IF(B183=0,"",发货清单!A183*10^6+COUNTIF($D$2:D183,D183)*10^3+ROW(A182))</f>
        <v/>
      </c>
      <c r="B183">
        <f>IFERROR(LEFT(发货清单!H183,SEARCH("-",发货清单!H183)-1),发货清单!H183)</f>
        <v>0</v>
      </c>
      <c r="C183" t="str">
        <f>IFERROR(VLOOKUP(发货清单!A183,数据库!A:D,4,0),"")</f>
        <v/>
      </c>
      <c r="D183" t="str">
        <f>IFERROR(VLOOKUP(发货清单!A183,数据库!A:C,3,0),"")</f>
        <v/>
      </c>
      <c r="E183">
        <f>发货清单!M183</f>
        <v>0</v>
      </c>
      <c r="F183">
        <f>发货清单!U183</f>
        <v>0</v>
      </c>
      <c r="G183" t="str">
        <f>IFERROR(VLOOKUP(发货清单!A183,数据库!A:B,2,0),"")</f>
        <v/>
      </c>
      <c r="H183">
        <f>发货清单!N183</f>
        <v>0</v>
      </c>
      <c r="I183" t="str">
        <f t="shared" si="18"/>
        <v/>
      </c>
      <c r="J183" t="str">
        <f t="shared" si="19"/>
        <v xml:space="preserve"> </v>
      </c>
      <c r="K183" t="str">
        <f t="shared" si="20"/>
        <v/>
      </c>
      <c r="L183" t="str">
        <f t="shared" si="21"/>
        <v/>
      </c>
      <c r="N183" s="245">
        <f t="shared" si="22"/>
        <v>0</v>
      </c>
      <c r="O183" s="245">
        <f t="shared" si="23"/>
        <v>0</v>
      </c>
      <c r="P183" t="str">
        <f t="shared" si="24"/>
        <v/>
      </c>
      <c r="Q183" t="str">
        <f>IFERROR(VLOOKUP(P183,数据库!C:M,11,0),"")</f>
        <v/>
      </c>
      <c r="R183" t="str">
        <f t="shared" si="25"/>
        <v/>
      </c>
      <c r="S183">
        <f t="shared" si="26"/>
        <v>0</v>
      </c>
    </row>
    <row r="184" spans="1:19">
      <c r="A184" t="str">
        <f>IF(B184=0,"",发货清单!A184*10^6+COUNTIF($D$2:D184,D184)*10^3+ROW(A183))</f>
        <v/>
      </c>
      <c r="B184">
        <f>IFERROR(LEFT(发货清单!H184,SEARCH("-",发货清单!H184)-1),发货清单!H184)</f>
        <v>0</v>
      </c>
      <c r="C184" t="str">
        <f>IFERROR(VLOOKUP(发货清单!A184,数据库!A:D,4,0),"")</f>
        <v/>
      </c>
      <c r="D184" t="str">
        <f>IFERROR(VLOOKUP(发货清单!A184,数据库!A:C,3,0),"")</f>
        <v/>
      </c>
      <c r="E184">
        <f>发货清单!M184</f>
        <v>0</v>
      </c>
      <c r="F184">
        <f>发货清单!U184</f>
        <v>0</v>
      </c>
      <c r="G184" t="str">
        <f>IFERROR(VLOOKUP(发货清单!A184,数据库!A:B,2,0),"")</f>
        <v/>
      </c>
      <c r="H184">
        <f>发货清单!N184</f>
        <v>0</v>
      </c>
      <c r="I184" t="str">
        <f t="shared" si="18"/>
        <v/>
      </c>
      <c r="J184" t="str">
        <f t="shared" si="19"/>
        <v xml:space="preserve"> </v>
      </c>
      <c r="K184" t="str">
        <f t="shared" si="20"/>
        <v/>
      </c>
      <c r="L184" t="str">
        <f t="shared" si="21"/>
        <v/>
      </c>
      <c r="N184" s="245">
        <f t="shared" si="22"/>
        <v>0</v>
      </c>
      <c r="O184" s="245">
        <f t="shared" si="23"/>
        <v>0</v>
      </c>
      <c r="P184" t="str">
        <f t="shared" si="24"/>
        <v/>
      </c>
      <c r="Q184" t="str">
        <f>IFERROR(VLOOKUP(P184,数据库!C:M,11,0),"")</f>
        <v/>
      </c>
      <c r="R184" t="str">
        <f t="shared" si="25"/>
        <v/>
      </c>
      <c r="S184">
        <f t="shared" si="26"/>
        <v>0</v>
      </c>
    </row>
    <row r="185" spans="1:19">
      <c r="A185" t="str">
        <f>IF(B185=0,"",发货清单!A185*10^6+COUNTIF($D$2:D185,D185)*10^3+ROW(A184))</f>
        <v/>
      </c>
      <c r="B185">
        <f>IFERROR(LEFT(发货清单!H185,SEARCH("-",发货清单!H185)-1),发货清单!H185)</f>
        <v>0</v>
      </c>
      <c r="C185" t="str">
        <f>IFERROR(VLOOKUP(发货清单!A185,数据库!A:D,4,0),"")</f>
        <v/>
      </c>
      <c r="D185" t="str">
        <f>IFERROR(VLOOKUP(发货清单!A185,数据库!A:C,3,0),"")</f>
        <v/>
      </c>
      <c r="E185">
        <f>发货清单!M185</f>
        <v>0</v>
      </c>
      <c r="F185">
        <f>发货清单!U185</f>
        <v>0</v>
      </c>
      <c r="G185" t="str">
        <f>IFERROR(VLOOKUP(发货清单!A185,数据库!A:B,2,0),"")</f>
        <v/>
      </c>
      <c r="H185">
        <f>发货清单!N185</f>
        <v>0</v>
      </c>
      <c r="I185" t="str">
        <f t="shared" si="18"/>
        <v/>
      </c>
      <c r="J185" t="str">
        <f t="shared" si="19"/>
        <v xml:space="preserve"> </v>
      </c>
      <c r="K185" t="str">
        <f t="shared" si="20"/>
        <v/>
      </c>
      <c r="L185" t="str">
        <f t="shared" si="21"/>
        <v/>
      </c>
      <c r="N185" s="245">
        <f t="shared" si="22"/>
        <v>0</v>
      </c>
      <c r="O185" s="245">
        <f t="shared" si="23"/>
        <v>0</v>
      </c>
      <c r="P185" t="str">
        <f t="shared" si="24"/>
        <v/>
      </c>
      <c r="Q185" t="str">
        <f>IFERROR(VLOOKUP(P185,数据库!C:M,11,0),"")</f>
        <v/>
      </c>
      <c r="R185" t="str">
        <f t="shared" si="25"/>
        <v/>
      </c>
      <c r="S185">
        <f t="shared" si="26"/>
        <v>0</v>
      </c>
    </row>
    <row r="186" spans="1:19">
      <c r="A186" t="str">
        <f>IF(B186=0,"",发货清单!A186*10^6+COUNTIF($D$2:D186,D186)*10^3+ROW(A185))</f>
        <v/>
      </c>
      <c r="B186">
        <f>IFERROR(LEFT(发货清单!H186,SEARCH("-",发货清单!H186)-1),发货清单!H186)</f>
        <v>0</v>
      </c>
      <c r="C186" t="str">
        <f>IFERROR(VLOOKUP(发货清单!A186,数据库!A:D,4,0),"")</f>
        <v/>
      </c>
      <c r="D186" t="str">
        <f>IFERROR(VLOOKUP(发货清单!A186,数据库!A:C,3,0),"")</f>
        <v/>
      </c>
      <c r="E186">
        <f>发货清单!M186</f>
        <v>0</v>
      </c>
      <c r="F186">
        <f>发货清单!U186</f>
        <v>0</v>
      </c>
      <c r="G186" t="str">
        <f>IFERROR(VLOOKUP(发货清单!A186,数据库!A:B,2,0),"")</f>
        <v/>
      </c>
      <c r="H186">
        <f>发货清单!N186</f>
        <v>0</v>
      </c>
      <c r="I186" t="str">
        <f t="shared" si="18"/>
        <v/>
      </c>
      <c r="J186" t="str">
        <f t="shared" si="19"/>
        <v xml:space="preserve"> </v>
      </c>
      <c r="K186" t="str">
        <f t="shared" si="20"/>
        <v/>
      </c>
      <c r="L186" t="str">
        <f t="shared" si="21"/>
        <v/>
      </c>
      <c r="N186" s="245">
        <f t="shared" si="22"/>
        <v>0</v>
      </c>
      <c r="O186" s="245">
        <f t="shared" si="23"/>
        <v>0</v>
      </c>
      <c r="P186" t="str">
        <f t="shared" si="24"/>
        <v/>
      </c>
      <c r="Q186" t="str">
        <f>IFERROR(VLOOKUP(P186,数据库!C:M,11,0),"")</f>
        <v/>
      </c>
      <c r="R186" t="str">
        <f t="shared" si="25"/>
        <v/>
      </c>
      <c r="S186">
        <f t="shared" si="26"/>
        <v>0</v>
      </c>
    </row>
    <row r="187" spans="1:19">
      <c r="A187" t="str">
        <f>IF(B187=0,"",发货清单!A187*10^6+COUNTIF($D$2:D187,D187)*10^3+ROW(A186))</f>
        <v/>
      </c>
      <c r="B187">
        <f>IFERROR(LEFT(发货清单!H187,SEARCH("-",发货清单!H187)-1),发货清单!H187)</f>
        <v>0</v>
      </c>
      <c r="C187" t="str">
        <f>IFERROR(VLOOKUP(发货清单!A187,数据库!A:D,4,0),"")</f>
        <v/>
      </c>
      <c r="D187" t="str">
        <f>IFERROR(VLOOKUP(发货清单!A187,数据库!A:C,3,0),"")</f>
        <v/>
      </c>
      <c r="E187">
        <f>发货清单!M187</f>
        <v>0</v>
      </c>
      <c r="F187">
        <f>发货清单!U187</f>
        <v>0</v>
      </c>
      <c r="G187" t="str">
        <f>IFERROR(VLOOKUP(发货清单!A187,数据库!A:B,2,0),"")</f>
        <v/>
      </c>
      <c r="H187">
        <f>发货清单!N187</f>
        <v>0</v>
      </c>
      <c r="I187" t="str">
        <f t="shared" si="18"/>
        <v/>
      </c>
      <c r="J187" t="str">
        <f t="shared" si="19"/>
        <v xml:space="preserve"> </v>
      </c>
      <c r="K187" t="str">
        <f t="shared" si="20"/>
        <v/>
      </c>
      <c r="L187" t="str">
        <f t="shared" si="21"/>
        <v/>
      </c>
      <c r="N187" s="245">
        <f t="shared" si="22"/>
        <v>0</v>
      </c>
      <c r="O187" s="245">
        <f t="shared" si="23"/>
        <v>0</v>
      </c>
      <c r="P187" t="str">
        <f t="shared" si="24"/>
        <v/>
      </c>
      <c r="Q187" t="str">
        <f>IFERROR(VLOOKUP(P187,数据库!C:M,11,0),"")</f>
        <v/>
      </c>
      <c r="R187" t="str">
        <f t="shared" si="25"/>
        <v/>
      </c>
      <c r="S187">
        <f t="shared" si="26"/>
        <v>0</v>
      </c>
    </row>
    <row r="188" spans="1:19">
      <c r="A188" t="str">
        <f>IF(B188=0,"",发货清单!A188*10^6+COUNTIF($D$2:D188,D188)*10^3+ROW(A187))</f>
        <v/>
      </c>
      <c r="B188">
        <f>IFERROR(LEFT(发货清单!H188,SEARCH("-",发货清单!H188)-1),发货清单!H188)</f>
        <v>0</v>
      </c>
      <c r="C188" t="str">
        <f>IFERROR(VLOOKUP(发货清单!A188,数据库!A:D,4,0),"")</f>
        <v/>
      </c>
      <c r="D188" t="str">
        <f>IFERROR(VLOOKUP(发货清单!A188,数据库!A:C,3,0),"")</f>
        <v/>
      </c>
      <c r="E188">
        <f>发货清单!M188</f>
        <v>0</v>
      </c>
      <c r="F188">
        <f>发货清单!U188</f>
        <v>0</v>
      </c>
      <c r="G188" t="str">
        <f>IFERROR(VLOOKUP(发货清单!A188,数据库!A:B,2,0),"")</f>
        <v/>
      </c>
      <c r="H188">
        <f>发货清单!N188</f>
        <v>0</v>
      </c>
      <c r="I188" t="str">
        <f t="shared" si="18"/>
        <v/>
      </c>
      <c r="J188" t="str">
        <f t="shared" si="19"/>
        <v xml:space="preserve"> </v>
      </c>
      <c r="K188" t="str">
        <f t="shared" si="20"/>
        <v/>
      </c>
      <c r="L188" t="str">
        <f t="shared" si="21"/>
        <v/>
      </c>
      <c r="N188" s="245">
        <f t="shared" si="22"/>
        <v>0</v>
      </c>
      <c r="O188" s="245">
        <f t="shared" si="23"/>
        <v>0</v>
      </c>
      <c r="P188" t="str">
        <f t="shared" si="24"/>
        <v/>
      </c>
      <c r="Q188" t="str">
        <f>IFERROR(VLOOKUP(P188,数据库!C:M,11,0),"")</f>
        <v/>
      </c>
      <c r="R188" t="str">
        <f t="shared" si="25"/>
        <v/>
      </c>
      <c r="S188">
        <f t="shared" si="26"/>
        <v>0</v>
      </c>
    </row>
    <row r="189" spans="1:19">
      <c r="A189" t="str">
        <f>IF(B189=0,"",发货清单!A189*10^6+COUNTIF($D$2:D189,D189)*10^3+ROW(A188))</f>
        <v/>
      </c>
      <c r="B189">
        <f>IFERROR(LEFT(发货清单!H189,SEARCH("-",发货清单!H189)-1),发货清单!H189)</f>
        <v>0</v>
      </c>
      <c r="C189" t="str">
        <f>IFERROR(VLOOKUP(发货清单!A189,数据库!A:D,4,0),"")</f>
        <v/>
      </c>
      <c r="D189" t="str">
        <f>IFERROR(VLOOKUP(发货清单!A189,数据库!A:C,3,0),"")</f>
        <v/>
      </c>
      <c r="E189">
        <f>发货清单!M189</f>
        <v>0</v>
      </c>
      <c r="F189">
        <f>发货清单!U189</f>
        <v>0</v>
      </c>
      <c r="G189" t="str">
        <f>IFERROR(VLOOKUP(发货清单!A189,数据库!A:B,2,0),"")</f>
        <v/>
      </c>
      <c r="H189">
        <f>发货清单!N189</f>
        <v>0</v>
      </c>
      <c r="I189" t="str">
        <f t="shared" si="18"/>
        <v/>
      </c>
      <c r="J189" t="str">
        <f t="shared" si="19"/>
        <v xml:space="preserve"> </v>
      </c>
      <c r="K189" t="str">
        <f t="shared" si="20"/>
        <v/>
      </c>
      <c r="L189" t="str">
        <f t="shared" si="21"/>
        <v/>
      </c>
      <c r="N189" s="245">
        <f t="shared" si="22"/>
        <v>0</v>
      </c>
      <c r="O189" s="245">
        <f t="shared" si="23"/>
        <v>0</v>
      </c>
      <c r="P189" t="str">
        <f t="shared" si="24"/>
        <v/>
      </c>
      <c r="Q189" t="str">
        <f>IFERROR(VLOOKUP(P189,数据库!C:M,11,0),"")</f>
        <v/>
      </c>
      <c r="R189" t="str">
        <f t="shared" si="25"/>
        <v/>
      </c>
      <c r="S189">
        <f t="shared" si="26"/>
        <v>0</v>
      </c>
    </row>
    <row r="190" spans="1:19">
      <c r="A190" t="str">
        <f>IF(B190=0,"",发货清单!A190*10^6+COUNTIF($D$2:D190,D190)*10^3+ROW(A189))</f>
        <v/>
      </c>
      <c r="B190">
        <f>IFERROR(LEFT(发货清单!H190,SEARCH("-",发货清单!H190)-1),发货清单!H190)</f>
        <v>0</v>
      </c>
      <c r="C190" t="str">
        <f>IFERROR(VLOOKUP(发货清单!A190,数据库!A:D,4,0),"")</f>
        <v/>
      </c>
      <c r="D190" t="str">
        <f>IFERROR(VLOOKUP(发货清单!A190,数据库!A:C,3,0),"")</f>
        <v/>
      </c>
      <c r="E190">
        <f>发货清单!M190</f>
        <v>0</v>
      </c>
      <c r="F190">
        <f>发货清单!U190</f>
        <v>0</v>
      </c>
      <c r="G190" t="str">
        <f>IFERROR(VLOOKUP(发货清单!A190,数据库!A:B,2,0),"")</f>
        <v/>
      </c>
      <c r="H190">
        <f>发货清单!N190</f>
        <v>0</v>
      </c>
      <c r="I190" t="str">
        <f t="shared" si="18"/>
        <v/>
      </c>
      <c r="J190" t="str">
        <f t="shared" si="19"/>
        <v xml:space="preserve"> </v>
      </c>
      <c r="K190" t="str">
        <f t="shared" si="20"/>
        <v/>
      </c>
      <c r="L190" t="str">
        <f t="shared" si="21"/>
        <v/>
      </c>
      <c r="N190" s="245">
        <f t="shared" si="22"/>
        <v>0</v>
      </c>
      <c r="O190" s="245">
        <f t="shared" si="23"/>
        <v>0</v>
      </c>
      <c r="P190" t="str">
        <f t="shared" si="24"/>
        <v/>
      </c>
      <c r="Q190" t="str">
        <f>IFERROR(VLOOKUP(P190,数据库!C:M,11,0),"")</f>
        <v/>
      </c>
      <c r="R190" t="str">
        <f t="shared" si="25"/>
        <v/>
      </c>
      <c r="S190">
        <f t="shared" si="26"/>
        <v>0</v>
      </c>
    </row>
    <row r="191" spans="1:19">
      <c r="A191" t="str">
        <f>IF(B191=0,"",发货清单!A191*10^6+COUNTIF($D$2:D191,D191)*10^3+ROW(A190))</f>
        <v/>
      </c>
      <c r="B191">
        <f>IFERROR(LEFT(发货清单!H191,SEARCH("-",发货清单!H191)-1),发货清单!H191)</f>
        <v>0</v>
      </c>
      <c r="C191" t="str">
        <f>IFERROR(VLOOKUP(发货清单!A191,数据库!A:D,4,0),"")</f>
        <v/>
      </c>
      <c r="D191" t="str">
        <f>IFERROR(VLOOKUP(发货清单!A191,数据库!A:C,3,0),"")</f>
        <v/>
      </c>
      <c r="E191">
        <f>发货清单!M191</f>
        <v>0</v>
      </c>
      <c r="F191">
        <f>发货清单!U191</f>
        <v>0</v>
      </c>
      <c r="G191" t="str">
        <f>IFERROR(VLOOKUP(发货清单!A191,数据库!A:B,2,0),"")</f>
        <v/>
      </c>
      <c r="H191">
        <f>发货清单!N191</f>
        <v>0</v>
      </c>
      <c r="I191" t="str">
        <f t="shared" si="18"/>
        <v/>
      </c>
      <c r="J191" t="str">
        <f t="shared" si="19"/>
        <v xml:space="preserve"> </v>
      </c>
      <c r="K191" t="str">
        <f t="shared" si="20"/>
        <v/>
      </c>
      <c r="L191" t="str">
        <f t="shared" si="21"/>
        <v/>
      </c>
      <c r="N191" s="245">
        <f t="shared" si="22"/>
        <v>0</v>
      </c>
      <c r="O191" s="245">
        <f t="shared" si="23"/>
        <v>0</v>
      </c>
      <c r="P191" t="str">
        <f t="shared" si="24"/>
        <v/>
      </c>
      <c r="Q191" t="str">
        <f>IFERROR(VLOOKUP(P191,数据库!C:M,11,0),"")</f>
        <v/>
      </c>
      <c r="R191" t="str">
        <f t="shared" si="25"/>
        <v/>
      </c>
      <c r="S191">
        <f t="shared" si="26"/>
        <v>0</v>
      </c>
    </row>
    <row r="192" spans="1:19">
      <c r="A192" t="str">
        <f>IF(B192=0,"",发货清单!A192*10^6+COUNTIF($D$2:D192,D192)*10^3+ROW(A191))</f>
        <v/>
      </c>
      <c r="B192">
        <f>IFERROR(LEFT(发货清单!H192,SEARCH("-",发货清单!H192)-1),发货清单!H192)</f>
        <v>0</v>
      </c>
      <c r="C192" t="str">
        <f>IFERROR(VLOOKUP(发货清单!A192,数据库!A:D,4,0),"")</f>
        <v/>
      </c>
      <c r="D192" t="str">
        <f>IFERROR(VLOOKUP(发货清单!A192,数据库!A:C,3,0),"")</f>
        <v/>
      </c>
      <c r="E192">
        <f>发货清单!M192</f>
        <v>0</v>
      </c>
      <c r="F192">
        <f>发货清单!U192</f>
        <v>0</v>
      </c>
      <c r="G192" t="str">
        <f>IFERROR(VLOOKUP(发货清单!A192,数据库!A:B,2,0),"")</f>
        <v/>
      </c>
      <c r="H192">
        <f>发货清单!N192</f>
        <v>0</v>
      </c>
      <c r="I192" t="str">
        <f t="shared" si="18"/>
        <v/>
      </c>
      <c r="J192" t="str">
        <f t="shared" si="19"/>
        <v xml:space="preserve"> </v>
      </c>
      <c r="K192" t="str">
        <f t="shared" si="20"/>
        <v/>
      </c>
      <c r="L192" t="str">
        <f t="shared" si="21"/>
        <v/>
      </c>
      <c r="N192" s="245">
        <f t="shared" si="22"/>
        <v>0</v>
      </c>
      <c r="O192" s="245">
        <f t="shared" si="23"/>
        <v>0</v>
      </c>
      <c r="P192" t="str">
        <f t="shared" si="24"/>
        <v/>
      </c>
      <c r="Q192" t="str">
        <f>IFERROR(VLOOKUP(P192,数据库!C:M,11,0),"")</f>
        <v/>
      </c>
      <c r="R192" t="str">
        <f t="shared" si="25"/>
        <v/>
      </c>
      <c r="S192">
        <f t="shared" si="26"/>
        <v>0</v>
      </c>
    </row>
    <row r="193" spans="1:19">
      <c r="A193" t="str">
        <f>IF(B193=0,"",发货清单!A193*10^6+COUNTIF($D$2:D193,D193)*10^3+ROW(A192))</f>
        <v/>
      </c>
      <c r="B193">
        <f>IFERROR(LEFT(发货清单!H193,SEARCH("-",发货清单!H193)-1),发货清单!H193)</f>
        <v>0</v>
      </c>
      <c r="C193" t="str">
        <f>IFERROR(VLOOKUP(发货清单!A193,数据库!A:D,4,0),"")</f>
        <v/>
      </c>
      <c r="D193" t="str">
        <f>IFERROR(VLOOKUP(发货清单!A193,数据库!A:C,3,0),"")</f>
        <v/>
      </c>
      <c r="E193">
        <f>发货清单!M193</f>
        <v>0</v>
      </c>
      <c r="F193">
        <f>发货清单!U193</f>
        <v>0</v>
      </c>
      <c r="G193" t="str">
        <f>IFERROR(VLOOKUP(发货清单!A193,数据库!A:B,2,0),"")</f>
        <v/>
      </c>
      <c r="H193">
        <f>发货清单!N193</f>
        <v>0</v>
      </c>
      <c r="I193" t="str">
        <f t="shared" si="18"/>
        <v/>
      </c>
      <c r="J193" t="str">
        <f t="shared" si="19"/>
        <v xml:space="preserve"> </v>
      </c>
      <c r="K193" t="str">
        <f t="shared" si="20"/>
        <v/>
      </c>
      <c r="L193" t="str">
        <f t="shared" si="21"/>
        <v/>
      </c>
      <c r="N193" s="245">
        <f t="shared" si="22"/>
        <v>0</v>
      </c>
      <c r="O193" s="245">
        <f t="shared" si="23"/>
        <v>0</v>
      </c>
      <c r="P193" t="str">
        <f t="shared" si="24"/>
        <v/>
      </c>
      <c r="Q193" t="str">
        <f>IFERROR(VLOOKUP(P193,数据库!C:M,11,0),"")</f>
        <v/>
      </c>
      <c r="R193" t="str">
        <f t="shared" si="25"/>
        <v/>
      </c>
      <c r="S193">
        <f t="shared" si="26"/>
        <v>0</v>
      </c>
    </row>
    <row r="194" spans="1:19">
      <c r="A194" t="str">
        <f>IF(B194=0,"",发货清单!A194*10^6+COUNTIF($D$2:D194,D194)*10^3+ROW(A193))</f>
        <v/>
      </c>
      <c r="B194">
        <f>IFERROR(LEFT(发货清单!H194,SEARCH("-",发货清单!H194)-1),发货清单!H194)</f>
        <v>0</v>
      </c>
      <c r="C194" t="str">
        <f>IFERROR(VLOOKUP(发货清单!A194,数据库!A:D,4,0),"")</f>
        <v/>
      </c>
      <c r="D194" t="str">
        <f>IFERROR(VLOOKUP(发货清单!A194,数据库!A:C,3,0),"")</f>
        <v/>
      </c>
      <c r="E194">
        <f>发货清单!M194</f>
        <v>0</v>
      </c>
      <c r="F194">
        <f>发货清单!U194</f>
        <v>0</v>
      </c>
      <c r="G194" t="str">
        <f>IFERROR(VLOOKUP(发货清单!A194,数据库!A:B,2,0),"")</f>
        <v/>
      </c>
      <c r="H194">
        <f>发货清单!N194</f>
        <v>0</v>
      </c>
      <c r="I194" t="str">
        <f t="shared" si="18"/>
        <v/>
      </c>
      <c r="J194" t="str">
        <f t="shared" si="19"/>
        <v xml:space="preserve"> </v>
      </c>
      <c r="K194" t="str">
        <f t="shared" si="20"/>
        <v/>
      </c>
      <c r="L194" t="str">
        <f t="shared" si="21"/>
        <v/>
      </c>
      <c r="N194" s="245">
        <f t="shared" si="22"/>
        <v>0</v>
      </c>
      <c r="O194" s="245">
        <f t="shared" si="23"/>
        <v>0</v>
      </c>
      <c r="P194" t="str">
        <f t="shared" si="24"/>
        <v/>
      </c>
      <c r="Q194" t="str">
        <f>IFERROR(VLOOKUP(P194,数据库!C:M,11,0),"")</f>
        <v/>
      </c>
      <c r="R194" t="str">
        <f t="shared" si="25"/>
        <v/>
      </c>
      <c r="S194">
        <f t="shared" si="26"/>
        <v>0</v>
      </c>
    </row>
    <row r="195" spans="1:19">
      <c r="A195" t="str">
        <f>IF(B195=0,"",发货清单!A195*10^6+COUNTIF($D$2:D195,D195)*10^3+ROW(A194))</f>
        <v/>
      </c>
      <c r="B195">
        <f>IFERROR(LEFT(发货清单!H195,SEARCH("-",发货清单!H195)-1),发货清单!H195)</f>
        <v>0</v>
      </c>
      <c r="C195" t="str">
        <f>IFERROR(VLOOKUP(发货清单!A195,数据库!A:D,4,0),"")</f>
        <v/>
      </c>
      <c r="D195" t="str">
        <f>IFERROR(VLOOKUP(发货清单!A195,数据库!A:C,3,0),"")</f>
        <v/>
      </c>
      <c r="E195">
        <f>发货清单!M195</f>
        <v>0</v>
      </c>
      <c r="F195">
        <f>发货清单!U195</f>
        <v>0</v>
      </c>
      <c r="G195" t="str">
        <f>IFERROR(VLOOKUP(发货清单!A195,数据库!A:B,2,0),"")</f>
        <v/>
      </c>
      <c r="H195">
        <f>发货清单!N195</f>
        <v>0</v>
      </c>
      <c r="I195" t="str">
        <f t="shared" ref="I195:I258" si="27">IFERROR(SMALL(A:A,ROW(A194)),"")</f>
        <v/>
      </c>
      <c r="J195" t="str">
        <f t="shared" ref="J195:J258" si="28">IFERROR(IF(RIGHT(I195,6)-2000&gt;0," ",I195)," ")</f>
        <v xml:space="preserve"> </v>
      </c>
      <c r="K195" t="str">
        <f t="shared" ref="K195:K258" si="29">IFERROR(SMALL(J:J,ROW(A194)),"")</f>
        <v/>
      </c>
      <c r="L195" t="str">
        <f t="shared" ref="L195:L258" si="30">IFERROR(VLOOKUP(K195,A:G,7,0)," ")</f>
        <v/>
      </c>
      <c r="N195" s="245">
        <f t="shared" ref="N195:N258" si="31">IF(P195=" ",0,SUMIF(D:D,P195,E:E))</f>
        <v>0</v>
      </c>
      <c r="O195" s="245">
        <f t="shared" ref="O195:O258" si="32">SUMIF(D:D,P195,F:F)</f>
        <v>0</v>
      </c>
      <c r="P195" t="str">
        <f t="shared" ref="P195:P258" si="33">IFERROR(VLOOKUP(K195,A:D,4,0)," ")</f>
        <v/>
      </c>
      <c r="Q195" t="str">
        <f>IFERROR(VLOOKUP(P195,数据库!C:M,11,0),"")</f>
        <v/>
      </c>
      <c r="R195" t="str">
        <f t="shared" ref="R195:R258" si="34">IFERROR(VLOOKUP(K195,A:C,3,0)," ")</f>
        <v/>
      </c>
      <c r="S195">
        <f t="shared" ref="S195:S258" si="35">IFERROR(VLOOKUP(K195,A:H,8,0)," ")</f>
        <v>0</v>
      </c>
    </row>
    <row r="196" spans="1:19">
      <c r="A196" t="str">
        <f>IF(B196=0,"",发货清单!A196*10^6+COUNTIF($D$2:D196,D196)*10^3+ROW(A195))</f>
        <v/>
      </c>
      <c r="B196">
        <f>IFERROR(LEFT(发货清单!H196,SEARCH("-",发货清单!H196)-1),发货清单!H196)</f>
        <v>0</v>
      </c>
      <c r="C196" t="str">
        <f>IFERROR(VLOOKUP(发货清单!A196,数据库!A:D,4,0),"")</f>
        <v/>
      </c>
      <c r="D196" t="str">
        <f>IFERROR(VLOOKUP(发货清单!A196,数据库!A:C,3,0),"")</f>
        <v/>
      </c>
      <c r="E196">
        <f>发货清单!M196</f>
        <v>0</v>
      </c>
      <c r="F196">
        <f>发货清单!U196</f>
        <v>0</v>
      </c>
      <c r="G196" t="str">
        <f>IFERROR(VLOOKUP(发货清单!A196,数据库!A:B,2,0),"")</f>
        <v/>
      </c>
      <c r="H196">
        <f>发货清单!N196</f>
        <v>0</v>
      </c>
      <c r="I196" t="str">
        <f t="shared" si="27"/>
        <v/>
      </c>
      <c r="J196" t="str">
        <f t="shared" si="28"/>
        <v xml:space="preserve"> </v>
      </c>
      <c r="K196" t="str">
        <f t="shared" si="29"/>
        <v/>
      </c>
      <c r="L196" t="str">
        <f t="shared" si="30"/>
        <v/>
      </c>
      <c r="N196" s="245">
        <f t="shared" si="31"/>
        <v>0</v>
      </c>
      <c r="O196" s="245">
        <f t="shared" si="32"/>
        <v>0</v>
      </c>
      <c r="P196" t="str">
        <f t="shared" si="33"/>
        <v/>
      </c>
      <c r="Q196" t="str">
        <f>IFERROR(VLOOKUP(P196,数据库!C:M,11,0),"")</f>
        <v/>
      </c>
      <c r="R196" t="str">
        <f t="shared" si="34"/>
        <v/>
      </c>
      <c r="S196">
        <f t="shared" si="35"/>
        <v>0</v>
      </c>
    </row>
    <row r="197" spans="1:19">
      <c r="A197" t="str">
        <f>IF(B197=0,"",发货清单!A197*10^6+COUNTIF($D$2:D197,D197)*10^3+ROW(A196))</f>
        <v/>
      </c>
      <c r="B197">
        <f>IFERROR(LEFT(发货清单!H197,SEARCH("-",发货清单!H197)-1),发货清单!H197)</f>
        <v>0</v>
      </c>
      <c r="C197" t="str">
        <f>IFERROR(VLOOKUP(发货清单!A197,数据库!A:D,4,0),"")</f>
        <v/>
      </c>
      <c r="D197" t="str">
        <f>IFERROR(VLOOKUP(发货清单!A197,数据库!A:C,3,0),"")</f>
        <v/>
      </c>
      <c r="E197">
        <f>发货清单!M197</f>
        <v>0</v>
      </c>
      <c r="F197">
        <f>发货清单!U197</f>
        <v>0</v>
      </c>
      <c r="G197" t="str">
        <f>IFERROR(VLOOKUP(发货清单!A197,数据库!A:B,2,0),"")</f>
        <v/>
      </c>
      <c r="H197">
        <f>发货清单!N197</f>
        <v>0</v>
      </c>
      <c r="I197" t="str">
        <f t="shared" si="27"/>
        <v/>
      </c>
      <c r="J197" t="str">
        <f t="shared" si="28"/>
        <v xml:space="preserve"> </v>
      </c>
      <c r="K197" t="str">
        <f t="shared" si="29"/>
        <v/>
      </c>
      <c r="L197" t="str">
        <f t="shared" si="30"/>
        <v/>
      </c>
      <c r="N197" s="245">
        <f t="shared" si="31"/>
        <v>0</v>
      </c>
      <c r="O197" s="245">
        <f t="shared" si="32"/>
        <v>0</v>
      </c>
      <c r="P197" t="str">
        <f t="shared" si="33"/>
        <v/>
      </c>
      <c r="Q197" t="str">
        <f>IFERROR(VLOOKUP(P197,数据库!C:M,11,0),"")</f>
        <v/>
      </c>
      <c r="R197" t="str">
        <f t="shared" si="34"/>
        <v/>
      </c>
      <c r="S197">
        <f t="shared" si="35"/>
        <v>0</v>
      </c>
    </row>
    <row r="198" spans="1:19">
      <c r="A198" t="str">
        <f>IF(B198=0,"",发货清单!A198*10^6+COUNTIF($D$2:D198,D198)*10^3+ROW(A197))</f>
        <v/>
      </c>
      <c r="B198">
        <f>IFERROR(LEFT(发货清单!H198,SEARCH("-",发货清单!H198)-1),发货清单!H198)</f>
        <v>0</v>
      </c>
      <c r="C198" t="str">
        <f>IFERROR(VLOOKUP(发货清单!A198,数据库!A:D,4,0),"")</f>
        <v/>
      </c>
      <c r="D198" t="str">
        <f>IFERROR(VLOOKUP(发货清单!A198,数据库!A:C,3,0),"")</f>
        <v/>
      </c>
      <c r="E198">
        <f>发货清单!M198</f>
        <v>0</v>
      </c>
      <c r="F198">
        <f>发货清单!U198</f>
        <v>0</v>
      </c>
      <c r="G198" t="str">
        <f>IFERROR(VLOOKUP(发货清单!A198,数据库!A:B,2,0),"")</f>
        <v/>
      </c>
      <c r="H198">
        <f>发货清单!N198</f>
        <v>0</v>
      </c>
      <c r="I198" t="str">
        <f t="shared" si="27"/>
        <v/>
      </c>
      <c r="J198" t="str">
        <f t="shared" si="28"/>
        <v xml:space="preserve"> </v>
      </c>
      <c r="K198" t="str">
        <f t="shared" si="29"/>
        <v/>
      </c>
      <c r="L198" t="str">
        <f t="shared" si="30"/>
        <v/>
      </c>
      <c r="N198" s="245">
        <f t="shared" si="31"/>
        <v>0</v>
      </c>
      <c r="O198" s="245">
        <f t="shared" si="32"/>
        <v>0</v>
      </c>
      <c r="P198" t="str">
        <f t="shared" si="33"/>
        <v/>
      </c>
      <c r="Q198" t="str">
        <f>IFERROR(VLOOKUP(P198,数据库!C:M,11,0),"")</f>
        <v/>
      </c>
      <c r="R198" t="str">
        <f t="shared" si="34"/>
        <v/>
      </c>
      <c r="S198">
        <f t="shared" si="35"/>
        <v>0</v>
      </c>
    </row>
    <row r="199" spans="1:19">
      <c r="A199" t="str">
        <f>IF(B199=0,"",发货清单!A199*10^6+COUNTIF($D$2:D199,D199)*10^3+ROW(A198))</f>
        <v/>
      </c>
      <c r="B199">
        <f>IFERROR(LEFT(发货清单!H199,SEARCH("-",发货清单!H199)-1),发货清单!H199)</f>
        <v>0</v>
      </c>
      <c r="C199" t="str">
        <f>IFERROR(VLOOKUP(发货清单!A199,数据库!A:D,4,0),"")</f>
        <v/>
      </c>
      <c r="D199" t="str">
        <f>IFERROR(VLOOKUP(发货清单!A199,数据库!A:C,3,0),"")</f>
        <v/>
      </c>
      <c r="E199">
        <f>发货清单!M199</f>
        <v>0</v>
      </c>
      <c r="F199">
        <f>发货清单!U199</f>
        <v>0</v>
      </c>
      <c r="G199" t="str">
        <f>IFERROR(VLOOKUP(发货清单!A199,数据库!A:B,2,0),"")</f>
        <v/>
      </c>
      <c r="H199">
        <f>发货清单!N199</f>
        <v>0</v>
      </c>
      <c r="I199" t="str">
        <f t="shared" si="27"/>
        <v/>
      </c>
      <c r="J199" t="str">
        <f t="shared" si="28"/>
        <v xml:space="preserve"> </v>
      </c>
      <c r="K199" t="str">
        <f t="shared" si="29"/>
        <v/>
      </c>
      <c r="L199" t="str">
        <f t="shared" si="30"/>
        <v/>
      </c>
      <c r="N199" s="245">
        <f t="shared" si="31"/>
        <v>0</v>
      </c>
      <c r="O199" s="245">
        <f t="shared" si="32"/>
        <v>0</v>
      </c>
      <c r="P199" t="str">
        <f t="shared" si="33"/>
        <v/>
      </c>
      <c r="Q199" t="str">
        <f>IFERROR(VLOOKUP(P199,数据库!C:M,11,0),"")</f>
        <v/>
      </c>
      <c r="R199" t="str">
        <f t="shared" si="34"/>
        <v/>
      </c>
      <c r="S199">
        <f t="shared" si="35"/>
        <v>0</v>
      </c>
    </row>
    <row r="200" spans="1:19">
      <c r="A200" t="str">
        <f>IF(B200=0,"",发货清单!A200*10^6+COUNTIF($D$2:D200,D200)*10^3+ROW(A199))</f>
        <v/>
      </c>
      <c r="B200">
        <f>IFERROR(LEFT(发货清单!H200,SEARCH("-",发货清单!H200)-1),发货清单!H200)</f>
        <v>0</v>
      </c>
      <c r="C200" t="str">
        <f>IFERROR(VLOOKUP(发货清单!A200,数据库!A:D,4,0),"")</f>
        <v/>
      </c>
      <c r="D200" t="str">
        <f>IFERROR(VLOOKUP(发货清单!A200,数据库!A:C,3,0),"")</f>
        <v/>
      </c>
      <c r="E200">
        <f>发货清单!M200</f>
        <v>0</v>
      </c>
      <c r="F200">
        <f>发货清单!U200</f>
        <v>0</v>
      </c>
      <c r="G200" t="str">
        <f>IFERROR(VLOOKUP(发货清单!A200,数据库!A:B,2,0),"")</f>
        <v/>
      </c>
      <c r="H200">
        <f>发货清单!N200</f>
        <v>0</v>
      </c>
      <c r="I200" t="str">
        <f t="shared" si="27"/>
        <v/>
      </c>
      <c r="J200" t="str">
        <f t="shared" si="28"/>
        <v xml:space="preserve"> </v>
      </c>
      <c r="K200" t="str">
        <f t="shared" si="29"/>
        <v/>
      </c>
      <c r="L200" t="str">
        <f t="shared" si="30"/>
        <v/>
      </c>
      <c r="N200" s="245">
        <f t="shared" si="31"/>
        <v>0</v>
      </c>
      <c r="O200" s="245">
        <f t="shared" si="32"/>
        <v>0</v>
      </c>
      <c r="P200" t="str">
        <f t="shared" si="33"/>
        <v/>
      </c>
      <c r="Q200" t="str">
        <f>IFERROR(VLOOKUP(P200,数据库!C:M,11,0),"")</f>
        <v/>
      </c>
      <c r="R200" t="str">
        <f t="shared" si="34"/>
        <v/>
      </c>
      <c r="S200">
        <f t="shared" si="35"/>
        <v>0</v>
      </c>
    </row>
    <row r="201" spans="1:19">
      <c r="A201" t="str">
        <f>IF(B201=0,"",发货清单!A201*10^6+COUNTIF($D$2:D201,D201)*10^3+ROW(A200))</f>
        <v/>
      </c>
      <c r="B201">
        <f>IFERROR(LEFT(发货清单!H201,SEARCH("-",发货清单!H201)-1),发货清单!H201)</f>
        <v>0</v>
      </c>
      <c r="C201" t="str">
        <f>IFERROR(VLOOKUP(发货清单!A201,数据库!A:D,4,0),"")</f>
        <v/>
      </c>
      <c r="D201" t="str">
        <f>IFERROR(VLOOKUP(发货清单!A201,数据库!A:C,3,0),"")</f>
        <v/>
      </c>
      <c r="E201">
        <f>发货清单!M201</f>
        <v>0</v>
      </c>
      <c r="F201">
        <f>发货清单!U201</f>
        <v>0</v>
      </c>
      <c r="G201" t="str">
        <f>IFERROR(VLOOKUP(发货清单!A201,数据库!A:B,2,0),"")</f>
        <v/>
      </c>
      <c r="H201">
        <f>发货清单!N201</f>
        <v>0</v>
      </c>
      <c r="I201" t="str">
        <f t="shared" si="27"/>
        <v/>
      </c>
      <c r="J201" t="str">
        <f t="shared" si="28"/>
        <v xml:space="preserve"> </v>
      </c>
      <c r="K201" t="str">
        <f t="shared" si="29"/>
        <v/>
      </c>
      <c r="L201" t="str">
        <f t="shared" si="30"/>
        <v/>
      </c>
      <c r="N201" s="245">
        <f t="shared" si="31"/>
        <v>0</v>
      </c>
      <c r="O201" s="245">
        <f t="shared" si="32"/>
        <v>0</v>
      </c>
      <c r="P201" t="str">
        <f t="shared" si="33"/>
        <v/>
      </c>
      <c r="Q201" t="str">
        <f>IFERROR(VLOOKUP(P201,数据库!C:M,11,0),"")</f>
        <v/>
      </c>
      <c r="R201" t="str">
        <f t="shared" si="34"/>
        <v/>
      </c>
      <c r="S201">
        <f t="shared" si="35"/>
        <v>0</v>
      </c>
    </row>
    <row r="202" spans="1:19">
      <c r="A202" t="str">
        <f>IF(B202=0,"",发货清单!A202*10^6+COUNTIF($D$2:D202,D202)*10^3+ROW(A201))</f>
        <v/>
      </c>
      <c r="B202">
        <f>IFERROR(LEFT(发货清单!H202,SEARCH("-",发货清单!H202)-1),发货清单!H202)</f>
        <v>0</v>
      </c>
      <c r="C202" t="str">
        <f>IFERROR(VLOOKUP(发货清单!A202,数据库!A:D,4,0),"")</f>
        <v/>
      </c>
      <c r="D202" t="str">
        <f>IFERROR(VLOOKUP(发货清单!A202,数据库!A:C,3,0),"")</f>
        <v/>
      </c>
      <c r="E202">
        <f>发货清单!M202</f>
        <v>0</v>
      </c>
      <c r="F202">
        <f>发货清单!U202</f>
        <v>0</v>
      </c>
      <c r="G202" t="str">
        <f>IFERROR(VLOOKUP(发货清单!A202,数据库!A:B,2,0),"")</f>
        <v/>
      </c>
      <c r="H202">
        <f>发货清单!N202</f>
        <v>0</v>
      </c>
      <c r="I202" t="str">
        <f t="shared" si="27"/>
        <v/>
      </c>
      <c r="J202" t="str">
        <f t="shared" si="28"/>
        <v xml:space="preserve"> </v>
      </c>
      <c r="K202" t="str">
        <f t="shared" si="29"/>
        <v/>
      </c>
      <c r="L202" t="str">
        <f t="shared" si="30"/>
        <v/>
      </c>
      <c r="N202" s="245">
        <f t="shared" si="31"/>
        <v>0</v>
      </c>
      <c r="O202" s="245">
        <f t="shared" si="32"/>
        <v>0</v>
      </c>
      <c r="P202" t="str">
        <f t="shared" si="33"/>
        <v/>
      </c>
      <c r="Q202" t="str">
        <f>IFERROR(VLOOKUP(P202,数据库!C:M,11,0),"")</f>
        <v/>
      </c>
      <c r="R202" t="str">
        <f t="shared" si="34"/>
        <v/>
      </c>
      <c r="S202">
        <f t="shared" si="35"/>
        <v>0</v>
      </c>
    </row>
    <row r="203" spans="1:19">
      <c r="A203" t="str">
        <f>IF(B203=0,"",发货清单!A203*10^6+COUNTIF($D$2:D203,D203)*10^3+ROW(A202))</f>
        <v/>
      </c>
      <c r="B203">
        <f>IFERROR(LEFT(发货清单!H203,SEARCH("-",发货清单!H203)-1),发货清单!H203)</f>
        <v>0</v>
      </c>
      <c r="C203" t="str">
        <f>IFERROR(VLOOKUP(发货清单!A203,数据库!A:D,4,0),"")</f>
        <v/>
      </c>
      <c r="D203" t="str">
        <f>IFERROR(VLOOKUP(发货清单!A203,数据库!A:C,3,0),"")</f>
        <v/>
      </c>
      <c r="E203">
        <f>发货清单!M203</f>
        <v>0</v>
      </c>
      <c r="F203">
        <f>发货清单!U203</f>
        <v>0</v>
      </c>
      <c r="G203" t="str">
        <f>IFERROR(VLOOKUP(发货清单!A203,数据库!A:B,2,0),"")</f>
        <v/>
      </c>
      <c r="H203">
        <f>发货清单!N203</f>
        <v>0</v>
      </c>
      <c r="I203" t="str">
        <f t="shared" si="27"/>
        <v/>
      </c>
      <c r="J203" t="str">
        <f t="shared" si="28"/>
        <v xml:space="preserve"> </v>
      </c>
      <c r="K203" t="str">
        <f t="shared" si="29"/>
        <v/>
      </c>
      <c r="L203" t="str">
        <f t="shared" si="30"/>
        <v/>
      </c>
      <c r="N203" s="245">
        <f t="shared" si="31"/>
        <v>0</v>
      </c>
      <c r="O203" s="245">
        <f t="shared" si="32"/>
        <v>0</v>
      </c>
      <c r="P203" t="str">
        <f t="shared" si="33"/>
        <v/>
      </c>
      <c r="Q203" t="str">
        <f>IFERROR(VLOOKUP(P203,数据库!C:M,11,0),"")</f>
        <v/>
      </c>
      <c r="R203" t="str">
        <f t="shared" si="34"/>
        <v/>
      </c>
      <c r="S203">
        <f t="shared" si="35"/>
        <v>0</v>
      </c>
    </row>
    <row r="204" spans="1:19">
      <c r="A204" t="str">
        <f>IF(B204=0,"",发货清单!A204*10^6+COUNTIF($D$2:D204,D204)*10^3+ROW(A203))</f>
        <v/>
      </c>
      <c r="B204">
        <f>IFERROR(LEFT(发货清单!H204,SEARCH("-",发货清单!H204)-1),发货清单!H204)</f>
        <v>0</v>
      </c>
      <c r="C204" t="str">
        <f>IFERROR(VLOOKUP(发货清单!A204,数据库!A:D,4,0),"")</f>
        <v/>
      </c>
      <c r="D204" t="str">
        <f>IFERROR(VLOOKUP(发货清单!A204,数据库!A:C,3,0),"")</f>
        <v/>
      </c>
      <c r="E204">
        <f>发货清单!M204</f>
        <v>0</v>
      </c>
      <c r="F204">
        <f>发货清单!U204</f>
        <v>0</v>
      </c>
      <c r="G204" t="str">
        <f>IFERROR(VLOOKUP(发货清单!A204,数据库!A:B,2,0),"")</f>
        <v/>
      </c>
      <c r="H204">
        <f>发货清单!N204</f>
        <v>0</v>
      </c>
      <c r="I204" t="str">
        <f t="shared" si="27"/>
        <v/>
      </c>
      <c r="J204" t="str">
        <f t="shared" si="28"/>
        <v xml:space="preserve"> </v>
      </c>
      <c r="K204" t="str">
        <f t="shared" si="29"/>
        <v/>
      </c>
      <c r="L204" t="str">
        <f t="shared" si="30"/>
        <v/>
      </c>
      <c r="N204" s="245">
        <f t="shared" si="31"/>
        <v>0</v>
      </c>
      <c r="O204" s="245">
        <f t="shared" si="32"/>
        <v>0</v>
      </c>
      <c r="P204" t="str">
        <f t="shared" si="33"/>
        <v/>
      </c>
      <c r="Q204" t="str">
        <f>IFERROR(VLOOKUP(P204,数据库!C:M,11,0),"")</f>
        <v/>
      </c>
      <c r="R204" t="str">
        <f t="shared" si="34"/>
        <v/>
      </c>
      <c r="S204">
        <f t="shared" si="35"/>
        <v>0</v>
      </c>
    </row>
    <row r="205" spans="1:19">
      <c r="A205" t="str">
        <f>IF(B205=0,"",发货清单!A205*10^6+COUNTIF($D$2:D205,D205)*10^3+ROW(A204))</f>
        <v/>
      </c>
      <c r="B205">
        <f>IFERROR(LEFT(发货清单!H205,SEARCH("-",发货清单!H205)-1),发货清单!H205)</f>
        <v>0</v>
      </c>
      <c r="C205" t="str">
        <f>IFERROR(VLOOKUP(发货清单!A205,数据库!A:D,4,0),"")</f>
        <v/>
      </c>
      <c r="D205" t="str">
        <f>IFERROR(VLOOKUP(发货清单!A205,数据库!A:C,3,0),"")</f>
        <v/>
      </c>
      <c r="E205">
        <f>发货清单!M205</f>
        <v>0</v>
      </c>
      <c r="F205">
        <f>发货清单!U205</f>
        <v>0</v>
      </c>
      <c r="G205" t="str">
        <f>IFERROR(VLOOKUP(发货清单!A205,数据库!A:B,2,0),"")</f>
        <v/>
      </c>
      <c r="H205">
        <f>发货清单!N205</f>
        <v>0</v>
      </c>
      <c r="I205" t="str">
        <f t="shared" si="27"/>
        <v/>
      </c>
      <c r="J205" t="str">
        <f t="shared" si="28"/>
        <v xml:space="preserve"> </v>
      </c>
      <c r="K205" t="str">
        <f t="shared" si="29"/>
        <v/>
      </c>
      <c r="L205" t="str">
        <f t="shared" si="30"/>
        <v/>
      </c>
      <c r="N205" s="245">
        <f t="shared" si="31"/>
        <v>0</v>
      </c>
      <c r="O205" s="245">
        <f t="shared" si="32"/>
        <v>0</v>
      </c>
      <c r="P205" t="str">
        <f t="shared" si="33"/>
        <v/>
      </c>
      <c r="Q205" t="str">
        <f>IFERROR(VLOOKUP(P205,数据库!C:M,11,0),"")</f>
        <v/>
      </c>
      <c r="R205" t="str">
        <f t="shared" si="34"/>
        <v/>
      </c>
      <c r="S205">
        <f t="shared" si="35"/>
        <v>0</v>
      </c>
    </row>
    <row r="206" spans="1:19">
      <c r="A206" t="str">
        <f>IF(B206=0,"",发货清单!A206*10^6+COUNTIF($D$2:D206,D206)*10^3+ROW(A205))</f>
        <v/>
      </c>
      <c r="B206">
        <f>IFERROR(LEFT(发货清单!H206,SEARCH("-",发货清单!H206)-1),发货清单!H206)</f>
        <v>0</v>
      </c>
      <c r="C206" t="str">
        <f>IFERROR(VLOOKUP(发货清单!A206,数据库!A:D,4,0),"")</f>
        <v/>
      </c>
      <c r="D206" t="str">
        <f>IFERROR(VLOOKUP(发货清单!A206,数据库!A:C,3,0),"")</f>
        <v/>
      </c>
      <c r="E206">
        <f>发货清单!M206</f>
        <v>0</v>
      </c>
      <c r="F206">
        <f>发货清单!U206</f>
        <v>0</v>
      </c>
      <c r="G206" t="str">
        <f>IFERROR(VLOOKUP(发货清单!A206,数据库!A:B,2,0),"")</f>
        <v/>
      </c>
      <c r="H206">
        <f>发货清单!N206</f>
        <v>0</v>
      </c>
      <c r="I206" t="str">
        <f t="shared" si="27"/>
        <v/>
      </c>
      <c r="J206" t="str">
        <f t="shared" si="28"/>
        <v xml:space="preserve"> </v>
      </c>
      <c r="K206" t="str">
        <f t="shared" si="29"/>
        <v/>
      </c>
      <c r="L206" t="str">
        <f t="shared" si="30"/>
        <v/>
      </c>
      <c r="N206" s="245">
        <f t="shared" si="31"/>
        <v>0</v>
      </c>
      <c r="O206" s="245">
        <f t="shared" si="32"/>
        <v>0</v>
      </c>
      <c r="P206" t="str">
        <f t="shared" si="33"/>
        <v/>
      </c>
      <c r="Q206" t="str">
        <f>IFERROR(VLOOKUP(P206,数据库!C:M,11,0),"")</f>
        <v/>
      </c>
      <c r="R206" t="str">
        <f t="shared" si="34"/>
        <v/>
      </c>
      <c r="S206">
        <f t="shared" si="35"/>
        <v>0</v>
      </c>
    </row>
    <row r="207" spans="1:19">
      <c r="A207" t="str">
        <f>IF(B207=0,"",发货清单!A207*10^6+COUNTIF($D$2:D207,D207)*10^3+ROW(A206))</f>
        <v/>
      </c>
      <c r="B207">
        <f>IFERROR(LEFT(发货清单!H207,SEARCH("-",发货清单!H207)-1),发货清单!H207)</f>
        <v>0</v>
      </c>
      <c r="C207" t="str">
        <f>IFERROR(VLOOKUP(发货清单!A207,数据库!A:D,4,0),"")</f>
        <v/>
      </c>
      <c r="D207" t="str">
        <f>IFERROR(VLOOKUP(发货清单!A207,数据库!A:C,3,0),"")</f>
        <v/>
      </c>
      <c r="E207">
        <f>发货清单!M207</f>
        <v>0</v>
      </c>
      <c r="F207">
        <f>发货清单!U207</f>
        <v>0</v>
      </c>
      <c r="G207" t="str">
        <f>IFERROR(VLOOKUP(发货清单!A207,数据库!A:B,2,0),"")</f>
        <v/>
      </c>
      <c r="H207">
        <f>发货清单!N207</f>
        <v>0</v>
      </c>
      <c r="I207" t="str">
        <f t="shared" si="27"/>
        <v/>
      </c>
      <c r="J207" t="str">
        <f t="shared" si="28"/>
        <v xml:space="preserve"> </v>
      </c>
      <c r="K207" t="str">
        <f t="shared" si="29"/>
        <v/>
      </c>
      <c r="L207" t="str">
        <f t="shared" si="30"/>
        <v/>
      </c>
      <c r="N207" s="245">
        <f t="shared" si="31"/>
        <v>0</v>
      </c>
      <c r="O207" s="245">
        <f t="shared" si="32"/>
        <v>0</v>
      </c>
      <c r="P207" t="str">
        <f t="shared" si="33"/>
        <v/>
      </c>
      <c r="Q207" t="str">
        <f>IFERROR(VLOOKUP(P207,数据库!C:M,11,0),"")</f>
        <v/>
      </c>
      <c r="R207" t="str">
        <f t="shared" si="34"/>
        <v/>
      </c>
      <c r="S207">
        <f t="shared" si="35"/>
        <v>0</v>
      </c>
    </row>
    <row r="208" spans="1:19">
      <c r="A208" t="str">
        <f>IF(B208=0,"",发货清单!A208*10^6+COUNTIF($D$2:D208,D208)*10^3+ROW(A207))</f>
        <v/>
      </c>
      <c r="B208">
        <f>IFERROR(LEFT(发货清单!H208,SEARCH("-",发货清单!H208)-1),发货清单!H208)</f>
        <v>0</v>
      </c>
      <c r="C208" t="str">
        <f>IFERROR(VLOOKUP(发货清单!A208,数据库!A:D,4,0),"")</f>
        <v/>
      </c>
      <c r="D208" t="str">
        <f>IFERROR(VLOOKUP(发货清单!A208,数据库!A:C,3,0),"")</f>
        <v/>
      </c>
      <c r="E208">
        <f>发货清单!M208</f>
        <v>0</v>
      </c>
      <c r="F208">
        <f>发货清单!U208</f>
        <v>0</v>
      </c>
      <c r="G208" t="str">
        <f>IFERROR(VLOOKUP(发货清单!A208,数据库!A:B,2,0),"")</f>
        <v/>
      </c>
      <c r="H208">
        <f>发货清单!N208</f>
        <v>0</v>
      </c>
      <c r="I208" t="str">
        <f t="shared" si="27"/>
        <v/>
      </c>
      <c r="J208" t="str">
        <f t="shared" si="28"/>
        <v xml:space="preserve"> </v>
      </c>
      <c r="K208" t="str">
        <f t="shared" si="29"/>
        <v/>
      </c>
      <c r="L208" t="str">
        <f t="shared" si="30"/>
        <v/>
      </c>
      <c r="N208" s="245">
        <f t="shared" si="31"/>
        <v>0</v>
      </c>
      <c r="O208" s="245">
        <f t="shared" si="32"/>
        <v>0</v>
      </c>
      <c r="P208" t="str">
        <f t="shared" si="33"/>
        <v/>
      </c>
      <c r="Q208" t="str">
        <f>IFERROR(VLOOKUP(P208,数据库!C:M,11,0),"")</f>
        <v/>
      </c>
      <c r="R208" t="str">
        <f t="shared" si="34"/>
        <v/>
      </c>
      <c r="S208">
        <f t="shared" si="35"/>
        <v>0</v>
      </c>
    </row>
    <row r="209" spans="1:19">
      <c r="A209" t="str">
        <f>IF(B209=0,"",发货清单!A209*10^6+COUNTIF($D$2:D209,D209)*10^3+ROW(A208))</f>
        <v/>
      </c>
      <c r="B209">
        <f>IFERROR(LEFT(发货清单!H209,SEARCH("-",发货清单!H209)-1),发货清单!H209)</f>
        <v>0</v>
      </c>
      <c r="C209" t="str">
        <f>IFERROR(VLOOKUP(发货清单!A209,数据库!A:D,4,0),"")</f>
        <v/>
      </c>
      <c r="D209" t="str">
        <f>IFERROR(VLOOKUP(发货清单!A209,数据库!A:C,3,0),"")</f>
        <v/>
      </c>
      <c r="E209">
        <f>发货清单!M209</f>
        <v>0</v>
      </c>
      <c r="F209">
        <f>发货清单!U209</f>
        <v>0</v>
      </c>
      <c r="G209" t="str">
        <f>IFERROR(VLOOKUP(发货清单!A209,数据库!A:B,2,0),"")</f>
        <v/>
      </c>
      <c r="H209">
        <f>发货清单!N209</f>
        <v>0</v>
      </c>
      <c r="I209" t="str">
        <f t="shared" si="27"/>
        <v/>
      </c>
      <c r="J209" t="str">
        <f t="shared" si="28"/>
        <v xml:space="preserve"> </v>
      </c>
      <c r="K209" t="str">
        <f t="shared" si="29"/>
        <v/>
      </c>
      <c r="L209" t="str">
        <f t="shared" si="30"/>
        <v/>
      </c>
      <c r="N209" s="245">
        <f t="shared" si="31"/>
        <v>0</v>
      </c>
      <c r="O209" s="245">
        <f t="shared" si="32"/>
        <v>0</v>
      </c>
      <c r="P209" t="str">
        <f t="shared" si="33"/>
        <v/>
      </c>
      <c r="Q209" t="str">
        <f>IFERROR(VLOOKUP(P209,数据库!C:M,11,0),"")</f>
        <v/>
      </c>
      <c r="R209" t="str">
        <f t="shared" si="34"/>
        <v/>
      </c>
      <c r="S209">
        <f t="shared" si="35"/>
        <v>0</v>
      </c>
    </row>
    <row r="210" spans="1:19">
      <c r="A210" t="str">
        <f>IF(B210=0,"",发货清单!A210*10^6+COUNTIF($D$2:D210,D210)*10^3+ROW(A209))</f>
        <v/>
      </c>
      <c r="B210">
        <f>IFERROR(LEFT(发货清单!H210,SEARCH("-",发货清单!H210)-1),发货清单!H210)</f>
        <v>0</v>
      </c>
      <c r="C210" t="str">
        <f>IFERROR(VLOOKUP(发货清单!A210,数据库!A:D,4,0),"")</f>
        <v/>
      </c>
      <c r="D210" t="str">
        <f>IFERROR(VLOOKUP(发货清单!A210,数据库!A:C,3,0),"")</f>
        <v/>
      </c>
      <c r="E210">
        <f>发货清单!M210</f>
        <v>0</v>
      </c>
      <c r="F210">
        <f>发货清单!U210</f>
        <v>0</v>
      </c>
      <c r="G210" t="str">
        <f>IFERROR(VLOOKUP(发货清单!A210,数据库!A:B,2,0),"")</f>
        <v/>
      </c>
      <c r="H210">
        <f>发货清单!N210</f>
        <v>0</v>
      </c>
      <c r="I210" t="str">
        <f t="shared" si="27"/>
        <v/>
      </c>
      <c r="J210" t="str">
        <f t="shared" si="28"/>
        <v xml:space="preserve"> </v>
      </c>
      <c r="K210" t="str">
        <f t="shared" si="29"/>
        <v/>
      </c>
      <c r="L210" t="str">
        <f t="shared" si="30"/>
        <v/>
      </c>
      <c r="N210" s="245">
        <f t="shared" si="31"/>
        <v>0</v>
      </c>
      <c r="O210" s="245">
        <f t="shared" si="32"/>
        <v>0</v>
      </c>
      <c r="P210" t="str">
        <f t="shared" si="33"/>
        <v/>
      </c>
      <c r="Q210" t="str">
        <f>IFERROR(VLOOKUP(P210,数据库!C:M,11,0),"")</f>
        <v/>
      </c>
      <c r="R210" t="str">
        <f t="shared" si="34"/>
        <v/>
      </c>
      <c r="S210">
        <f t="shared" si="35"/>
        <v>0</v>
      </c>
    </row>
    <row r="211" spans="1:19">
      <c r="A211" t="str">
        <f>IF(B211=0,"",发货清单!A211*10^6+COUNTIF($D$2:D211,D211)*10^3+ROW(A210))</f>
        <v/>
      </c>
      <c r="B211">
        <f>IFERROR(LEFT(发货清单!H211,SEARCH("-",发货清单!H211)-1),发货清单!H211)</f>
        <v>0</v>
      </c>
      <c r="C211" t="str">
        <f>IFERROR(VLOOKUP(发货清单!A211,数据库!A:D,4,0),"")</f>
        <v/>
      </c>
      <c r="D211" t="str">
        <f>IFERROR(VLOOKUP(发货清单!A211,数据库!A:C,3,0),"")</f>
        <v/>
      </c>
      <c r="E211">
        <f>发货清单!M211</f>
        <v>0</v>
      </c>
      <c r="F211">
        <f>发货清单!U211</f>
        <v>0</v>
      </c>
      <c r="G211" t="str">
        <f>IFERROR(VLOOKUP(发货清单!A211,数据库!A:B,2,0),"")</f>
        <v/>
      </c>
      <c r="H211">
        <f>发货清单!N211</f>
        <v>0</v>
      </c>
      <c r="I211" t="str">
        <f t="shared" si="27"/>
        <v/>
      </c>
      <c r="J211" t="str">
        <f t="shared" si="28"/>
        <v xml:space="preserve"> </v>
      </c>
      <c r="K211" t="str">
        <f t="shared" si="29"/>
        <v/>
      </c>
      <c r="L211" t="str">
        <f t="shared" si="30"/>
        <v/>
      </c>
      <c r="N211" s="245">
        <f t="shared" si="31"/>
        <v>0</v>
      </c>
      <c r="O211" s="245">
        <f t="shared" si="32"/>
        <v>0</v>
      </c>
      <c r="P211" t="str">
        <f t="shared" si="33"/>
        <v/>
      </c>
      <c r="Q211" t="str">
        <f>IFERROR(VLOOKUP(P211,数据库!C:M,11,0),"")</f>
        <v/>
      </c>
      <c r="R211" t="str">
        <f t="shared" si="34"/>
        <v/>
      </c>
      <c r="S211">
        <f t="shared" si="35"/>
        <v>0</v>
      </c>
    </row>
    <row r="212" spans="1:19">
      <c r="A212" t="str">
        <f>IF(B212=0,"",发货清单!A212*10^6+COUNTIF($D$2:D212,D212)*10^3+ROW(A211))</f>
        <v/>
      </c>
      <c r="B212">
        <f>IFERROR(LEFT(发货清单!H212,SEARCH("-",发货清单!H212)-1),发货清单!H212)</f>
        <v>0</v>
      </c>
      <c r="C212" t="str">
        <f>IFERROR(VLOOKUP(发货清单!A212,数据库!A:D,4,0),"")</f>
        <v/>
      </c>
      <c r="D212" t="str">
        <f>IFERROR(VLOOKUP(发货清单!A212,数据库!A:C,3,0),"")</f>
        <v/>
      </c>
      <c r="E212">
        <f>发货清单!M212</f>
        <v>0</v>
      </c>
      <c r="F212">
        <f>发货清单!U212</f>
        <v>0</v>
      </c>
      <c r="G212" t="str">
        <f>IFERROR(VLOOKUP(发货清单!A212,数据库!A:B,2,0),"")</f>
        <v/>
      </c>
      <c r="H212">
        <f>发货清单!N212</f>
        <v>0</v>
      </c>
      <c r="I212" t="str">
        <f t="shared" si="27"/>
        <v/>
      </c>
      <c r="J212" t="str">
        <f t="shared" si="28"/>
        <v xml:space="preserve"> </v>
      </c>
      <c r="K212" t="str">
        <f t="shared" si="29"/>
        <v/>
      </c>
      <c r="L212" t="str">
        <f t="shared" si="30"/>
        <v/>
      </c>
      <c r="N212" s="245">
        <f t="shared" si="31"/>
        <v>0</v>
      </c>
      <c r="O212" s="245">
        <f t="shared" si="32"/>
        <v>0</v>
      </c>
      <c r="P212" t="str">
        <f t="shared" si="33"/>
        <v/>
      </c>
      <c r="Q212" t="str">
        <f>IFERROR(VLOOKUP(P212,数据库!C:M,11,0),"")</f>
        <v/>
      </c>
      <c r="R212" t="str">
        <f t="shared" si="34"/>
        <v/>
      </c>
      <c r="S212">
        <f t="shared" si="35"/>
        <v>0</v>
      </c>
    </row>
    <row r="213" spans="1:19">
      <c r="A213" t="str">
        <f>IF(B213=0,"",发货清单!A213*10^6+COUNTIF($D$2:D213,D213)*10^3+ROW(A212))</f>
        <v/>
      </c>
      <c r="B213">
        <f>IFERROR(LEFT(发货清单!H213,SEARCH("-",发货清单!H213)-1),发货清单!H213)</f>
        <v>0</v>
      </c>
      <c r="C213" t="str">
        <f>IFERROR(VLOOKUP(发货清单!A213,数据库!A:D,4,0),"")</f>
        <v/>
      </c>
      <c r="D213" t="str">
        <f>IFERROR(VLOOKUP(发货清单!A213,数据库!A:C,3,0),"")</f>
        <v/>
      </c>
      <c r="E213">
        <f>发货清单!M213</f>
        <v>0</v>
      </c>
      <c r="F213">
        <f>发货清单!U213</f>
        <v>0</v>
      </c>
      <c r="G213" t="str">
        <f>IFERROR(VLOOKUP(发货清单!A213,数据库!A:B,2,0),"")</f>
        <v/>
      </c>
      <c r="H213">
        <f>发货清单!N213</f>
        <v>0</v>
      </c>
      <c r="I213" t="str">
        <f t="shared" si="27"/>
        <v/>
      </c>
      <c r="J213" t="str">
        <f t="shared" si="28"/>
        <v xml:space="preserve"> </v>
      </c>
      <c r="K213" t="str">
        <f t="shared" si="29"/>
        <v/>
      </c>
      <c r="L213" t="str">
        <f t="shared" si="30"/>
        <v/>
      </c>
      <c r="N213" s="245">
        <f t="shared" si="31"/>
        <v>0</v>
      </c>
      <c r="O213" s="245">
        <f t="shared" si="32"/>
        <v>0</v>
      </c>
      <c r="P213" t="str">
        <f t="shared" si="33"/>
        <v/>
      </c>
      <c r="Q213" t="str">
        <f>IFERROR(VLOOKUP(P213,数据库!C:M,11,0),"")</f>
        <v/>
      </c>
      <c r="R213" t="str">
        <f t="shared" si="34"/>
        <v/>
      </c>
      <c r="S213">
        <f t="shared" si="35"/>
        <v>0</v>
      </c>
    </row>
    <row r="214" spans="1:19">
      <c r="A214" t="str">
        <f>IF(B214=0,"",发货清单!A214*10^6+COUNTIF($D$2:D214,D214)*10^3+ROW(A213))</f>
        <v/>
      </c>
      <c r="B214">
        <f>IFERROR(LEFT(发货清单!H214,SEARCH("-",发货清单!H214)-1),发货清单!H214)</f>
        <v>0</v>
      </c>
      <c r="C214" t="str">
        <f>IFERROR(VLOOKUP(发货清单!A214,数据库!A:D,4,0),"")</f>
        <v/>
      </c>
      <c r="D214" t="str">
        <f>IFERROR(VLOOKUP(发货清单!A214,数据库!A:C,3,0),"")</f>
        <v/>
      </c>
      <c r="E214">
        <f>发货清单!M214</f>
        <v>0</v>
      </c>
      <c r="F214">
        <f>发货清单!U214</f>
        <v>0</v>
      </c>
      <c r="G214" t="str">
        <f>IFERROR(VLOOKUP(发货清单!A214,数据库!A:B,2,0),"")</f>
        <v/>
      </c>
      <c r="H214">
        <f>发货清单!N214</f>
        <v>0</v>
      </c>
      <c r="I214" t="str">
        <f t="shared" si="27"/>
        <v/>
      </c>
      <c r="J214" t="str">
        <f t="shared" si="28"/>
        <v xml:space="preserve"> </v>
      </c>
      <c r="K214" t="str">
        <f t="shared" si="29"/>
        <v/>
      </c>
      <c r="L214" t="str">
        <f t="shared" si="30"/>
        <v/>
      </c>
      <c r="N214" s="245">
        <f t="shared" si="31"/>
        <v>0</v>
      </c>
      <c r="O214" s="245">
        <f t="shared" si="32"/>
        <v>0</v>
      </c>
      <c r="P214" t="str">
        <f t="shared" si="33"/>
        <v/>
      </c>
      <c r="Q214" t="str">
        <f>IFERROR(VLOOKUP(P214,数据库!C:M,11,0),"")</f>
        <v/>
      </c>
      <c r="R214" t="str">
        <f t="shared" si="34"/>
        <v/>
      </c>
      <c r="S214">
        <f t="shared" si="35"/>
        <v>0</v>
      </c>
    </row>
    <row r="215" spans="1:19">
      <c r="A215" t="str">
        <f>IF(B215=0,"",发货清单!A215*10^6+COUNTIF($D$2:D215,D215)*10^3+ROW(A214))</f>
        <v/>
      </c>
      <c r="B215">
        <f>IFERROR(LEFT(发货清单!H215,SEARCH("-",发货清单!H215)-1),发货清单!H215)</f>
        <v>0</v>
      </c>
      <c r="C215" t="str">
        <f>IFERROR(VLOOKUP(发货清单!A215,数据库!A:D,4,0),"")</f>
        <v/>
      </c>
      <c r="D215" t="str">
        <f>IFERROR(VLOOKUP(发货清单!A215,数据库!A:C,3,0),"")</f>
        <v/>
      </c>
      <c r="E215">
        <f>发货清单!M215</f>
        <v>0</v>
      </c>
      <c r="F215">
        <f>发货清单!U215</f>
        <v>0</v>
      </c>
      <c r="G215" t="str">
        <f>IFERROR(VLOOKUP(发货清单!A215,数据库!A:B,2,0),"")</f>
        <v/>
      </c>
      <c r="H215">
        <f>发货清单!N215</f>
        <v>0</v>
      </c>
      <c r="I215" t="str">
        <f t="shared" si="27"/>
        <v/>
      </c>
      <c r="J215" t="str">
        <f t="shared" si="28"/>
        <v xml:space="preserve"> </v>
      </c>
      <c r="K215" t="str">
        <f t="shared" si="29"/>
        <v/>
      </c>
      <c r="L215" t="str">
        <f t="shared" si="30"/>
        <v/>
      </c>
      <c r="N215" s="245">
        <f t="shared" si="31"/>
        <v>0</v>
      </c>
      <c r="O215" s="245">
        <f t="shared" si="32"/>
        <v>0</v>
      </c>
      <c r="P215" t="str">
        <f t="shared" si="33"/>
        <v/>
      </c>
      <c r="Q215" t="str">
        <f>IFERROR(VLOOKUP(P215,数据库!C:M,11,0),"")</f>
        <v/>
      </c>
      <c r="R215" t="str">
        <f t="shared" si="34"/>
        <v/>
      </c>
      <c r="S215">
        <f t="shared" si="35"/>
        <v>0</v>
      </c>
    </row>
    <row r="216" spans="1:19">
      <c r="A216" t="str">
        <f>IF(B216=0,"",发货清单!A216*10^6+COUNTIF($D$2:D216,D216)*10^3+ROW(A215))</f>
        <v/>
      </c>
      <c r="B216">
        <f>IFERROR(LEFT(发货清单!H216,SEARCH("-",发货清单!H216)-1),发货清单!H216)</f>
        <v>0</v>
      </c>
      <c r="C216" t="str">
        <f>IFERROR(VLOOKUP(发货清单!A216,数据库!A:D,4,0),"")</f>
        <v/>
      </c>
      <c r="D216" t="str">
        <f>IFERROR(VLOOKUP(发货清单!A216,数据库!A:C,3,0),"")</f>
        <v/>
      </c>
      <c r="E216">
        <f>发货清单!M216</f>
        <v>0</v>
      </c>
      <c r="F216">
        <f>发货清单!U216</f>
        <v>0</v>
      </c>
      <c r="G216" t="str">
        <f>IFERROR(VLOOKUP(发货清单!A216,数据库!A:B,2,0),"")</f>
        <v/>
      </c>
      <c r="H216">
        <f>发货清单!N216</f>
        <v>0</v>
      </c>
      <c r="I216" t="str">
        <f t="shared" si="27"/>
        <v/>
      </c>
      <c r="J216" t="str">
        <f t="shared" si="28"/>
        <v xml:space="preserve"> </v>
      </c>
      <c r="K216" t="str">
        <f t="shared" si="29"/>
        <v/>
      </c>
      <c r="L216" t="str">
        <f t="shared" si="30"/>
        <v/>
      </c>
      <c r="N216" s="245">
        <f t="shared" si="31"/>
        <v>0</v>
      </c>
      <c r="O216" s="245">
        <f t="shared" si="32"/>
        <v>0</v>
      </c>
      <c r="P216" t="str">
        <f t="shared" si="33"/>
        <v/>
      </c>
      <c r="Q216" t="str">
        <f>IFERROR(VLOOKUP(P216,数据库!C:M,11,0),"")</f>
        <v/>
      </c>
      <c r="R216" t="str">
        <f t="shared" si="34"/>
        <v/>
      </c>
      <c r="S216">
        <f t="shared" si="35"/>
        <v>0</v>
      </c>
    </row>
    <row r="217" spans="1:19">
      <c r="A217" t="str">
        <f>IF(B217=0,"",发货清单!A217*10^6+COUNTIF($D$2:D217,D217)*10^3+ROW(A216))</f>
        <v/>
      </c>
      <c r="B217">
        <f>IFERROR(LEFT(发货清单!H217,SEARCH("-",发货清单!H217)-1),发货清单!H217)</f>
        <v>0</v>
      </c>
      <c r="C217" t="str">
        <f>IFERROR(VLOOKUP(发货清单!A217,数据库!A:D,4,0),"")</f>
        <v/>
      </c>
      <c r="D217" t="str">
        <f>IFERROR(VLOOKUP(发货清单!A217,数据库!A:C,3,0),"")</f>
        <v/>
      </c>
      <c r="E217">
        <f>发货清单!M217</f>
        <v>0</v>
      </c>
      <c r="F217">
        <f>发货清单!U217</f>
        <v>0</v>
      </c>
      <c r="G217" t="str">
        <f>IFERROR(VLOOKUP(发货清单!A217,数据库!A:B,2,0),"")</f>
        <v/>
      </c>
      <c r="H217">
        <f>发货清单!N217</f>
        <v>0</v>
      </c>
      <c r="I217" t="str">
        <f t="shared" si="27"/>
        <v/>
      </c>
      <c r="J217" t="str">
        <f t="shared" si="28"/>
        <v xml:space="preserve"> </v>
      </c>
      <c r="K217" t="str">
        <f t="shared" si="29"/>
        <v/>
      </c>
      <c r="L217" t="str">
        <f t="shared" si="30"/>
        <v/>
      </c>
      <c r="N217" s="245">
        <f t="shared" si="31"/>
        <v>0</v>
      </c>
      <c r="O217" s="245">
        <f t="shared" si="32"/>
        <v>0</v>
      </c>
      <c r="P217" t="str">
        <f t="shared" si="33"/>
        <v/>
      </c>
      <c r="Q217" t="str">
        <f>IFERROR(VLOOKUP(P217,数据库!C:M,11,0),"")</f>
        <v/>
      </c>
      <c r="R217" t="str">
        <f t="shared" si="34"/>
        <v/>
      </c>
      <c r="S217">
        <f t="shared" si="35"/>
        <v>0</v>
      </c>
    </row>
    <row r="218" spans="1:19">
      <c r="A218" t="str">
        <f>IF(B218=0,"",发货清单!A218*10^6+COUNTIF($D$2:D218,D218)*10^3+ROW(A217))</f>
        <v/>
      </c>
      <c r="B218">
        <f>IFERROR(LEFT(发货清单!H218,SEARCH("-",发货清单!H218)-1),发货清单!H218)</f>
        <v>0</v>
      </c>
      <c r="C218" t="str">
        <f>IFERROR(VLOOKUP(发货清单!A218,数据库!A:D,4,0),"")</f>
        <v/>
      </c>
      <c r="D218" t="str">
        <f>IFERROR(VLOOKUP(发货清单!A218,数据库!A:C,3,0),"")</f>
        <v/>
      </c>
      <c r="E218">
        <f>发货清单!M218</f>
        <v>0</v>
      </c>
      <c r="F218">
        <f>发货清单!U218</f>
        <v>0</v>
      </c>
      <c r="G218" t="str">
        <f>IFERROR(VLOOKUP(发货清单!A218,数据库!A:B,2,0),"")</f>
        <v/>
      </c>
      <c r="H218">
        <f>发货清单!N218</f>
        <v>0</v>
      </c>
      <c r="I218" t="str">
        <f t="shared" si="27"/>
        <v/>
      </c>
      <c r="J218" t="str">
        <f t="shared" si="28"/>
        <v xml:space="preserve"> </v>
      </c>
      <c r="K218" t="str">
        <f t="shared" si="29"/>
        <v/>
      </c>
      <c r="L218" t="str">
        <f t="shared" si="30"/>
        <v/>
      </c>
      <c r="N218" s="245">
        <f t="shared" si="31"/>
        <v>0</v>
      </c>
      <c r="O218" s="245">
        <f t="shared" si="32"/>
        <v>0</v>
      </c>
      <c r="P218" t="str">
        <f t="shared" si="33"/>
        <v/>
      </c>
      <c r="Q218" t="str">
        <f>IFERROR(VLOOKUP(P218,数据库!C:M,11,0),"")</f>
        <v/>
      </c>
      <c r="R218" t="str">
        <f t="shared" si="34"/>
        <v/>
      </c>
      <c r="S218">
        <f t="shared" si="35"/>
        <v>0</v>
      </c>
    </row>
    <row r="219" spans="1:19">
      <c r="A219" t="str">
        <f>IF(B219=0,"",发货清单!A219*10^6+COUNTIF($D$2:D219,D219)*10^3+ROW(A218))</f>
        <v/>
      </c>
      <c r="B219">
        <f>IFERROR(LEFT(发货清单!H219,SEARCH("-",发货清单!H219)-1),发货清单!H219)</f>
        <v>0</v>
      </c>
      <c r="C219" t="str">
        <f>IFERROR(VLOOKUP(发货清单!A219,数据库!A:D,4,0),"")</f>
        <v/>
      </c>
      <c r="D219" t="str">
        <f>IFERROR(VLOOKUP(发货清单!A219,数据库!A:C,3,0),"")</f>
        <v/>
      </c>
      <c r="E219">
        <f>发货清单!M219</f>
        <v>0</v>
      </c>
      <c r="F219">
        <f>发货清单!U219</f>
        <v>0</v>
      </c>
      <c r="G219" t="str">
        <f>IFERROR(VLOOKUP(发货清单!A219,数据库!A:B,2,0),"")</f>
        <v/>
      </c>
      <c r="H219">
        <f>发货清单!N219</f>
        <v>0</v>
      </c>
      <c r="I219" t="str">
        <f t="shared" si="27"/>
        <v/>
      </c>
      <c r="J219" t="str">
        <f t="shared" si="28"/>
        <v xml:space="preserve"> </v>
      </c>
      <c r="K219" t="str">
        <f t="shared" si="29"/>
        <v/>
      </c>
      <c r="L219" t="str">
        <f t="shared" si="30"/>
        <v/>
      </c>
      <c r="N219" s="245">
        <f t="shared" si="31"/>
        <v>0</v>
      </c>
      <c r="O219" s="245">
        <f t="shared" si="32"/>
        <v>0</v>
      </c>
      <c r="P219" t="str">
        <f t="shared" si="33"/>
        <v/>
      </c>
      <c r="Q219" t="str">
        <f>IFERROR(VLOOKUP(P219,数据库!C:M,11,0),"")</f>
        <v/>
      </c>
      <c r="R219" t="str">
        <f t="shared" si="34"/>
        <v/>
      </c>
      <c r="S219">
        <f t="shared" si="35"/>
        <v>0</v>
      </c>
    </row>
    <row r="220" spans="1:19">
      <c r="A220" t="str">
        <f>IF(B220=0,"",发货清单!A220*10^6+COUNTIF($D$2:D220,D220)*10^3+ROW(A219))</f>
        <v/>
      </c>
      <c r="B220">
        <f>IFERROR(LEFT(发货清单!H220,SEARCH("-",发货清单!H220)-1),发货清单!H220)</f>
        <v>0</v>
      </c>
      <c r="C220" t="str">
        <f>IFERROR(VLOOKUP(发货清单!A220,数据库!A:D,4,0),"")</f>
        <v/>
      </c>
      <c r="D220" t="str">
        <f>IFERROR(VLOOKUP(发货清单!A220,数据库!A:C,3,0),"")</f>
        <v/>
      </c>
      <c r="E220">
        <f>发货清单!M220</f>
        <v>0</v>
      </c>
      <c r="F220">
        <f>发货清单!U220</f>
        <v>0</v>
      </c>
      <c r="G220" t="str">
        <f>IFERROR(VLOOKUP(发货清单!A220,数据库!A:B,2,0),"")</f>
        <v/>
      </c>
      <c r="H220">
        <f>发货清单!N220</f>
        <v>0</v>
      </c>
      <c r="I220" t="str">
        <f t="shared" si="27"/>
        <v/>
      </c>
      <c r="J220" t="str">
        <f t="shared" si="28"/>
        <v xml:space="preserve"> </v>
      </c>
      <c r="K220" t="str">
        <f t="shared" si="29"/>
        <v/>
      </c>
      <c r="L220" t="str">
        <f t="shared" si="30"/>
        <v/>
      </c>
      <c r="N220" s="245">
        <f t="shared" si="31"/>
        <v>0</v>
      </c>
      <c r="O220" s="245">
        <f t="shared" si="32"/>
        <v>0</v>
      </c>
      <c r="P220" t="str">
        <f t="shared" si="33"/>
        <v/>
      </c>
      <c r="Q220" t="str">
        <f>IFERROR(VLOOKUP(P220,数据库!C:M,11,0),"")</f>
        <v/>
      </c>
      <c r="R220" t="str">
        <f t="shared" si="34"/>
        <v/>
      </c>
      <c r="S220">
        <f t="shared" si="35"/>
        <v>0</v>
      </c>
    </row>
    <row r="221" spans="1:19">
      <c r="A221" t="str">
        <f>IF(B221=0,"",发货清单!A221*10^6+COUNTIF($D$2:D221,D221)*10^3+ROW(A220))</f>
        <v/>
      </c>
      <c r="B221">
        <f>IFERROR(LEFT(发货清单!H221,SEARCH("-",发货清单!H221)-1),发货清单!H221)</f>
        <v>0</v>
      </c>
      <c r="C221" t="str">
        <f>IFERROR(VLOOKUP(发货清单!A221,数据库!A:D,4,0),"")</f>
        <v/>
      </c>
      <c r="D221" t="str">
        <f>IFERROR(VLOOKUP(发货清单!A221,数据库!A:C,3,0),"")</f>
        <v/>
      </c>
      <c r="E221">
        <f>发货清单!M221</f>
        <v>0</v>
      </c>
      <c r="F221">
        <f>发货清单!U221</f>
        <v>0</v>
      </c>
      <c r="G221" t="str">
        <f>IFERROR(VLOOKUP(发货清单!A221,数据库!A:B,2,0),"")</f>
        <v/>
      </c>
      <c r="H221">
        <f>发货清单!N221</f>
        <v>0</v>
      </c>
      <c r="I221" t="str">
        <f t="shared" si="27"/>
        <v/>
      </c>
      <c r="J221" t="str">
        <f t="shared" si="28"/>
        <v xml:space="preserve"> </v>
      </c>
      <c r="K221" t="str">
        <f t="shared" si="29"/>
        <v/>
      </c>
      <c r="L221" t="str">
        <f t="shared" si="30"/>
        <v/>
      </c>
      <c r="N221" s="245">
        <f t="shared" si="31"/>
        <v>0</v>
      </c>
      <c r="O221" s="245">
        <f t="shared" si="32"/>
        <v>0</v>
      </c>
      <c r="P221" t="str">
        <f t="shared" si="33"/>
        <v/>
      </c>
      <c r="Q221" t="str">
        <f>IFERROR(VLOOKUP(P221,数据库!C:M,11,0),"")</f>
        <v/>
      </c>
      <c r="R221" t="str">
        <f t="shared" si="34"/>
        <v/>
      </c>
      <c r="S221">
        <f t="shared" si="35"/>
        <v>0</v>
      </c>
    </row>
    <row r="222" spans="1:19">
      <c r="A222" t="str">
        <f>IF(B222=0,"",发货清单!A222*10^6+COUNTIF($D$2:D222,D222)*10^3+ROW(A221))</f>
        <v/>
      </c>
      <c r="B222">
        <f>IFERROR(LEFT(发货清单!H222,SEARCH("-",发货清单!H222)-1),发货清单!H222)</f>
        <v>0</v>
      </c>
      <c r="C222" t="str">
        <f>IFERROR(VLOOKUP(发货清单!A222,数据库!A:D,4,0),"")</f>
        <v/>
      </c>
      <c r="D222" t="str">
        <f>IFERROR(VLOOKUP(发货清单!A222,数据库!A:C,3,0),"")</f>
        <v/>
      </c>
      <c r="E222">
        <f>发货清单!M222</f>
        <v>0</v>
      </c>
      <c r="F222">
        <f>发货清单!U222</f>
        <v>0</v>
      </c>
      <c r="G222" t="str">
        <f>IFERROR(VLOOKUP(发货清单!A222,数据库!A:B,2,0),"")</f>
        <v/>
      </c>
      <c r="H222">
        <f>发货清单!N222</f>
        <v>0</v>
      </c>
      <c r="I222" t="str">
        <f t="shared" si="27"/>
        <v/>
      </c>
      <c r="J222" t="str">
        <f t="shared" si="28"/>
        <v xml:space="preserve"> </v>
      </c>
      <c r="K222" t="str">
        <f t="shared" si="29"/>
        <v/>
      </c>
      <c r="L222" t="str">
        <f t="shared" si="30"/>
        <v/>
      </c>
      <c r="N222" s="245">
        <f t="shared" si="31"/>
        <v>0</v>
      </c>
      <c r="O222" s="245">
        <f t="shared" si="32"/>
        <v>0</v>
      </c>
      <c r="P222" t="str">
        <f t="shared" si="33"/>
        <v/>
      </c>
      <c r="Q222" t="str">
        <f>IFERROR(VLOOKUP(P222,数据库!C:M,11,0),"")</f>
        <v/>
      </c>
      <c r="R222" t="str">
        <f t="shared" si="34"/>
        <v/>
      </c>
      <c r="S222">
        <f t="shared" si="35"/>
        <v>0</v>
      </c>
    </row>
    <row r="223" spans="1:19">
      <c r="A223" t="str">
        <f>IF(B223=0,"",发货清单!A223*10^6+COUNTIF($D$2:D223,D223)*10^3+ROW(A222))</f>
        <v/>
      </c>
      <c r="B223">
        <f>IFERROR(LEFT(发货清单!H223,SEARCH("-",发货清单!H223)-1),发货清单!H223)</f>
        <v>0</v>
      </c>
      <c r="C223" t="str">
        <f>IFERROR(VLOOKUP(发货清单!A223,数据库!A:D,4,0),"")</f>
        <v/>
      </c>
      <c r="D223" t="str">
        <f>IFERROR(VLOOKUP(发货清单!A223,数据库!A:C,3,0),"")</f>
        <v/>
      </c>
      <c r="E223">
        <f>发货清单!M223</f>
        <v>0</v>
      </c>
      <c r="F223">
        <f>发货清单!U223</f>
        <v>0</v>
      </c>
      <c r="G223" t="str">
        <f>IFERROR(VLOOKUP(发货清单!A223,数据库!A:B,2,0),"")</f>
        <v/>
      </c>
      <c r="H223">
        <f>发货清单!N223</f>
        <v>0</v>
      </c>
      <c r="I223" t="str">
        <f t="shared" si="27"/>
        <v/>
      </c>
      <c r="J223" t="str">
        <f t="shared" si="28"/>
        <v xml:space="preserve"> </v>
      </c>
      <c r="K223" t="str">
        <f t="shared" si="29"/>
        <v/>
      </c>
      <c r="L223" t="str">
        <f t="shared" si="30"/>
        <v/>
      </c>
      <c r="N223" s="245">
        <f t="shared" si="31"/>
        <v>0</v>
      </c>
      <c r="O223" s="245">
        <f t="shared" si="32"/>
        <v>0</v>
      </c>
      <c r="P223" t="str">
        <f t="shared" si="33"/>
        <v/>
      </c>
      <c r="Q223" t="str">
        <f>IFERROR(VLOOKUP(P223,数据库!C:M,11,0),"")</f>
        <v/>
      </c>
      <c r="R223" t="str">
        <f t="shared" si="34"/>
        <v/>
      </c>
      <c r="S223">
        <f t="shared" si="35"/>
        <v>0</v>
      </c>
    </row>
    <row r="224" spans="1:19">
      <c r="A224" t="str">
        <f>IF(B224=0,"",发货清单!A224*10^6+COUNTIF($D$2:D224,D224)*10^3+ROW(A223))</f>
        <v/>
      </c>
      <c r="B224">
        <f>IFERROR(LEFT(发货清单!H224,SEARCH("-",发货清单!H224)-1),发货清单!H224)</f>
        <v>0</v>
      </c>
      <c r="C224" t="str">
        <f>IFERROR(VLOOKUP(发货清单!A224,数据库!A:D,4,0),"")</f>
        <v/>
      </c>
      <c r="D224" t="str">
        <f>IFERROR(VLOOKUP(发货清单!A224,数据库!A:C,3,0),"")</f>
        <v/>
      </c>
      <c r="E224">
        <f>发货清单!M224</f>
        <v>0</v>
      </c>
      <c r="F224">
        <f>发货清单!U224</f>
        <v>0</v>
      </c>
      <c r="G224" t="str">
        <f>IFERROR(VLOOKUP(发货清单!A224,数据库!A:B,2,0),"")</f>
        <v/>
      </c>
      <c r="H224">
        <f>发货清单!N224</f>
        <v>0</v>
      </c>
      <c r="I224" t="str">
        <f t="shared" si="27"/>
        <v/>
      </c>
      <c r="J224" t="str">
        <f t="shared" si="28"/>
        <v xml:space="preserve"> </v>
      </c>
      <c r="K224" t="str">
        <f t="shared" si="29"/>
        <v/>
      </c>
      <c r="L224" t="str">
        <f t="shared" si="30"/>
        <v/>
      </c>
      <c r="N224" s="245">
        <f t="shared" si="31"/>
        <v>0</v>
      </c>
      <c r="O224" s="245">
        <f t="shared" si="32"/>
        <v>0</v>
      </c>
      <c r="P224" t="str">
        <f t="shared" si="33"/>
        <v/>
      </c>
      <c r="Q224" t="str">
        <f>IFERROR(VLOOKUP(P224,数据库!C:M,11,0),"")</f>
        <v/>
      </c>
      <c r="R224" t="str">
        <f t="shared" si="34"/>
        <v/>
      </c>
      <c r="S224">
        <f t="shared" si="35"/>
        <v>0</v>
      </c>
    </row>
    <row r="225" spans="1:19">
      <c r="A225" t="str">
        <f>IF(B225=0,"",发货清单!A225*10^6+COUNTIF($D$2:D225,D225)*10^3+ROW(A224))</f>
        <v/>
      </c>
      <c r="B225">
        <f>IFERROR(LEFT(发货清单!H225,SEARCH("-",发货清单!H225)-1),发货清单!H225)</f>
        <v>0</v>
      </c>
      <c r="C225" t="str">
        <f>IFERROR(VLOOKUP(发货清单!A225,数据库!A:D,4,0),"")</f>
        <v/>
      </c>
      <c r="D225" t="str">
        <f>IFERROR(VLOOKUP(发货清单!A225,数据库!A:C,3,0),"")</f>
        <v/>
      </c>
      <c r="E225">
        <f>发货清单!M225</f>
        <v>0</v>
      </c>
      <c r="F225">
        <f>发货清单!U225</f>
        <v>0</v>
      </c>
      <c r="G225" t="str">
        <f>IFERROR(VLOOKUP(发货清单!A225,数据库!A:B,2,0),"")</f>
        <v/>
      </c>
      <c r="H225">
        <f>发货清单!N225</f>
        <v>0</v>
      </c>
      <c r="I225" t="str">
        <f t="shared" si="27"/>
        <v/>
      </c>
      <c r="J225" t="str">
        <f t="shared" si="28"/>
        <v xml:space="preserve"> </v>
      </c>
      <c r="K225" t="str">
        <f t="shared" si="29"/>
        <v/>
      </c>
      <c r="L225" t="str">
        <f t="shared" si="30"/>
        <v/>
      </c>
      <c r="N225" s="245">
        <f t="shared" si="31"/>
        <v>0</v>
      </c>
      <c r="O225" s="245">
        <f t="shared" si="32"/>
        <v>0</v>
      </c>
      <c r="P225" t="str">
        <f t="shared" si="33"/>
        <v/>
      </c>
      <c r="Q225" t="str">
        <f>IFERROR(VLOOKUP(P225,数据库!C:M,11,0),"")</f>
        <v/>
      </c>
      <c r="R225" t="str">
        <f t="shared" si="34"/>
        <v/>
      </c>
      <c r="S225">
        <f t="shared" si="35"/>
        <v>0</v>
      </c>
    </row>
    <row r="226" spans="1:19">
      <c r="A226" t="str">
        <f>IF(B226=0,"",发货清单!A226*10^6+COUNTIF($D$2:D226,D226)*10^3+ROW(A225))</f>
        <v/>
      </c>
      <c r="B226">
        <f>IFERROR(LEFT(发货清单!H226,SEARCH("-",发货清单!H226)-1),发货清单!H226)</f>
        <v>0</v>
      </c>
      <c r="C226" t="str">
        <f>IFERROR(VLOOKUP(发货清单!A226,数据库!A:D,4,0),"")</f>
        <v/>
      </c>
      <c r="D226" t="str">
        <f>IFERROR(VLOOKUP(发货清单!A226,数据库!A:C,3,0),"")</f>
        <v/>
      </c>
      <c r="E226">
        <f>发货清单!M226</f>
        <v>0</v>
      </c>
      <c r="F226">
        <f>发货清单!U226</f>
        <v>0</v>
      </c>
      <c r="G226" t="str">
        <f>IFERROR(VLOOKUP(发货清单!A226,数据库!A:B,2,0),"")</f>
        <v/>
      </c>
      <c r="H226">
        <f>发货清单!N226</f>
        <v>0</v>
      </c>
      <c r="I226" t="str">
        <f t="shared" si="27"/>
        <v/>
      </c>
      <c r="J226" t="str">
        <f t="shared" si="28"/>
        <v xml:space="preserve"> </v>
      </c>
      <c r="K226" t="str">
        <f t="shared" si="29"/>
        <v/>
      </c>
      <c r="L226" t="str">
        <f t="shared" si="30"/>
        <v/>
      </c>
      <c r="N226" s="245">
        <f t="shared" si="31"/>
        <v>0</v>
      </c>
      <c r="O226" s="245">
        <f t="shared" si="32"/>
        <v>0</v>
      </c>
      <c r="P226" t="str">
        <f t="shared" si="33"/>
        <v/>
      </c>
      <c r="Q226" t="str">
        <f>IFERROR(VLOOKUP(P226,数据库!C:M,11,0),"")</f>
        <v/>
      </c>
      <c r="R226" t="str">
        <f t="shared" si="34"/>
        <v/>
      </c>
      <c r="S226">
        <f t="shared" si="35"/>
        <v>0</v>
      </c>
    </row>
    <row r="227" spans="1:19">
      <c r="A227" t="str">
        <f>IF(B227=0,"",发货清单!A227*10^6+COUNTIF($D$2:D227,D227)*10^3+ROW(A226))</f>
        <v/>
      </c>
      <c r="B227">
        <f>IFERROR(LEFT(发货清单!H227,SEARCH("-",发货清单!H227)-1),发货清单!H227)</f>
        <v>0</v>
      </c>
      <c r="C227" t="str">
        <f>IFERROR(VLOOKUP(发货清单!A227,数据库!A:D,4,0),"")</f>
        <v/>
      </c>
      <c r="D227" t="str">
        <f>IFERROR(VLOOKUP(发货清单!A227,数据库!A:C,3,0),"")</f>
        <v/>
      </c>
      <c r="E227">
        <f>发货清单!M227</f>
        <v>0</v>
      </c>
      <c r="F227">
        <f>发货清单!U227</f>
        <v>0</v>
      </c>
      <c r="G227" t="str">
        <f>IFERROR(VLOOKUP(发货清单!A227,数据库!A:B,2,0),"")</f>
        <v/>
      </c>
      <c r="H227">
        <f>发货清单!N227</f>
        <v>0</v>
      </c>
      <c r="I227" t="str">
        <f t="shared" si="27"/>
        <v/>
      </c>
      <c r="J227" t="str">
        <f t="shared" si="28"/>
        <v xml:space="preserve"> </v>
      </c>
      <c r="K227" t="str">
        <f t="shared" si="29"/>
        <v/>
      </c>
      <c r="L227" t="str">
        <f t="shared" si="30"/>
        <v/>
      </c>
      <c r="N227" s="245">
        <f t="shared" si="31"/>
        <v>0</v>
      </c>
      <c r="O227" s="245">
        <f t="shared" si="32"/>
        <v>0</v>
      </c>
      <c r="P227" t="str">
        <f t="shared" si="33"/>
        <v/>
      </c>
      <c r="Q227" t="str">
        <f>IFERROR(VLOOKUP(P227,数据库!C:M,11,0),"")</f>
        <v/>
      </c>
      <c r="R227" t="str">
        <f t="shared" si="34"/>
        <v/>
      </c>
      <c r="S227">
        <f t="shared" si="35"/>
        <v>0</v>
      </c>
    </row>
    <row r="228" spans="1:19">
      <c r="A228" t="str">
        <f>IF(B228=0,"",发货清单!A228*10^6+COUNTIF($D$2:D228,D228)*10^3+ROW(A227))</f>
        <v/>
      </c>
      <c r="B228">
        <f>IFERROR(LEFT(发货清单!H228,SEARCH("-",发货清单!H228)-1),发货清单!H228)</f>
        <v>0</v>
      </c>
      <c r="C228" t="str">
        <f>IFERROR(VLOOKUP(发货清单!A228,数据库!A:D,4,0),"")</f>
        <v/>
      </c>
      <c r="D228" t="str">
        <f>IFERROR(VLOOKUP(发货清单!A228,数据库!A:C,3,0),"")</f>
        <v/>
      </c>
      <c r="E228">
        <f>发货清单!M228</f>
        <v>0</v>
      </c>
      <c r="F228">
        <f>发货清单!U228</f>
        <v>0</v>
      </c>
      <c r="G228" t="str">
        <f>IFERROR(VLOOKUP(发货清单!A228,数据库!A:B,2,0),"")</f>
        <v/>
      </c>
      <c r="H228">
        <f>发货清单!N228</f>
        <v>0</v>
      </c>
      <c r="I228" t="str">
        <f t="shared" si="27"/>
        <v/>
      </c>
      <c r="J228" t="str">
        <f t="shared" si="28"/>
        <v xml:space="preserve"> </v>
      </c>
      <c r="K228" t="str">
        <f t="shared" si="29"/>
        <v/>
      </c>
      <c r="L228" t="str">
        <f t="shared" si="30"/>
        <v/>
      </c>
      <c r="N228" s="245">
        <f t="shared" si="31"/>
        <v>0</v>
      </c>
      <c r="O228" s="245">
        <f t="shared" si="32"/>
        <v>0</v>
      </c>
      <c r="P228" t="str">
        <f t="shared" si="33"/>
        <v/>
      </c>
      <c r="Q228" t="str">
        <f>IFERROR(VLOOKUP(P228,数据库!C:M,11,0),"")</f>
        <v/>
      </c>
      <c r="R228" t="str">
        <f t="shared" si="34"/>
        <v/>
      </c>
      <c r="S228">
        <f t="shared" si="35"/>
        <v>0</v>
      </c>
    </row>
    <row r="229" spans="1:19">
      <c r="A229" t="str">
        <f>IF(B229=0,"",发货清单!A229*10^6+COUNTIF($D$2:D229,D229)*10^3+ROW(A228))</f>
        <v/>
      </c>
      <c r="B229">
        <f>IFERROR(LEFT(发货清单!H229,SEARCH("-",发货清单!H229)-1),发货清单!H229)</f>
        <v>0</v>
      </c>
      <c r="C229" t="str">
        <f>IFERROR(VLOOKUP(发货清单!A229,数据库!A:D,4,0),"")</f>
        <v/>
      </c>
      <c r="D229" t="str">
        <f>IFERROR(VLOOKUP(发货清单!A229,数据库!A:C,3,0),"")</f>
        <v/>
      </c>
      <c r="E229">
        <f>发货清单!M229</f>
        <v>0</v>
      </c>
      <c r="F229">
        <f>发货清单!U229</f>
        <v>0</v>
      </c>
      <c r="G229" t="str">
        <f>IFERROR(VLOOKUP(发货清单!A229,数据库!A:B,2,0),"")</f>
        <v/>
      </c>
      <c r="H229">
        <f>发货清单!N229</f>
        <v>0</v>
      </c>
      <c r="I229" t="str">
        <f t="shared" si="27"/>
        <v/>
      </c>
      <c r="J229" t="str">
        <f t="shared" si="28"/>
        <v xml:space="preserve"> </v>
      </c>
      <c r="K229" t="str">
        <f t="shared" si="29"/>
        <v/>
      </c>
      <c r="L229" t="str">
        <f t="shared" si="30"/>
        <v/>
      </c>
      <c r="N229" s="245">
        <f t="shared" si="31"/>
        <v>0</v>
      </c>
      <c r="O229" s="245">
        <f t="shared" si="32"/>
        <v>0</v>
      </c>
      <c r="P229" t="str">
        <f t="shared" si="33"/>
        <v/>
      </c>
      <c r="Q229" t="str">
        <f>IFERROR(VLOOKUP(P229,数据库!C:M,11,0),"")</f>
        <v/>
      </c>
      <c r="R229" t="str">
        <f t="shared" si="34"/>
        <v/>
      </c>
      <c r="S229">
        <f t="shared" si="35"/>
        <v>0</v>
      </c>
    </row>
    <row r="230" spans="1:19">
      <c r="A230" t="str">
        <f>IF(B230=0,"",发货清单!A230*10^6+COUNTIF($D$2:D230,D230)*10^3+ROW(A229))</f>
        <v/>
      </c>
      <c r="B230">
        <f>IFERROR(LEFT(发货清单!H230,SEARCH("-",发货清单!H230)-1),发货清单!H230)</f>
        <v>0</v>
      </c>
      <c r="C230" t="str">
        <f>IFERROR(VLOOKUP(发货清单!A230,数据库!A:D,4,0),"")</f>
        <v/>
      </c>
      <c r="D230" t="str">
        <f>IFERROR(VLOOKUP(发货清单!A230,数据库!A:C,3,0),"")</f>
        <v/>
      </c>
      <c r="E230">
        <f>发货清单!M230</f>
        <v>0</v>
      </c>
      <c r="F230">
        <f>发货清单!U230</f>
        <v>0</v>
      </c>
      <c r="G230" t="str">
        <f>IFERROR(VLOOKUP(发货清单!A230,数据库!A:B,2,0),"")</f>
        <v/>
      </c>
      <c r="H230">
        <f>发货清单!N230</f>
        <v>0</v>
      </c>
      <c r="I230" t="str">
        <f t="shared" si="27"/>
        <v/>
      </c>
      <c r="J230" t="str">
        <f t="shared" si="28"/>
        <v xml:space="preserve"> </v>
      </c>
      <c r="K230" t="str">
        <f t="shared" si="29"/>
        <v/>
      </c>
      <c r="L230" t="str">
        <f t="shared" si="30"/>
        <v/>
      </c>
      <c r="N230" s="245">
        <f t="shared" si="31"/>
        <v>0</v>
      </c>
      <c r="O230" s="245">
        <f t="shared" si="32"/>
        <v>0</v>
      </c>
      <c r="P230" t="str">
        <f t="shared" si="33"/>
        <v/>
      </c>
      <c r="Q230" t="str">
        <f>IFERROR(VLOOKUP(P230,数据库!C:M,11,0),"")</f>
        <v/>
      </c>
      <c r="R230" t="str">
        <f t="shared" si="34"/>
        <v/>
      </c>
      <c r="S230">
        <f t="shared" si="35"/>
        <v>0</v>
      </c>
    </row>
    <row r="231" spans="1:19">
      <c r="A231" t="str">
        <f>IF(B231=0,"",发货清单!A231*10^6+COUNTIF($D$2:D231,D231)*10^3+ROW(A230))</f>
        <v/>
      </c>
      <c r="B231">
        <f>IFERROR(LEFT(发货清单!H231,SEARCH("-",发货清单!H231)-1),发货清单!H231)</f>
        <v>0</v>
      </c>
      <c r="C231" t="str">
        <f>IFERROR(VLOOKUP(发货清单!A231,数据库!A:D,4,0),"")</f>
        <v/>
      </c>
      <c r="D231" t="str">
        <f>IFERROR(VLOOKUP(发货清单!A231,数据库!A:C,3,0),"")</f>
        <v/>
      </c>
      <c r="E231">
        <f>发货清单!M231</f>
        <v>0</v>
      </c>
      <c r="F231">
        <f>发货清单!U231</f>
        <v>0</v>
      </c>
      <c r="G231" t="str">
        <f>IFERROR(VLOOKUP(发货清单!A231,数据库!A:B,2,0),"")</f>
        <v/>
      </c>
      <c r="H231">
        <f>发货清单!N231</f>
        <v>0</v>
      </c>
      <c r="I231" t="str">
        <f t="shared" si="27"/>
        <v/>
      </c>
      <c r="J231" t="str">
        <f t="shared" si="28"/>
        <v xml:space="preserve"> </v>
      </c>
      <c r="K231" t="str">
        <f t="shared" si="29"/>
        <v/>
      </c>
      <c r="L231" t="str">
        <f t="shared" si="30"/>
        <v/>
      </c>
      <c r="N231" s="245">
        <f t="shared" si="31"/>
        <v>0</v>
      </c>
      <c r="O231" s="245">
        <f t="shared" si="32"/>
        <v>0</v>
      </c>
      <c r="P231" t="str">
        <f t="shared" si="33"/>
        <v/>
      </c>
      <c r="Q231" t="str">
        <f>IFERROR(VLOOKUP(P231,数据库!C:M,11,0),"")</f>
        <v/>
      </c>
      <c r="R231" t="str">
        <f t="shared" si="34"/>
        <v/>
      </c>
      <c r="S231">
        <f t="shared" si="35"/>
        <v>0</v>
      </c>
    </row>
    <row r="232" spans="1:19">
      <c r="A232" t="str">
        <f>IF(B232=0,"",发货清单!A232*10^6+COUNTIF($D$2:D232,D232)*10^3+ROW(A231))</f>
        <v/>
      </c>
      <c r="B232">
        <f>IFERROR(LEFT(发货清单!H232,SEARCH("-",发货清单!H232)-1),发货清单!H232)</f>
        <v>0</v>
      </c>
      <c r="C232" t="str">
        <f>IFERROR(VLOOKUP(发货清单!A232,数据库!A:D,4,0),"")</f>
        <v/>
      </c>
      <c r="D232" t="str">
        <f>IFERROR(VLOOKUP(发货清单!A232,数据库!A:C,3,0),"")</f>
        <v/>
      </c>
      <c r="E232">
        <f>发货清单!M232</f>
        <v>0</v>
      </c>
      <c r="F232">
        <f>发货清单!U232</f>
        <v>0</v>
      </c>
      <c r="G232" t="str">
        <f>IFERROR(VLOOKUP(发货清单!A232,数据库!A:B,2,0),"")</f>
        <v/>
      </c>
      <c r="H232">
        <f>发货清单!N232</f>
        <v>0</v>
      </c>
      <c r="I232" t="str">
        <f t="shared" si="27"/>
        <v/>
      </c>
      <c r="J232" t="str">
        <f t="shared" si="28"/>
        <v xml:space="preserve"> </v>
      </c>
      <c r="K232" t="str">
        <f t="shared" si="29"/>
        <v/>
      </c>
      <c r="L232" t="str">
        <f t="shared" si="30"/>
        <v/>
      </c>
      <c r="N232" s="245">
        <f t="shared" si="31"/>
        <v>0</v>
      </c>
      <c r="O232" s="245">
        <f t="shared" si="32"/>
        <v>0</v>
      </c>
      <c r="P232" t="str">
        <f t="shared" si="33"/>
        <v/>
      </c>
      <c r="Q232" t="str">
        <f>IFERROR(VLOOKUP(P232,数据库!C:M,11,0),"")</f>
        <v/>
      </c>
      <c r="R232" t="str">
        <f t="shared" si="34"/>
        <v/>
      </c>
      <c r="S232">
        <f t="shared" si="35"/>
        <v>0</v>
      </c>
    </row>
    <row r="233" spans="1:19">
      <c r="A233" t="str">
        <f>IF(B233=0,"",发货清单!A233*10^6+COUNTIF($D$2:D233,D233)*10^3+ROW(A232))</f>
        <v/>
      </c>
      <c r="B233">
        <f>IFERROR(LEFT(发货清单!H233,SEARCH("-",发货清单!H233)-1),发货清单!H233)</f>
        <v>0</v>
      </c>
      <c r="C233" t="str">
        <f>IFERROR(VLOOKUP(发货清单!A233,数据库!A:D,4,0),"")</f>
        <v/>
      </c>
      <c r="D233" t="str">
        <f>IFERROR(VLOOKUP(发货清单!A233,数据库!A:C,3,0),"")</f>
        <v/>
      </c>
      <c r="E233">
        <f>发货清单!M233</f>
        <v>0</v>
      </c>
      <c r="F233">
        <f>发货清单!U233</f>
        <v>0</v>
      </c>
      <c r="G233" t="str">
        <f>IFERROR(VLOOKUP(发货清单!A233,数据库!A:B,2,0),"")</f>
        <v/>
      </c>
      <c r="H233">
        <f>发货清单!N233</f>
        <v>0</v>
      </c>
      <c r="I233" t="str">
        <f t="shared" si="27"/>
        <v/>
      </c>
      <c r="J233" t="str">
        <f t="shared" si="28"/>
        <v xml:space="preserve"> </v>
      </c>
      <c r="K233" t="str">
        <f t="shared" si="29"/>
        <v/>
      </c>
      <c r="L233" t="str">
        <f t="shared" si="30"/>
        <v/>
      </c>
      <c r="N233" s="245">
        <f t="shared" si="31"/>
        <v>0</v>
      </c>
      <c r="O233" s="245">
        <f t="shared" si="32"/>
        <v>0</v>
      </c>
      <c r="P233" t="str">
        <f t="shared" si="33"/>
        <v/>
      </c>
      <c r="Q233" t="str">
        <f>IFERROR(VLOOKUP(P233,数据库!C:M,11,0),"")</f>
        <v/>
      </c>
      <c r="R233" t="str">
        <f t="shared" si="34"/>
        <v/>
      </c>
      <c r="S233">
        <f t="shared" si="35"/>
        <v>0</v>
      </c>
    </row>
    <row r="234" spans="1:19">
      <c r="A234" t="str">
        <f>IF(B234=0,"",发货清单!A234*10^6+COUNTIF($D$2:D234,D234)*10^3+ROW(A233))</f>
        <v/>
      </c>
      <c r="B234">
        <f>IFERROR(LEFT(发货清单!H234,SEARCH("-",发货清单!H234)-1),发货清单!H234)</f>
        <v>0</v>
      </c>
      <c r="C234" t="str">
        <f>IFERROR(VLOOKUP(发货清单!A234,数据库!A:D,4,0),"")</f>
        <v/>
      </c>
      <c r="D234" t="str">
        <f>IFERROR(VLOOKUP(发货清单!A234,数据库!A:C,3,0),"")</f>
        <v/>
      </c>
      <c r="E234">
        <f>发货清单!M234</f>
        <v>0</v>
      </c>
      <c r="F234">
        <f>发货清单!U234</f>
        <v>0</v>
      </c>
      <c r="G234" t="str">
        <f>IFERROR(VLOOKUP(发货清单!A234,数据库!A:B,2,0),"")</f>
        <v/>
      </c>
      <c r="H234">
        <f>发货清单!N234</f>
        <v>0</v>
      </c>
      <c r="I234" t="str">
        <f t="shared" si="27"/>
        <v/>
      </c>
      <c r="J234" t="str">
        <f t="shared" si="28"/>
        <v xml:space="preserve"> </v>
      </c>
      <c r="K234" t="str">
        <f t="shared" si="29"/>
        <v/>
      </c>
      <c r="L234" t="str">
        <f t="shared" si="30"/>
        <v/>
      </c>
      <c r="N234" s="245">
        <f t="shared" si="31"/>
        <v>0</v>
      </c>
      <c r="O234" s="245">
        <f t="shared" si="32"/>
        <v>0</v>
      </c>
      <c r="P234" t="str">
        <f t="shared" si="33"/>
        <v/>
      </c>
      <c r="Q234" t="str">
        <f>IFERROR(VLOOKUP(P234,数据库!C:M,11,0),"")</f>
        <v/>
      </c>
      <c r="R234" t="str">
        <f t="shared" si="34"/>
        <v/>
      </c>
      <c r="S234">
        <f t="shared" si="35"/>
        <v>0</v>
      </c>
    </row>
    <row r="235" spans="1:19">
      <c r="A235" t="str">
        <f>IF(B235=0,"",发货清单!A235*10^6+COUNTIF($D$2:D235,D235)*10^3+ROW(A234))</f>
        <v/>
      </c>
      <c r="B235">
        <f>IFERROR(LEFT(发货清单!H235,SEARCH("-",发货清单!H235)-1),发货清单!H235)</f>
        <v>0</v>
      </c>
      <c r="C235" t="str">
        <f>IFERROR(VLOOKUP(发货清单!A235,数据库!A:D,4,0),"")</f>
        <v/>
      </c>
      <c r="D235" t="str">
        <f>IFERROR(VLOOKUP(发货清单!A235,数据库!A:C,3,0),"")</f>
        <v/>
      </c>
      <c r="E235">
        <f>发货清单!M235</f>
        <v>0</v>
      </c>
      <c r="F235">
        <f>发货清单!U235</f>
        <v>0</v>
      </c>
      <c r="G235" t="str">
        <f>IFERROR(VLOOKUP(发货清单!A235,数据库!A:B,2,0),"")</f>
        <v/>
      </c>
      <c r="H235">
        <f>发货清单!N235</f>
        <v>0</v>
      </c>
      <c r="I235" t="str">
        <f t="shared" si="27"/>
        <v/>
      </c>
      <c r="J235" t="str">
        <f t="shared" si="28"/>
        <v xml:space="preserve"> </v>
      </c>
      <c r="K235" t="str">
        <f t="shared" si="29"/>
        <v/>
      </c>
      <c r="L235" t="str">
        <f t="shared" si="30"/>
        <v/>
      </c>
      <c r="N235" s="245">
        <f t="shared" si="31"/>
        <v>0</v>
      </c>
      <c r="O235" s="245">
        <f t="shared" si="32"/>
        <v>0</v>
      </c>
      <c r="P235" t="str">
        <f t="shared" si="33"/>
        <v/>
      </c>
      <c r="Q235" t="str">
        <f>IFERROR(VLOOKUP(P235,数据库!C:M,11,0),"")</f>
        <v/>
      </c>
      <c r="R235" t="str">
        <f t="shared" si="34"/>
        <v/>
      </c>
      <c r="S235">
        <f t="shared" si="35"/>
        <v>0</v>
      </c>
    </row>
    <row r="236" spans="1:19">
      <c r="A236" t="str">
        <f>IF(B236=0,"",发货清单!A236*10^6+COUNTIF($D$2:D236,D236)*10^3+ROW(A235))</f>
        <v/>
      </c>
      <c r="B236">
        <f>IFERROR(LEFT(发货清单!H236,SEARCH("-",发货清单!H236)-1),发货清单!H236)</f>
        <v>0</v>
      </c>
      <c r="C236" t="str">
        <f>IFERROR(VLOOKUP(发货清单!A236,数据库!A:D,4,0),"")</f>
        <v/>
      </c>
      <c r="D236" t="str">
        <f>IFERROR(VLOOKUP(发货清单!A236,数据库!A:C,3,0),"")</f>
        <v/>
      </c>
      <c r="E236">
        <f>发货清单!M236</f>
        <v>0</v>
      </c>
      <c r="F236">
        <f>发货清单!U236</f>
        <v>0</v>
      </c>
      <c r="G236" t="str">
        <f>IFERROR(VLOOKUP(发货清单!A236,数据库!A:B,2,0),"")</f>
        <v/>
      </c>
      <c r="H236">
        <f>发货清单!N236</f>
        <v>0</v>
      </c>
      <c r="I236" t="str">
        <f t="shared" si="27"/>
        <v/>
      </c>
      <c r="J236" t="str">
        <f t="shared" si="28"/>
        <v xml:space="preserve"> </v>
      </c>
      <c r="K236" t="str">
        <f t="shared" si="29"/>
        <v/>
      </c>
      <c r="L236" t="str">
        <f t="shared" si="30"/>
        <v/>
      </c>
      <c r="N236" s="245">
        <f t="shared" si="31"/>
        <v>0</v>
      </c>
      <c r="O236" s="245">
        <f t="shared" si="32"/>
        <v>0</v>
      </c>
      <c r="P236" t="str">
        <f t="shared" si="33"/>
        <v/>
      </c>
      <c r="Q236" t="str">
        <f>IFERROR(VLOOKUP(P236,数据库!C:M,11,0),"")</f>
        <v/>
      </c>
      <c r="R236" t="str">
        <f t="shared" si="34"/>
        <v/>
      </c>
      <c r="S236">
        <f t="shared" si="35"/>
        <v>0</v>
      </c>
    </row>
    <row r="237" spans="1:19">
      <c r="A237" t="str">
        <f>IF(B237=0,"",发货清单!A237*10^6+COUNTIF($D$2:D237,D237)*10^3+ROW(A236))</f>
        <v/>
      </c>
      <c r="B237">
        <f>IFERROR(LEFT(发货清单!H237,SEARCH("-",发货清单!H237)-1),发货清单!H237)</f>
        <v>0</v>
      </c>
      <c r="C237" t="str">
        <f>IFERROR(VLOOKUP(发货清单!A237,数据库!A:D,4,0),"")</f>
        <v/>
      </c>
      <c r="D237" t="str">
        <f>IFERROR(VLOOKUP(发货清单!A237,数据库!A:C,3,0),"")</f>
        <v/>
      </c>
      <c r="E237">
        <f>发货清单!M237</f>
        <v>0</v>
      </c>
      <c r="F237">
        <f>发货清单!U237</f>
        <v>0</v>
      </c>
      <c r="G237" t="str">
        <f>IFERROR(VLOOKUP(发货清单!A237,数据库!A:B,2,0),"")</f>
        <v/>
      </c>
      <c r="H237">
        <f>发货清单!N237</f>
        <v>0</v>
      </c>
      <c r="I237" t="str">
        <f t="shared" si="27"/>
        <v/>
      </c>
      <c r="J237" t="str">
        <f t="shared" si="28"/>
        <v xml:space="preserve"> </v>
      </c>
      <c r="K237" t="str">
        <f t="shared" si="29"/>
        <v/>
      </c>
      <c r="L237" t="str">
        <f t="shared" si="30"/>
        <v/>
      </c>
      <c r="N237" s="245">
        <f t="shared" si="31"/>
        <v>0</v>
      </c>
      <c r="O237" s="245">
        <f t="shared" si="32"/>
        <v>0</v>
      </c>
      <c r="P237" t="str">
        <f t="shared" si="33"/>
        <v/>
      </c>
      <c r="Q237" t="str">
        <f>IFERROR(VLOOKUP(P237,数据库!C:M,11,0),"")</f>
        <v/>
      </c>
      <c r="R237" t="str">
        <f t="shared" si="34"/>
        <v/>
      </c>
      <c r="S237">
        <f t="shared" si="35"/>
        <v>0</v>
      </c>
    </row>
    <row r="238" spans="1:19">
      <c r="A238" t="str">
        <f>IF(B238=0,"",发货清单!A238*10^6+COUNTIF($D$2:D238,D238)*10^3+ROW(A237))</f>
        <v/>
      </c>
      <c r="B238">
        <f>IFERROR(LEFT(发货清单!H238,SEARCH("-",发货清单!H238)-1),发货清单!H238)</f>
        <v>0</v>
      </c>
      <c r="C238" t="str">
        <f>IFERROR(VLOOKUP(发货清单!A238,数据库!A:D,4,0),"")</f>
        <v/>
      </c>
      <c r="D238" t="str">
        <f>IFERROR(VLOOKUP(发货清单!A238,数据库!A:C,3,0),"")</f>
        <v/>
      </c>
      <c r="E238">
        <f>发货清单!M238</f>
        <v>0</v>
      </c>
      <c r="F238">
        <f>发货清单!U238</f>
        <v>0</v>
      </c>
      <c r="G238" t="str">
        <f>IFERROR(VLOOKUP(发货清单!A238,数据库!A:B,2,0),"")</f>
        <v/>
      </c>
      <c r="H238">
        <f>发货清单!N238</f>
        <v>0</v>
      </c>
      <c r="I238" t="str">
        <f t="shared" si="27"/>
        <v/>
      </c>
      <c r="J238" t="str">
        <f t="shared" si="28"/>
        <v xml:space="preserve"> </v>
      </c>
      <c r="K238" t="str">
        <f t="shared" si="29"/>
        <v/>
      </c>
      <c r="L238" t="str">
        <f t="shared" si="30"/>
        <v/>
      </c>
      <c r="N238" s="245">
        <f t="shared" si="31"/>
        <v>0</v>
      </c>
      <c r="O238" s="245">
        <f t="shared" si="32"/>
        <v>0</v>
      </c>
      <c r="P238" t="str">
        <f t="shared" si="33"/>
        <v/>
      </c>
      <c r="Q238" t="str">
        <f>IFERROR(VLOOKUP(P238,数据库!C:M,11,0),"")</f>
        <v/>
      </c>
      <c r="R238" t="str">
        <f t="shared" si="34"/>
        <v/>
      </c>
      <c r="S238">
        <f t="shared" si="35"/>
        <v>0</v>
      </c>
    </row>
    <row r="239" spans="1:19">
      <c r="A239" t="str">
        <f>IF(B239=0,"",发货清单!A239*10^6+COUNTIF($D$2:D239,D239)*10^3+ROW(A238))</f>
        <v/>
      </c>
      <c r="B239">
        <f>IFERROR(LEFT(发货清单!H239,SEARCH("-",发货清单!H239)-1),发货清单!H239)</f>
        <v>0</v>
      </c>
      <c r="C239" t="str">
        <f>IFERROR(VLOOKUP(发货清单!A239,数据库!A:D,4,0),"")</f>
        <v/>
      </c>
      <c r="D239" t="str">
        <f>IFERROR(VLOOKUP(发货清单!A239,数据库!A:C,3,0),"")</f>
        <v/>
      </c>
      <c r="E239">
        <f>发货清单!M239</f>
        <v>0</v>
      </c>
      <c r="F239">
        <f>发货清单!U239</f>
        <v>0</v>
      </c>
      <c r="G239" t="str">
        <f>IFERROR(VLOOKUP(发货清单!A239,数据库!A:B,2,0),"")</f>
        <v/>
      </c>
      <c r="H239">
        <f>发货清单!N239</f>
        <v>0</v>
      </c>
      <c r="I239" t="str">
        <f t="shared" si="27"/>
        <v/>
      </c>
      <c r="J239" t="str">
        <f t="shared" si="28"/>
        <v xml:space="preserve"> </v>
      </c>
      <c r="K239" t="str">
        <f t="shared" si="29"/>
        <v/>
      </c>
      <c r="L239" t="str">
        <f t="shared" si="30"/>
        <v/>
      </c>
      <c r="N239" s="245">
        <f t="shared" si="31"/>
        <v>0</v>
      </c>
      <c r="O239" s="245">
        <f t="shared" si="32"/>
        <v>0</v>
      </c>
      <c r="P239" t="str">
        <f t="shared" si="33"/>
        <v/>
      </c>
      <c r="Q239" t="str">
        <f>IFERROR(VLOOKUP(P239,数据库!C:M,11,0),"")</f>
        <v/>
      </c>
      <c r="R239" t="str">
        <f t="shared" si="34"/>
        <v/>
      </c>
      <c r="S239">
        <f t="shared" si="35"/>
        <v>0</v>
      </c>
    </row>
    <row r="240" spans="1:19">
      <c r="A240" t="str">
        <f>IF(B240=0,"",发货清单!A240*10^6+COUNTIF($D$2:D240,D240)*10^3+ROW(A239))</f>
        <v/>
      </c>
      <c r="B240">
        <f>IFERROR(LEFT(发货清单!H240,SEARCH("-",发货清单!H240)-1),发货清单!H240)</f>
        <v>0</v>
      </c>
      <c r="C240" t="str">
        <f>IFERROR(VLOOKUP(发货清单!A240,数据库!A:D,4,0),"")</f>
        <v/>
      </c>
      <c r="D240" t="str">
        <f>IFERROR(VLOOKUP(发货清单!A240,数据库!A:C,3,0),"")</f>
        <v/>
      </c>
      <c r="E240">
        <f>发货清单!M240</f>
        <v>0</v>
      </c>
      <c r="F240">
        <f>发货清单!U240</f>
        <v>0</v>
      </c>
      <c r="G240" t="str">
        <f>IFERROR(VLOOKUP(发货清单!A240,数据库!A:B,2,0),"")</f>
        <v/>
      </c>
      <c r="H240">
        <f>发货清单!N240</f>
        <v>0</v>
      </c>
      <c r="I240" t="str">
        <f t="shared" si="27"/>
        <v/>
      </c>
      <c r="J240" t="str">
        <f t="shared" si="28"/>
        <v xml:space="preserve"> </v>
      </c>
      <c r="K240" t="str">
        <f t="shared" si="29"/>
        <v/>
      </c>
      <c r="L240" t="str">
        <f t="shared" si="30"/>
        <v/>
      </c>
      <c r="N240" s="245">
        <f t="shared" si="31"/>
        <v>0</v>
      </c>
      <c r="O240" s="245">
        <f t="shared" si="32"/>
        <v>0</v>
      </c>
      <c r="P240" t="str">
        <f t="shared" si="33"/>
        <v/>
      </c>
      <c r="Q240" t="str">
        <f>IFERROR(VLOOKUP(P240,数据库!C:M,11,0),"")</f>
        <v/>
      </c>
      <c r="R240" t="str">
        <f t="shared" si="34"/>
        <v/>
      </c>
      <c r="S240">
        <f t="shared" si="35"/>
        <v>0</v>
      </c>
    </row>
    <row r="241" spans="1:19">
      <c r="A241" t="str">
        <f>IF(B241=0,"",发货清单!A241*10^6+COUNTIF($D$2:D241,D241)*10^3+ROW(A240))</f>
        <v/>
      </c>
      <c r="B241">
        <f>IFERROR(LEFT(发货清单!H241,SEARCH("-",发货清单!H241)-1),发货清单!H241)</f>
        <v>0</v>
      </c>
      <c r="C241" t="str">
        <f>IFERROR(VLOOKUP(发货清单!A241,数据库!A:D,4,0),"")</f>
        <v/>
      </c>
      <c r="D241" t="str">
        <f>IFERROR(VLOOKUP(发货清单!A241,数据库!A:C,3,0),"")</f>
        <v/>
      </c>
      <c r="E241">
        <f>发货清单!M241</f>
        <v>0</v>
      </c>
      <c r="F241">
        <f>发货清单!U241</f>
        <v>0</v>
      </c>
      <c r="G241" t="str">
        <f>IFERROR(VLOOKUP(发货清单!A241,数据库!A:B,2,0),"")</f>
        <v/>
      </c>
      <c r="H241">
        <f>发货清单!N241</f>
        <v>0</v>
      </c>
      <c r="I241" t="str">
        <f t="shared" si="27"/>
        <v/>
      </c>
      <c r="J241" t="str">
        <f t="shared" si="28"/>
        <v xml:space="preserve"> </v>
      </c>
      <c r="K241" t="str">
        <f t="shared" si="29"/>
        <v/>
      </c>
      <c r="L241" t="str">
        <f t="shared" si="30"/>
        <v/>
      </c>
      <c r="N241" s="245">
        <f t="shared" si="31"/>
        <v>0</v>
      </c>
      <c r="O241" s="245">
        <f t="shared" si="32"/>
        <v>0</v>
      </c>
      <c r="P241" t="str">
        <f t="shared" si="33"/>
        <v/>
      </c>
      <c r="Q241" t="str">
        <f>IFERROR(VLOOKUP(P241,数据库!C:M,11,0),"")</f>
        <v/>
      </c>
      <c r="R241" t="str">
        <f t="shared" si="34"/>
        <v/>
      </c>
      <c r="S241">
        <f t="shared" si="35"/>
        <v>0</v>
      </c>
    </row>
    <row r="242" spans="1:19">
      <c r="A242" t="str">
        <f>IF(B242=0,"",发货清单!A242*10^6+COUNTIF($D$2:D242,D242)*10^3+ROW(A241))</f>
        <v/>
      </c>
      <c r="B242">
        <f>IFERROR(LEFT(发货清单!H242,SEARCH("-",发货清单!H242)-1),发货清单!H242)</f>
        <v>0</v>
      </c>
      <c r="C242" t="str">
        <f>IFERROR(VLOOKUP(发货清单!A242,数据库!A:D,4,0),"")</f>
        <v/>
      </c>
      <c r="D242" t="str">
        <f>IFERROR(VLOOKUP(发货清单!A242,数据库!A:C,3,0),"")</f>
        <v/>
      </c>
      <c r="E242">
        <f>发货清单!M242</f>
        <v>0</v>
      </c>
      <c r="F242">
        <f>发货清单!U242</f>
        <v>0</v>
      </c>
      <c r="G242" t="str">
        <f>IFERROR(VLOOKUP(发货清单!A242,数据库!A:B,2,0),"")</f>
        <v/>
      </c>
      <c r="H242">
        <f>发货清单!N242</f>
        <v>0</v>
      </c>
      <c r="I242" t="str">
        <f t="shared" si="27"/>
        <v/>
      </c>
      <c r="J242" t="str">
        <f t="shared" si="28"/>
        <v xml:space="preserve"> </v>
      </c>
      <c r="K242" t="str">
        <f t="shared" si="29"/>
        <v/>
      </c>
      <c r="L242" t="str">
        <f t="shared" si="30"/>
        <v/>
      </c>
      <c r="N242" s="245">
        <f t="shared" si="31"/>
        <v>0</v>
      </c>
      <c r="O242" s="245">
        <f t="shared" si="32"/>
        <v>0</v>
      </c>
      <c r="P242" t="str">
        <f t="shared" si="33"/>
        <v/>
      </c>
      <c r="Q242" t="str">
        <f>IFERROR(VLOOKUP(P242,数据库!C:M,11,0),"")</f>
        <v/>
      </c>
      <c r="R242" t="str">
        <f t="shared" si="34"/>
        <v/>
      </c>
      <c r="S242">
        <f t="shared" si="35"/>
        <v>0</v>
      </c>
    </row>
    <row r="243" spans="1:19">
      <c r="A243" t="str">
        <f>IF(B243=0,"",发货清单!A243*10^6+COUNTIF($D$2:D243,D243)*10^3+ROW(A242))</f>
        <v/>
      </c>
      <c r="B243">
        <f>IFERROR(LEFT(发货清单!H243,SEARCH("-",发货清单!H243)-1),发货清单!H243)</f>
        <v>0</v>
      </c>
      <c r="C243" t="str">
        <f>IFERROR(VLOOKUP(发货清单!A243,数据库!A:D,4,0),"")</f>
        <v/>
      </c>
      <c r="D243" t="str">
        <f>IFERROR(VLOOKUP(发货清单!A243,数据库!A:C,3,0),"")</f>
        <v/>
      </c>
      <c r="E243">
        <f>发货清单!M243</f>
        <v>0</v>
      </c>
      <c r="F243">
        <f>发货清单!U243</f>
        <v>0</v>
      </c>
      <c r="G243" t="str">
        <f>IFERROR(VLOOKUP(发货清单!A243,数据库!A:B,2,0),"")</f>
        <v/>
      </c>
      <c r="H243">
        <f>发货清单!N243</f>
        <v>0</v>
      </c>
      <c r="I243" t="str">
        <f t="shared" si="27"/>
        <v/>
      </c>
      <c r="J243" t="str">
        <f t="shared" si="28"/>
        <v xml:space="preserve"> </v>
      </c>
      <c r="K243" t="str">
        <f t="shared" si="29"/>
        <v/>
      </c>
      <c r="L243" t="str">
        <f t="shared" si="30"/>
        <v/>
      </c>
      <c r="N243" s="245">
        <f t="shared" si="31"/>
        <v>0</v>
      </c>
      <c r="O243" s="245">
        <f t="shared" si="32"/>
        <v>0</v>
      </c>
      <c r="P243" t="str">
        <f t="shared" si="33"/>
        <v/>
      </c>
      <c r="Q243" t="str">
        <f>IFERROR(VLOOKUP(P243,数据库!C:M,11,0),"")</f>
        <v/>
      </c>
      <c r="R243" t="str">
        <f t="shared" si="34"/>
        <v/>
      </c>
      <c r="S243">
        <f t="shared" si="35"/>
        <v>0</v>
      </c>
    </row>
    <row r="244" spans="1:19">
      <c r="A244" t="str">
        <f>IF(B244=0,"",发货清单!A244*10^6+COUNTIF($D$2:D244,D244)*10^3+ROW(A243))</f>
        <v/>
      </c>
      <c r="B244">
        <f>IFERROR(LEFT(发货清单!H244,SEARCH("-",发货清单!H244)-1),发货清单!H244)</f>
        <v>0</v>
      </c>
      <c r="C244" t="str">
        <f>IFERROR(VLOOKUP(发货清单!A244,数据库!A:D,4,0),"")</f>
        <v/>
      </c>
      <c r="D244" t="str">
        <f>IFERROR(VLOOKUP(发货清单!A244,数据库!A:C,3,0),"")</f>
        <v/>
      </c>
      <c r="E244">
        <f>发货清单!M244</f>
        <v>0</v>
      </c>
      <c r="F244">
        <f>发货清单!U244</f>
        <v>0</v>
      </c>
      <c r="G244" t="str">
        <f>IFERROR(VLOOKUP(发货清单!A244,数据库!A:B,2,0),"")</f>
        <v/>
      </c>
      <c r="H244">
        <f>发货清单!N244</f>
        <v>0</v>
      </c>
      <c r="I244" t="str">
        <f t="shared" si="27"/>
        <v/>
      </c>
      <c r="J244" t="str">
        <f t="shared" si="28"/>
        <v xml:space="preserve"> </v>
      </c>
      <c r="K244" t="str">
        <f t="shared" si="29"/>
        <v/>
      </c>
      <c r="L244" t="str">
        <f t="shared" si="30"/>
        <v/>
      </c>
      <c r="N244" s="245">
        <f t="shared" si="31"/>
        <v>0</v>
      </c>
      <c r="O244" s="245">
        <f t="shared" si="32"/>
        <v>0</v>
      </c>
      <c r="P244" t="str">
        <f t="shared" si="33"/>
        <v/>
      </c>
      <c r="Q244" t="str">
        <f>IFERROR(VLOOKUP(P244,数据库!C:M,11,0),"")</f>
        <v/>
      </c>
      <c r="R244" t="str">
        <f t="shared" si="34"/>
        <v/>
      </c>
      <c r="S244">
        <f t="shared" si="35"/>
        <v>0</v>
      </c>
    </row>
    <row r="245" spans="1:19">
      <c r="A245" t="str">
        <f>IF(B245=0,"",发货清单!A245*10^6+COUNTIF($D$2:D245,D245)*10^3+ROW(A244))</f>
        <v/>
      </c>
      <c r="B245">
        <f>IFERROR(LEFT(发货清单!H245,SEARCH("-",发货清单!H245)-1),发货清单!H245)</f>
        <v>0</v>
      </c>
      <c r="C245" t="str">
        <f>IFERROR(VLOOKUP(发货清单!A245,数据库!A:D,4,0),"")</f>
        <v/>
      </c>
      <c r="D245" t="str">
        <f>IFERROR(VLOOKUP(发货清单!A245,数据库!A:C,3,0),"")</f>
        <v/>
      </c>
      <c r="E245">
        <f>发货清单!M245</f>
        <v>0</v>
      </c>
      <c r="F245">
        <f>发货清单!U245</f>
        <v>0</v>
      </c>
      <c r="G245" t="str">
        <f>IFERROR(VLOOKUP(发货清单!A245,数据库!A:B,2,0),"")</f>
        <v/>
      </c>
      <c r="H245">
        <f>发货清单!N245</f>
        <v>0</v>
      </c>
      <c r="I245" t="str">
        <f t="shared" si="27"/>
        <v/>
      </c>
      <c r="J245" t="str">
        <f t="shared" si="28"/>
        <v xml:space="preserve"> </v>
      </c>
      <c r="K245" t="str">
        <f t="shared" si="29"/>
        <v/>
      </c>
      <c r="L245" t="str">
        <f t="shared" si="30"/>
        <v/>
      </c>
      <c r="N245" s="245">
        <f t="shared" si="31"/>
        <v>0</v>
      </c>
      <c r="O245" s="245">
        <f t="shared" si="32"/>
        <v>0</v>
      </c>
      <c r="P245" t="str">
        <f t="shared" si="33"/>
        <v/>
      </c>
      <c r="Q245" t="str">
        <f>IFERROR(VLOOKUP(P245,数据库!C:M,11,0),"")</f>
        <v/>
      </c>
      <c r="R245" t="str">
        <f t="shared" si="34"/>
        <v/>
      </c>
      <c r="S245">
        <f t="shared" si="35"/>
        <v>0</v>
      </c>
    </row>
    <row r="246" spans="1:19">
      <c r="A246" t="str">
        <f>IF(B246=0,"",发货清单!A246*10^6+COUNTIF($D$2:D246,D246)*10^3+ROW(A245))</f>
        <v/>
      </c>
      <c r="B246">
        <f>IFERROR(LEFT(发货清单!H246,SEARCH("-",发货清单!H246)-1),发货清单!H246)</f>
        <v>0</v>
      </c>
      <c r="C246" t="str">
        <f>IFERROR(VLOOKUP(发货清单!A246,数据库!A:D,4,0),"")</f>
        <v/>
      </c>
      <c r="D246" t="str">
        <f>IFERROR(VLOOKUP(发货清单!A246,数据库!A:C,3,0),"")</f>
        <v/>
      </c>
      <c r="E246">
        <f>发货清单!M246</f>
        <v>0</v>
      </c>
      <c r="F246">
        <f>发货清单!U246</f>
        <v>0</v>
      </c>
      <c r="G246" t="str">
        <f>IFERROR(VLOOKUP(发货清单!A246,数据库!A:B,2,0),"")</f>
        <v/>
      </c>
      <c r="H246">
        <f>发货清单!N246</f>
        <v>0</v>
      </c>
      <c r="I246" t="str">
        <f t="shared" si="27"/>
        <v/>
      </c>
      <c r="J246" t="str">
        <f t="shared" si="28"/>
        <v xml:space="preserve"> </v>
      </c>
      <c r="K246" t="str">
        <f t="shared" si="29"/>
        <v/>
      </c>
      <c r="L246" t="str">
        <f t="shared" si="30"/>
        <v/>
      </c>
      <c r="N246" s="245">
        <f t="shared" si="31"/>
        <v>0</v>
      </c>
      <c r="O246" s="245">
        <f t="shared" si="32"/>
        <v>0</v>
      </c>
      <c r="P246" t="str">
        <f t="shared" si="33"/>
        <v/>
      </c>
      <c r="Q246" t="str">
        <f>IFERROR(VLOOKUP(P246,数据库!C:M,11,0),"")</f>
        <v/>
      </c>
      <c r="R246" t="str">
        <f t="shared" si="34"/>
        <v/>
      </c>
      <c r="S246">
        <f t="shared" si="35"/>
        <v>0</v>
      </c>
    </row>
    <row r="247" spans="1:19">
      <c r="A247" t="str">
        <f>IF(B247=0,"",发货清单!A247*10^6+COUNTIF($D$2:D247,D247)*10^3+ROW(A246))</f>
        <v/>
      </c>
      <c r="B247">
        <f>IFERROR(LEFT(发货清单!H247,SEARCH("-",发货清单!H247)-1),发货清单!H247)</f>
        <v>0</v>
      </c>
      <c r="C247" t="str">
        <f>IFERROR(VLOOKUP(发货清单!A247,数据库!A:D,4,0),"")</f>
        <v/>
      </c>
      <c r="D247" t="str">
        <f>IFERROR(VLOOKUP(发货清单!A247,数据库!A:C,3,0),"")</f>
        <v/>
      </c>
      <c r="E247">
        <f>发货清单!M247</f>
        <v>0</v>
      </c>
      <c r="F247">
        <f>发货清单!U247</f>
        <v>0</v>
      </c>
      <c r="G247" t="str">
        <f>IFERROR(VLOOKUP(发货清单!A247,数据库!A:B,2,0),"")</f>
        <v/>
      </c>
      <c r="H247">
        <f>发货清单!N247</f>
        <v>0</v>
      </c>
      <c r="I247" t="str">
        <f t="shared" si="27"/>
        <v/>
      </c>
      <c r="J247" t="str">
        <f t="shared" si="28"/>
        <v xml:space="preserve"> </v>
      </c>
      <c r="K247" t="str">
        <f t="shared" si="29"/>
        <v/>
      </c>
      <c r="L247" t="str">
        <f t="shared" si="30"/>
        <v/>
      </c>
      <c r="N247" s="245">
        <f t="shared" si="31"/>
        <v>0</v>
      </c>
      <c r="O247" s="245">
        <f t="shared" si="32"/>
        <v>0</v>
      </c>
      <c r="P247" t="str">
        <f t="shared" si="33"/>
        <v/>
      </c>
      <c r="Q247" t="str">
        <f>IFERROR(VLOOKUP(P247,数据库!C:M,11,0),"")</f>
        <v/>
      </c>
      <c r="R247" t="str">
        <f t="shared" si="34"/>
        <v/>
      </c>
      <c r="S247">
        <f t="shared" si="35"/>
        <v>0</v>
      </c>
    </row>
    <row r="248" spans="1:19">
      <c r="A248" t="str">
        <f>IF(B248=0,"",发货清单!A248*10^6+COUNTIF($D$2:D248,D248)*10^3+ROW(A247))</f>
        <v/>
      </c>
      <c r="B248">
        <f>IFERROR(LEFT(发货清单!H248,SEARCH("-",发货清单!H248)-1),发货清单!H248)</f>
        <v>0</v>
      </c>
      <c r="C248" t="str">
        <f>IFERROR(VLOOKUP(发货清单!A248,数据库!A:D,4,0),"")</f>
        <v/>
      </c>
      <c r="D248" t="str">
        <f>IFERROR(VLOOKUP(发货清单!A248,数据库!A:C,3,0),"")</f>
        <v/>
      </c>
      <c r="E248">
        <f>发货清单!M248</f>
        <v>0</v>
      </c>
      <c r="F248">
        <f>发货清单!U248</f>
        <v>0</v>
      </c>
      <c r="G248" t="str">
        <f>IFERROR(VLOOKUP(发货清单!A248,数据库!A:B,2,0),"")</f>
        <v/>
      </c>
      <c r="H248">
        <f>发货清单!N248</f>
        <v>0</v>
      </c>
      <c r="I248" t="str">
        <f t="shared" si="27"/>
        <v/>
      </c>
      <c r="J248" t="str">
        <f t="shared" si="28"/>
        <v xml:space="preserve"> </v>
      </c>
      <c r="K248" t="str">
        <f t="shared" si="29"/>
        <v/>
      </c>
      <c r="L248" t="str">
        <f t="shared" si="30"/>
        <v/>
      </c>
      <c r="N248" s="245">
        <f t="shared" si="31"/>
        <v>0</v>
      </c>
      <c r="O248" s="245">
        <f t="shared" si="32"/>
        <v>0</v>
      </c>
      <c r="P248" t="str">
        <f t="shared" si="33"/>
        <v/>
      </c>
      <c r="Q248" t="str">
        <f>IFERROR(VLOOKUP(P248,数据库!C:M,11,0),"")</f>
        <v/>
      </c>
      <c r="R248" t="str">
        <f t="shared" si="34"/>
        <v/>
      </c>
      <c r="S248">
        <f t="shared" si="35"/>
        <v>0</v>
      </c>
    </row>
    <row r="249" spans="1:19">
      <c r="A249" t="str">
        <f>IF(B249=0,"",发货清单!A249*10^6+COUNTIF($D$2:D249,D249)*10^3+ROW(A248))</f>
        <v/>
      </c>
      <c r="B249">
        <f>IFERROR(LEFT(发货清单!H249,SEARCH("-",发货清单!H249)-1),发货清单!H249)</f>
        <v>0</v>
      </c>
      <c r="C249" t="str">
        <f>IFERROR(VLOOKUP(发货清单!A249,数据库!A:D,4,0),"")</f>
        <v/>
      </c>
      <c r="D249" t="str">
        <f>IFERROR(VLOOKUP(发货清单!A249,数据库!A:C,3,0),"")</f>
        <v/>
      </c>
      <c r="E249">
        <f>发货清单!M249</f>
        <v>0</v>
      </c>
      <c r="F249">
        <f>发货清单!U249</f>
        <v>0</v>
      </c>
      <c r="G249" t="str">
        <f>IFERROR(VLOOKUP(发货清单!A249,数据库!A:B,2,0),"")</f>
        <v/>
      </c>
      <c r="H249">
        <f>发货清单!N249</f>
        <v>0</v>
      </c>
      <c r="I249" t="str">
        <f t="shared" si="27"/>
        <v/>
      </c>
      <c r="J249" t="str">
        <f t="shared" si="28"/>
        <v xml:space="preserve"> </v>
      </c>
      <c r="K249" t="str">
        <f t="shared" si="29"/>
        <v/>
      </c>
      <c r="L249" t="str">
        <f t="shared" si="30"/>
        <v/>
      </c>
      <c r="N249" s="245">
        <f t="shared" si="31"/>
        <v>0</v>
      </c>
      <c r="O249" s="245">
        <f t="shared" si="32"/>
        <v>0</v>
      </c>
      <c r="P249" t="str">
        <f t="shared" si="33"/>
        <v/>
      </c>
      <c r="Q249" t="str">
        <f>IFERROR(VLOOKUP(P249,数据库!C:M,11,0),"")</f>
        <v/>
      </c>
      <c r="R249" t="str">
        <f t="shared" si="34"/>
        <v/>
      </c>
      <c r="S249">
        <f t="shared" si="35"/>
        <v>0</v>
      </c>
    </row>
    <row r="250" spans="1:19">
      <c r="A250" t="str">
        <f>IF(B250=0,"",发货清单!A250*10^6+COUNTIF($D$2:D250,D250)*10^3+ROW(A249))</f>
        <v/>
      </c>
      <c r="B250">
        <f>IFERROR(LEFT(发货清单!H250,SEARCH("-",发货清单!H250)-1),发货清单!H250)</f>
        <v>0</v>
      </c>
      <c r="C250" t="str">
        <f>IFERROR(VLOOKUP(发货清单!A250,数据库!A:D,4,0),"")</f>
        <v/>
      </c>
      <c r="D250" t="str">
        <f>IFERROR(VLOOKUP(发货清单!A250,数据库!A:C,3,0),"")</f>
        <v/>
      </c>
      <c r="E250">
        <f>发货清单!M250</f>
        <v>0</v>
      </c>
      <c r="F250">
        <f>发货清单!U250</f>
        <v>0</v>
      </c>
      <c r="G250" t="str">
        <f>IFERROR(VLOOKUP(发货清单!A250,数据库!A:B,2,0),"")</f>
        <v/>
      </c>
      <c r="H250">
        <f>发货清单!N250</f>
        <v>0</v>
      </c>
      <c r="I250" t="str">
        <f t="shared" si="27"/>
        <v/>
      </c>
      <c r="J250" t="str">
        <f t="shared" si="28"/>
        <v xml:space="preserve"> </v>
      </c>
      <c r="K250" t="str">
        <f t="shared" si="29"/>
        <v/>
      </c>
      <c r="L250" t="str">
        <f t="shared" si="30"/>
        <v/>
      </c>
      <c r="N250" s="245">
        <f t="shared" si="31"/>
        <v>0</v>
      </c>
      <c r="O250" s="245">
        <f t="shared" si="32"/>
        <v>0</v>
      </c>
      <c r="P250" t="str">
        <f t="shared" si="33"/>
        <v/>
      </c>
      <c r="Q250" t="str">
        <f>IFERROR(VLOOKUP(P250,数据库!C:M,11,0),"")</f>
        <v/>
      </c>
      <c r="R250" t="str">
        <f t="shared" si="34"/>
        <v/>
      </c>
      <c r="S250">
        <f t="shared" si="35"/>
        <v>0</v>
      </c>
    </row>
    <row r="251" spans="1:19">
      <c r="A251" t="str">
        <f>IF(B251=0,"",发货清单!A251*10^6+COUNTIF($D$2:D251,D251)*10^3+ROW(A250))</f>
        <v/>
      </c>
      <c r="B251">
        <f>IFERROR(LEFT(发货清单!H251,SEARCH("-",发货清单!H251)-1),发货清单!H251)</f>
        <v>0</v>
      </c>
      <c r="C251" t="str">
        <f>IFERROR(VLOOKUP(发货清单!A251,数据库!A:D,4,0),"")</f>
        <v/>
      </c>
      <c r="D251" t="str">
        <f>IFERROR(VLOOKUP(发货清单!A251,数据库!A:C,3,0),"")</f>
        <v/>
      </c>
      <c r="E251">
        <f>发货清单!M251</f>
        <v>0</v>
      </c>
      <c r="F251">
        <f>发货清单!U251</f>
        <v>0</v>
      </c>
      <c r="G251" t="str">
        <f>IFERROR(VLOOKUP(发货清单!A251,数据库!A:B,2,0),"")</f>
        <v/>
      </c>
      <c r="H251">
        <f>发货清单!N251</f>
        <v>0</v>
      </c>
      <c r="I251" t="str">
        <f t="shared" si="27"/>
        <v/>
      </c>
      <c r="J251" t="str">
        <f t="shared" si="28"/>
        <v xml:space="preserve"> </v>
      </c>
      <c r="K251" t="str">
        <f t="shared" si="29"/>
        <v/>
      </c>
      <c r="L251" t="str">
        <f t="shared" si="30"/>
        <v/>
      </c>
      <c r="N251" s="245">
        <f t="shared" si="31"/>
        <v>0</v>
      </c>
      <c r="O251" s="245">
        <f t="shared" si="32"/>
        <v>0</v>
      </c>
      <c r="P251" t="str">
        <f t="shared" si="33"/>
        <v/>
      </c>
      <c r="Q251" t="str">
        <f>IFERROR(VLOOKUP(P251,数据库!C:M,11,0),"")</f>
        <v/>
      </c>
      <c r="R251" t="str">
        <f t="shared" si="34"/>
        <v/>
      </c>
      <c r="S251">
        <f t="shared" si="35"/>
        <v>0</v>
      </c>
    </row>
    <row r="252" spans="1:19">
      <c r="A252" t="str">
        <f>IF(B252=0,"",发货清单!A252*10^6+COUNTIF($D$2:D252,D252)*10^3+ROW(A251))</f>
        <v/>
      </c>
      <c r="B252">
        <f>IFERROR(LEFT(发货清单!H252,SEARCH("-",发货清单!H252)-1),发货清单!H252)</f>
        <v>0</v>
      </c>
      <c r="C252" t="str">
        <f>IFERROR(VLOOKUP(发货清单!A252,数据库!A:D,4,0),"")</f>
        <v/>
      </c>
      <c r="D252" t="str">
        <f>IFERROR(VLOOKUP(发货清单!A252,数据库!A:C,3,0),"")</f>
        <v/>
      </c>
      <c r="E252">
        <f>发货清单!M252</f>
        <v>0</v>
      </c>
      <c r="F252">
        <f>发货清单!U252</f>
        <v>0</v>
      </c>
      <c r="G252" t="str">
        <f>IFERROR(VLOOKUP(发货清单!A252,数据库!A:B,2,0),"")</f>
        <v/>
      </c>
      <c r="H252">
        <f>发货清单!N252</f>
        <v>0</v>
      </c>
      <c r="I252" t="str">
        <f t="shared" si="27"/>
        <v/>
      </c>
      <c r="J252" t="str">
        <f t="shared" si="28"/>
        <v xml:space="preserve"> </v>
      </c>
      <c r="K252" t="str">
        <f t="shared" si="29"/>
        <v/>
      </c>
      <c r="L252" t="str">
        <f t="shared" si="30"/>
        <v/>
      </c>
      <c r="N252" s="245">
        <f t="shared" si="31"/>
        <v>0</v>
      </c>
      <c r="O252" s="245">
        <f t="shared" si="32"/>
        <v>0</v>
      </c>
      <c r="P252" t="str">
        <f t="shared" si="33"/>
        <v/>
      </c>
      <c r="Q252" t="str">
        <f>IFERROR(VLOOKUP(P252,数据库!C:M,11,0),"")</f>
        <v/>
      </c>
      <c r="R252" t="str">
        <f t="shared" si="34"/>
        <v/>
      </c>
      <c r="S252">
        <f t="shared" si="35"/>
        <v>0</v>
      </c>
    </row>
    <row r="253" spans="1:19">
      <c r="A253" t="str">
        <f>IF(B253=0,"",发货清单!A253*10^6+COUNTIF($D$2:D253,D253)*10^3+ROW(A252))</f>
        <v/>
      </c>
      <c r="B253">
        <f>IFERROR(LEFT(发货清单!H253,SEARCH("-",发货清单!H253)-1),发货清单!H253)</f>
        <v>0</v>
      </c>
      <c r="C253" t="str">
        <f>IFERROR(VLOOKUP(发货清单!A253,数据库!A:D,4,0),"")</f>
        <v/>
      </c>
      <c r="D253" t="str">
        <f>IFERROR(VLOOKUP(发货清单!A253,数据库!A:C,3,0),"")</f>
        <v/>
      </c>
      <c r="E253">
        <f>发货清单!M253</f>
        <v>0</v>
      </c>
      <c r="F253">
        <f>发货清单!U253</f>
        <v>0</v>
      </c>
      <c r="G253" t="str">
        <f>IFERROR(VLOOKUP(发货清单!A253,数据库!A:B,2,0),"")</f>
        <v/>
      </c>
      <c r="H253">
        <f>发货清单!N253</f>
        <v>0</v>
      </c>
      <c r="I253" t="str">
        <f t="shared" si="27"/>
        <v/>
      </c>
      <c r="J253" t="str">
        <f t="shared" si="28"/>
        <v xml:space="preserve"> </v>
      </c>
      <c r="K253" t="str">
        <f t="shared" si="29"/>
        <v/>
      </c>
      <c r="L253" t="str">
        <f t="shared" si="30"/>
        <v/>
      </c>
      <c r="N253" s="245">
        <f t="shared" si="31"/>
        <v>0</v>
      </c>
      <c r="O253" s="245">
        <f t="shared" si="32"/>
        <v>0</v>
      </c>
      <c r="P253" t="str">
        <f t="shared" si="33"/>
        <v/>
      </c>
      <c r="Q253" t="str">
        <f>IFERROR(VLOOKUP(P253,数据库!C:M,11,0),"")</f>
        <v/>
      </c>
      <c r="R253" t="str">
        <f t="shared" si="34"/>
        <v/>
      </c>
      <c r="S253">
        <f t="shared" si="35"/>
        <v>0</v>
      </c>
    </row>
    <row r="254" spans="1:19">
      <c r="A254" t="str">
        <f>IF(B254=0,"",发货清单!A254*10^6+COUNTIF($D$2:D254,D254)*10^3+ROW(A253))</f>
        <v/>
      </c>
      <c r="B254">
        <f>IFERROR(LEFT(发货清单!H254,SEARCH("-",发货清单!H254)-1),发货清单!H254)</f>
        <v>0</v>
      </c>
      <c r="C254" t="str">
        <f>IFERROR(VLOOKUP(发货清单!A254,数据库!A:D,4,0),"")</f>
        <v/>
      </c>
      <c r="D254" t="str">
        <f>IFERROR(VLOOKUP(发货清单!A254,数据库!A:C,3,0),"")</f>
        <v/>
      </c>
      <c r="E254">
        <f>发货清单!M254</f>
        <v>0</v>
      </c>
      <c r="F254">
        <f>发货清单!U254</f>
        <v>0</v>
      </c>
      <c r="G254" t="str">
        <f>IFERROR(VLOOKUP(发货清单!A254,数据库!A:B,2,0),"")</f>
        <v/>
      </c>
      <c r="H254">
        <f>发货清单!N254</f>
        <v>0</v>
      </c>
      <c r="I254" t="str">
        <f t="shared" si="27"/>
        <v/>
      </c>
      <c r="J254" t="str">
        <f t="shared" si="28"/>
        <v xml:space="preserve"> </v>
      </c>
      <c r="K254" t="str">
        <f t="shared" si="29"/>
        <v/>
      </c>
      <c r="L254" t="str">
        <f t="shared" si="30"/>
        <v/>
      </c>
      <c r="N254" s="245">
        <f t="shared" si="31"/>
        <v>0</v>
      </c>
      <c r="O254" s="245">
        <f t="shared" si="32"/>
        <v>0</v>
      </c>
      <c r="P254" t="str">
        <f t="shared" si="33"/>
        <v/>
      </c>
      <c r="Q254" t="str">
        <f>IFERROR(VLOOKUP(P254,数据库!C:M,11,0),"")</f>
        <v/>
      </c>
      <c r="R254" t="str">
        <f t="shared" si="34"/>
        <v/>
      </c>
      <c r="S254">
        <f t="shared" si="35"/>
        <v>0</v>
      </c>
    </row>
    <row r="255" spans="1:19">
      <c r="A255" t="str">
        <f>IF(B255=0,"",发货清单!A255*10^6+COUNTIF($D$2:D255,D255)*10^3+ROW(A254))</f>
        <v/>
      </c>
      <c r="B255">
        <f>IFERROR(LEFT(发货清单!H255,SEARCH("-",发货清单!H255)-1),发货清单!H255)</f>
        <v>0</v>
      </c>
      <c r="C255" t="str">
        <f>IFERROR(VLOOKUP(发货清单!A255,数据库!A:D,4,0),"")</f>
        <v/>
      </c>
      <c r="D255" t="str">
        <f>IFERROR(VLOOKUP(发货清单!A255,数据库!A:C,3,0),"")</f>
        <v/>
      </c>
      <c r="E255">
        <f>发货清单!M255</f>
        <v>0</v>
      </c>
      <c r="F255">
        <f>发货清单!U255</f>
        <v>0</v>
      </c>
      <c r="G255" t="str">
        <f>IFERROR(VLOOKUP(发货清单!A255,数据库!A:B,2,0),"")</f>
        <v/>
      </c>
      <c r="H255">
        <f>发货清单!N255</f>
        <v>0</v>
      </c>
      <c r="I255" t="str">
        <f t="shared" si="27"/>
        <v/>
      </c>
      <c r="J255" t="str">
        <f t="shared" si="28"/>
        <v xml:space="preserve"> </v>
      </c>
      <c r="K255" t="str">
        <f t="shared" si="29"/>
        <v/>
      </c>
      <c r="L255" t="str">
        <f t="shared" si="30"/>
        <v/>
      </c>
      <c r="N255" s="245">
        <f t="shared" si="31"/>
        <v>0</v>
      </c>
      <c r="O255" s="245">
        <f t="shared" si="32"/>
        <v>0</v>
      </c>
      <c r="P255" t="str">
        <f t="shared" si="33"/>
        <v/>
      </c>
      <c r="Q255" t="str">
        <f>IFERROR(VLOOKUP(P255,数据库!C:M,11,0),"")</f>
        <v/>
      </c>
      <c r="R255" t="str">
        <f t="shared" si="34"/>
        <v/>
      </c>
      <c r="S255">
        <f t="shared" si="35"/>
        <v>0</v>
      </c>
    </row>
    <row r="256" spans="1:19">
      <c r="A256" t="str">
        <f>IF(B256=0,"",发货清单!A256*10^6+COUNTIF($D$2:D256,D256)*10^3+ROW(A255))</f>
        <v/>
      </c>
      <c r="B256">
        <f>IFERROR(LEFT(发货清单!H256,SEARCH("-",发货清单!H256)-1),发货清单!H256)</f>
        <v>0</v>
      </c>
      <c r="C256" t="str">
        <f>IFERROR(VLOOKUP(发货清单!A256,数据库!A:D,4,0),"")</f>
        <v/>
      </c>
      <c r="D256" t="str">
        <f>IFERROR(VLOOKUP(发货清单!A256,数据库!A:C,3,0),"")</f>
        <v/>
      </c>
      <c r="E256">
        <f>发货清单!M256</f>
        <v>0</v>
      </c>
      <c r="F256">
        <f>发货清单!U256</f>
        <v>0</v>
      </c>
      <c r="G256" t="str">
        <f>IFERROR(VLOOKUP(发货清单!A256,数据库!A:B,2,0),"")</f>
        <v/>
      </c>
      <c r="H256">
        <f>发货清单!N256</f>
        <v>0</v>
      </c>
      <c r="I256" t="str">
        <f t="shared" si="27"/>
        <v/>
      </c>
      <c r="J256" t="str">
        <f t="shared" si="28"/>
        <v xml:space="preserve"> </v>
      </c>
      <c r="K256" t="str">
        <f t="shared" si="29"/>
        <v/>
      </c>
      <c r="L256" t="str">
        <f t="shared" si="30"/>
        <v/>
      </c>
      <c r="N256" s="245">
        <f t="shared" si="31"/>
        <v>0</v>
      </c>
      <c r="O256" s="245">
        <f t="shared" si="32"/>
        <v>0</v>
      </c>
      <c r="P256" t="str">
        <f t="shared" si="33"/>
        <v/>
      </c>
      <c r="Q256" t="str">
        <f>IFERROR(VLOOKUP(P256,数据库!C:M,11,0),"")</f>
        <v/>
      </c>
      <c r="R256" t="str">
        <f t="shared" si="34"/>
        <v/>
      </c>
      <c r="S256">
        <f t="shared" si="35"/>
        <v>0</v>
      </c>
    </row>
    <row r="257" spans="1:19">
      <c r="A257" t="str">
        <f>IF(B257=0,"",发货清单!A257*10^6+COUNTIF($D$2:D257,D257)*10^3+ROW(A256))</f>
        <v/>
      </c>
      <c r="B257">
        <f>IFERROR(LEFT(发货清单!H257,SEARCH("-",发货清单!H257)-1),发货清单!H257)</f>
        <v>0</v>
      </c>
      <c r="C257" t="str">
        <f>IFERROR(VLOOKUP(发货清单!A257,数据库!A:D,4,0),"")</f>
        <v/>
      </c>
      <c r="D257" t="str">
        <f>IFERROR(VLOOKUP(发货清单!A257,数据库!A:C,3,0),"")</f>
        <v/>
      </c>
      <c r="E257">
        <f>发货清单!M257</f>
        <v>0</v>
      </c>
      <c r="F257">
        <f>发货清单!U257</f>
        <v>0</v>
      </c>
      <c r="G257" t="str">
        <f>IFERROR(VLOOKUP(发货清单!A257,数据库!A:B,2,0),"")</f>
        <v/>
      </c>
      <c r="H257">
        <f>发货清单!N257</f>
        <v>0</v>
      </c>
      <c r="I257" t="str">
        <f t="shared" si="27"/>
        <v/>
      </c>
      <c r="J257" t="str">
        <f t="shared" si="28"/>
        <v xml:space="preserve"> </v>
      </c>
      <c r="K257" t="str">
        <f t="shared" si="29"/>
        <v/>
      </c>
      <c r="L257" t="str">
        <f t="shared" si="30"/>
        <v/>
      </c>
      <c r="N257" s="245">
        <f t="shared" si="31"/>
        <v>0</v>
      </c>
      <c r="O257" s="245">
        <f t="shared" si="32"/>
        <v>0</v>
      </c>
      <c r="P257" t="str">
        <f t="shared" si="33"/>
        <v/>
      </c>
      <c r="Q257" t="str">
        <f>IFERROR(VLOOKUP(P257,数据库!C:M,11,0),"")</f>
        <v/>
      </c>
      <c r="R257" t="str">
        <f t="shared" si="34"/>
        <v/>
      </c>
      <c r="S257">
        <f t="shared" si="35"/>
        <v>0</v>
      </c>
    </row>
    <row r="258" spans="1:19">
      <c r="A258" t="str">
        <f>IF(B258=0,"",发货清单!A258*10^6+COUNTIF($D$2:D258,D258)*10^3+ROW(A257))</f>
        <v/>
      </c>
      <c r="B258">
        <f>IFERROR(LEFT(发货清单!H258,SEARCH("-",发货清单!H258)-1),发货清单!H258)</f>
        <v>0</v>
      </c>
      <c r="C258" t="str">
        <f>IFERROR(VLOOKUP(发货清单!A258,数据库!A:D,4,0),"")</f>
        <v/>
      </c>
      <c r="D258" t="str">
        <f>IFERROR(VLOOKUP(发货清单!A258,数据库!A:C,3,0),"")</f>
        <v/>
      </c>
      <c r="E258">
        <f>发货清单!M258</f>
        <v>0</v>
      </c>
      <c r="F258">
        <f>发货清单!U258</f>
        <v>0</v>
      </c>
      <c r="G258" t="str">
        <f>IFERROR(VLOOKUP(发货清单!A258,数据库!A:B,2,0),"")</f>
        <v/>
      </c>
      <c r="H258">
        <f>发货清单!N258</f>
        <v>0</v>
      </c>
      <c r="I258" t="str">
        <f t="shared" si="27"/>
        <v/>
      </c>
      <c r="J258" t="str">
        <f t="shared" si="28"/>
        <v xml:space="preserve"> </v>
      </c>
      <c r="K258" t="str">
        <f t="shared" si="29"/>
        <v/>
      </c>
      <c r="L258" t="str">
        <f t="shared" si="30"/>
        <v/>
      </c>
      <c r="N258" s="245">
        <f t="shared" si="31"/>
        <v>0</v>
      </c>
      <c r="O258" s="245">
        <f t="shared" si="32"/>
        <v>0</v>
      </c>
      <c r="P258" t="str">
        <f t="shared" si="33"/>
        <v/>
      </c>
      <c r="Q258" t="str">
        <f>IFERROR(VLOOKUP(P258,数据库!C:M,11,0),"")</f>
        <v/>
      </c>
      <c r="R258" t="str">
        <f t="shared" si="34"/>
        <v/>
      </c>
      <c r="S258">
        <f t="shared" si="35"/>
        <v>0</v>
      </c>
    </row>
    <row r="259" spans="1:19">
      <c r="A259" t="str">
        <f>IF(B259=0,"",发货清单!A259*10^6+COUNTIF($D$2:D259,D259)*10^3+ROW(A258))</f>
        <v/>
      </c>
      <c r="B259">
        <f>IFERROR(LEFT(发货清单!H259,SEARCH("-",发货清单!H259)-1),发货清单!H259)</f>
        <v>0</v>
      </c>
      <c r="C259" t="str">
        <f>IFERROR(VLOOKUP(发货清单!A259,数据库!A:D,4,0),"")</f>
        <v/>
      </c>
      <c r="D259" t="str">
        <f>IFERROR(VLOOKUP(发货清单!A259,数据库!A:C,3,0),"")</f>
        <v/>
      </c>
      <c r="E259">
        <f>发货清单!M259</f>
        <v>0</v>
      </c>
      <c r="F259">
        <f>发货清单!U259</f>
        <v>0</v>
      </c>
      <c r="G259" t="str">
        <f>IFERROR(VLOOKUP(发货清单!A259,数据库!A:B,2,0),"")</f>
        <v/>
      </c>
      <c r="H259">
        <f>发货清单!N259</f>
        <v>0</v>
      </c>
      <c r="I259" t="str">
        <f t="shared" ref="I259:I322" si="36">IFERROR(SMALL(A:A,ROW(A258)),"")</f>
        <v/>
      </c>
      <c r="J259" t="str">
        <f t="shared" ref="J259:J322" si="37">IFERROR(IF(RIGHT(I259,6)-2000&gt;0," ",I259)," ")</f>
        <v xml:space="preserve"> </v>
      </c>
      <c r="K259" t="str">
        <f t="shared" ref="K259:K322" si="38">IFERROR(SMALL(J:J,ROW(A258)),"")</f>
        <v/>
      </c>
      <c r="L259" t="str">
        <f t="shared" ref="L259:L322" si="39">IFERROR(VLOOKUP(K259,A:G,7,0)," ")</f>
        <v/>
      </c>
      <c r="N259" s="245">
        <f t="shared" ref="N259:N322" si="40">IF(P259=" ",0,SUMIF(D:D,P259,E:E))</f>
        <v>0</v>
      </c>
      <c r="O259" s="245">
        <f t="shared" ref="O259:O322" si="41">SUMIF(D:D,P259,F:F)</f>
        <v>0</v>
      </c>
      <c r="P259" t="str">
        <f t="shared" ref="P259:P322" si="42">IFERROR(VLOOKUP(K259,A:D,4,0)," ")</f>
        <v/>
      </c>
      <c r="Q259" t="str">
        <f>IFERROR(VLOOKUP(P259,数据库!C:M,11,0),"")</f>
        <v/>
      </c>
      <c r="R259" t="str">
        <f t="shared" ref="R259:R322" si="43">IFERROR(VLOOKUP(K259,A:C,3,0)," ")</f>
        <v/>
      </c>
      <c r="S259">
        <f t="shared" ref="S259:S322" si="44">IFERROR(VLOOKUP(K259,A:H,8,0)," ")</f>
        <v>0</v>
      </c>
    </row>
    <row r="260" spans="1:19">
      <c r="A260" t="str">
        <f>IF(B260=0,"",发货清单!A260*10^6+COUNTIF($D$2:D260,D260)*10^3+ROW(A259))</f>
        <v/>
      </c>
      <c r="B260">
        <f>IFERROR(LEFT(发货清单!H260,SEARCH("-",发货清单!H260)-1),发货清单!H260)</f>
        <v>0</v>
      </c>
      <c r="C260" t="str">
        <f>IFERROR(VLOOKUP(发货清单!A260,数据库!A:D,4,0),"")</f>
        <v/>
      </c>
      <c r="D260" t="str">
        <f>IFERROR(VLOOKUP(发货清单!A260,数据库!A:C,3,0),"")</f>
        <v/>
      </c>
      <c r="E260">
        <f>发货清单!M260</f>
        <v>0</v>
      </c>
      <c r="F260">
        <f>发货清单!U260</f>
        <v>0</v>
      </c>
      <c r="G260" t="str">
        <f>IFERROR(VLOOKUP(发货清单!A260,数据库!A:B,2,0),"")</f>
        <v/>
      </c>
      <c r="H260">
        <f>发货清单!N260</f>
        <v>0</v>
      </c>
      <c r="I260" t="str">
        <f t="shared" si="36"/>
        <v/>
      </c>
      <c r="J260" t="str">
        <f t="shared" si="37"/>
        <v xml:space="preserve"> </v>
      </c>
      <c r="K260" t="str">
        <f t="shared" si="38"/>
        <v/>
      </c>
      <c r="L260" t="str">
        <f t="shared" si="39"/>
        <v/>
      </c>
      <c r="N260" s="245">
        <f t="shared" si="40"/>
        <v>0</v>
      </c>
      <c r="O260" s="245">
        <f t="shared" si="41"/>
        <v>0</v>
      </c>
      <c r="P260" t="str">
        <f t="shared" si="42"/>
        <v/>
      </c>
      <c r="Q260" t="str">
        <f>IFERROR(VLOOKUP(P260,数据库!C:M,11,0),"")</f>
        <v/>
      </c>
      <c r="R260" t="str">
        <f t="shared" si="43"/>
        <v/>
      </c>
      <c r="S260">
        <f t="shared" si="44"/>
        <v>0</v>
      </c>
    </row>
    <row r="261" spans="1:19">
      <c r="A261" t="str">
        <f>IF(B261=0,"",发货清单!A261*10^6+COUNTIF($D$2:D261,D261)*10^3+ROW(A260))</f>
        <v/>
      </c>
      <c r="B261">
        <f>IFERROR(LEFT(发货清单!H261,SEARCH("-",发货清单!H261)-1),发货清单!H261)</f>
        <v>0</v>
      </c>
      <c r="C261" t="str">
        <f>IFERROR(VLOOKUP(发货清单!A261,数据库!A:D,4,0),"")</f>
        <v/>
      </c>
      <c r="D261" t="str">
        <f>IFERROR(VLOOKUP(发货清单!A261,数据库!A:C,3,0),"")</f>
        <v/>
      </c>
      <c r="E261">
        <f>发货清单!M261</f>
        <v>0</v>
      </c>
      <c r="F261">
        <f>发货清单!U261</f>
        <v>0</v>
      </c>
      <c r="G261" t="str">
        <f>IFERROR(VLOOKUP(发货清单!A261,数据库!A:B,2,0),"")</f>
        <v/>
      </c>
      <c r="H261">
        <f>发货清单!N261</f>
        <v>0</v>
      </c>
      <c r="I261" t="str">
        <f t="shared" si="36"/>
        <v/>
      </c>
      <c r="J261" t="str">
        <f t="shared" si="37"/>
        <v xml:space="preserve"> </v>
      </c>
      <c r="K261" t="str">
        <f t="shared" si="38"/>
        <v/>
      </c>
      <c r="L261" t="str">
        <f t="shared" si="39"/>
        <v/>
      </c>
      <c r="N261" s="245">
        <f t="shared" si="40"/>
        <v>0</v>
      </c>
      <c r="O261" s="245">
        <f t="shared" si="41"/>
        <v>0</v>
      </c>
      <c r="P261" t="str">
        <f t="shared" si="42"/>
        <v/>
      </c>
      <c r="Q261" t="str">
        <f>IFERROR(VLOOKUP(P261,数据库!C:M,11,0),"")</f>
        <v/>
      </c>
      <c r="R261" t="str">
        <f t="shared" si="43"/>
        <v/>
      </c>
      <c r="S261">
        <f t="shared" si="44"/>
        <v>0</v>
      </c>
    </row>
    <row r="262" spans="1:19">
      <c r="A262" t="str">
        <f>IF(B262=0,"",发货清单!A262*10^6+COUNTIF($D$2:D262,D262)*10^3+ROW(A261))</f>
        <v/>
      </c>
      <c r="B262">
        <f>IFERROR(LEFT(发货清单!H262,SEARCH("-",发货清单!H262)-1),发货清单!H262)</f>
        <v>0</v>
      </c>
      <c r="C262" t="str">
        <f>IFERROR(VLOOKUP(发货清单!A262,数据库!A:D,4,0),"")</f>
        <v/>
      </c>
      <c r="D262" t="str">
        <f>IFERROR(VLOOKUP(发货清单!A262,数据库!A:C,3,0),"")</f>
        <v/>
      </c>
      <c r="E262">
        <f>发货清单!M262</f>
        <v>0</v>
      </c>
      <c r="F262">
        <f>发货清单!U262</f>
        <v>0</v>
      </c>
      <c r="G262" t="str">
        <f>IFERROR(VLOOKUP(发货清单!A262,数据库!A:B,2,0),"")</f>
        <v/>
      </c>
      <c r="H262">
        <f>发货清单!N262</f>
        <v>0</v>
      </c>
      <c r="I262" t="str">
        <f t="shared" si="36"/>
        <v/>
      </c>
      <c r="J262" t="str">
        <f t="shared" si="37"/>
        <v xml:space="preserve"> </v>
      </c>
      <c r="K262" t="str">
        <f t="shared" si="38"/>
        <v/>
      </c>
      <c r="L262" t="str">
        <f t="shared" si="39"/>
        <v/>
      </c>
      <c r="N262" s="245">
        <f t="shared" si="40"/>
        <v>0</v>
      </c>
      <c r="O262" s="245">
        <f t="shared" si="41"/>
        <v>0</v>
      </c>
      <c r="P262" t="str">
        <f t="shared" si="42"/>
        <v/>
      </c>
      <c r="Q262" t="str">
        <f>IFERROR(VLOOKUP(P262,数据库!C:M,11,0),"")</f>
        <v/>
      </c>
      <c r="R262" t="str">
        <f t="shared" si="43"/>
        <v/>
      </c>
      <c r="S262">
        <f t="shared" si="44"/>
        <v>0</v>
      </c>
    </row>
    <row r="263" spans="1:19">
      <c r="A263" t="str">
        <f>IF(B263=0,"",发货清单!A263*10^6+COUNTIF($D$2:D263,D263)*10^3+ROW(A262))</f>
        <v/>
      </c>
      <c r="B263">
        <f>IFERROR(LEFT(发货清单!H263,SEARCH("-",发货清单!H263)-1),发货清单!H263)</f>
        <v>0</v>
      </c>
      <c r="C263" t="str">
        <f>IFERROR(VLOOKUP(发货清单!A263,数据库!A:D,4,0),"")</f>
        <v/>
      </c>
      <c r="D263" t="str">
        <f>IFERROR(VLOOKUP(发货清单!A263,数据库!A:C,3,0),"")</f>
        <v/>
      </c>
      <c r="E263">
        <f>发货清单!M263</f>
        <v>0</v>
      </c>
      <c r="F263">
        <f>发货清单!U263</f>
        <v>0</v>
      </c>
      <c r="G263" t="str">
        <f>IFERROR(VLOOKUP(发货清单!A263,数据库!A:B,2,0),"")</f>
        <v/>
      </c>
      <c r="H263">
        <f>发货清单!N263</f>
        <v>0</v>
      </c>
      <c r="I263" t="str">
        <f t="shared" si="36"/>
        <v/>
      </c>
      <c r="J263" t="str">
        <f t="shared" si="37"/>
        <v xml:space="preserve"> </v>
      </c>
      <c r="K263" t="str">
        <f t="shared" si="38"/>
        <v/>
      </c>
      <c r="L263" t="str">
        <f t="shared" si="39"/>
        <v/>
      </c>
      <c r="N263" s="245">
        <f t="shared" si="40"/>
        <v>0</v>
      </c>
      <c r="O263" s="245">
        <f t="shared" si="41"/>
        <v>0</v>
      </c>
      <c r="P263" t="str">
        <f t="shared" si="42"/>
        <v/>
      </c>
      <c r="Q263" t="str">
        <f>IFERROR(VLOOKUP(P263,数据库!C:M,11,0),"")</f>
        <v/>
      </c>
      <c r="R263" t="str">
        <f t="shared" si="43"/>
        <v/>
      </c>
      <c r="S263">
        <f t="shared" si="44"/>
        <v>0</v>
      </c>
    </row>
    <row r="264" spans="1:19">
      <c r="A264" t="str">
        <f>IF(B264=0,"",发货清单!A264*10^6+COUNTIF($D$2:D264,D264)*10^3+ROW(A263))</f>
        <v/>
      </c>
      <c r="B264">
        <f>IFERROR(LEFT(发货清单!H264,SEARCH("-",发货清单!H264)-1),发货清单!H264)</f>
        <v>0</v>
      </c>
      <c r="C264" t="str">
        <f>IFERROR(VLOOKUP(发货清单!A264,数据库!A:D,4,0),"")</f>
        <v/>
      </c>
      <c r="D264" t="str">
        <f>IFERROR(VLOOKUP(发货清单!A264,数据库!A:C,3,0),"")</f>
        <v/>
      </c>
      <c r="E264">
        <f>发货清单!M264</f>
        <v>0</v>
      </c>
      <c r="F264">
        <f>发货清单!U264</f>
        <v>0</v>
      </c>
      <c r="G264" t="str">
        <f>IFERROR(VLOOKUP(发货清单!A264,数据库!A:B,2,0),"")</f>
        <v/>
      </c>
      <c r="H264">
        <f>发货清单!N264</f>
        <v>0</v>
      </c>
      <c r="I264" t="str">
        <f t="shared" si="36"/>
        <v/>
      </c>
      <c r="J264" t="str">
        <f t="shared" si="37"/>
        <v xml:space="preserve"> </v>
      </c>
      <c r="K264" t="str">
        <f t="shared" si="38"/>
        <v/>
      </c>
      <c r="L264" t="str">
        <f t="shared" si="39"/>
        <v/>
      </c>
      <c r="N264" s="245">
        <f t="shared" si="40"/>
        <v>0</v>
      </c>
      <c r="O264" s="245">
        <f t="shared" si="41"/>
        <v>0</v>
      </c>
      <c r="P264" t="str">
        <f t="shared" si="42"/>
        <v/>
      </c>
      <c r="Q264" t="str">
        <f>IFERROR(VLOOKUP(P264,数据库!C:M,11,0),"")</f>
        <v/>
      </c>
      <c r="R264" t="str">
        <f t="shared" si="43"/>
        <v/>
      </c>
      <c r="S264">
        <f t="shared" si="44"/>
        <v>0</v>
      </c>
    </row>
    <row r="265" spans="1:19">
      <c r="A265" t="str">
        <f>IF(B265=0,"",发货清单!A265*10^6+COUNTIF($D$2:D265,D265)*10^3+ROW(A264))</f>
        <v/>
      </c>
      <c r="B265">
        <f>IFERROR(LEFT(发货清单!H265,SEARCH("-",发货清单!H265)-1),发货清单!H265)</f>
        <v>0</v>
      </c>
      <c r="C265" t="str">
        <f>IFERROR(VLOOKUP(发货清单!A265,数据库!A:D,4,0),"")</f>
        <v/>
      </c>
      <c r="D265" t="str">
        <f>IFERROR(VLOOKUP(发货清单!A265,数据库!A:C,3,0),"")</f>
        <v/>
      </c>
      <c r="E265">
        <f>发货清单!M265</f>
        <v>0</v>
      </c>
      <c r="F265">
        <f>发货清单!U265</f>
        <v>0</v>
      </c>
      <c r="G265" t="str">
        <f>IFERROR(VLOOKUP(发货清单!A265,数据库!A:B,2,0),"")</f>
        <v/>
      </c>
      <c r="H265">
        <f>发货清单!N265</f>
        <v>0</v>
      </c>
      <c r="I265" t="str">
        <f t="shared" si="36"/>
        <v/>
      </c>
      <c r="J265" t="str">
        <f t="shared" si="37"/>
        <v xml:space="preserve"> </v>
      </c>
      <c r="K265" t="str">
        <f t="shared" si="38"/>
        <v/>
      </c>
      <c r="L265" t="str">
        <f t="shared" si="39"/>
        <v/>
      </c>
      <c r="N265" s="245">
        <f t="shared" si="40"/>
        <v>0</v>
      </c>
      <c r="O265" s="245">
        <f t="shared" si="41"/>
        <v>0</v>
      </c>
      <c r="P265" t="str">
        <f t="shared" si="42"/>
        <v/>
      </c>
      <c r="Q265" t="str">
        <f>IFERROR(VLOOKUP(P265,数据库!C:M,11,0),"")</f>
        <v/>
      </c>
      <c r="R265" t="str">
        <f t="shared" si="43"/>
        <v/>
      </c>
      <c r="S265">
        <f t="shared" si="44"/>
        <v>0</v>
      </c>
    </row>
    <row r="266" spans="1:19">
      <c r="A266" t="str">
        <f>IF(B266=0,"",发货清单!A266*10^6+COUNTIF($D$2:D266,D266)*10^3+ROW(A265))</f>
        <v/>
      </c>
      <c r="B266">
        <f>IFERROR(LEFT(发货清单!H266,SEARCH("-",发货清单!H266)-1),发货清单!H266)</f>
        <v>0</v>
      </c>
      <c r="C266" t="str">
        <f>IFERROR(VLOOKUP(发货清单!A266,数据库!A:D,4,0),"")</f>
        <v/>
      </c>
      <c r="D266" t="str">
        <f>IFERROR(VLOOKUP(发货清单!A266,数据库!A:C,3,0),"")</f>
        <v/>
      </c>
      <c r="E266">
        <f>发货清单!M266</f>
        <v>0</v>
      </c>
      <c r="F266">
        <f>发货清单!U266</f>
        <v>0</v>
      </c>
      <c r="G266" t="str">
        <f>IFERROR(VLOOKUP(发货清单!A266,数据库!A:B,2,0),"")</f>
        <v/>
      </c>
      <c r="H266">
        <f>发货清单!N266</f>
        <v>0</v>
      </c>
      <c r="I266" t="str">
        <f t="shared" si="36"/>
        <v/>
      </c>
      <c r="J266" t="str">
        <f t="shared" si="37"/>
        <v xml:space="preserve"> </v>
      </c>
      <c r="K266" t="str">
        <f t="shared" si="38"/>
        <v/>
      </c>
      <c r="L266" t="str">
        <f t="shared" si="39"/>
        <v/>
      </c>
      <c r="N266" s="245">
        <f t="shared" si="40"/>
        <v>0</v>
      </c>
      <c r="O266" s="245">
        <f t="shared" si="41"/>
        <v>0</v>
      </c>
      <c r="P266" t="str">
        <f t="shared" si="42"/>
        <v/>
      </c>
      <c r="Q266" t="str">
        <f>IFERROR(VLOOKUP(P266,数据库!C:M,11,0),"")</f>
        <v/>
      </c>
      <c r="R266" t="str">
        <f t="shared" si="43"/>
        <v/>
      </c>
      <c r="S266">
        <f t="shared" si="44"/>
        <v>0</v>
      </c>
    </row>
    <row r="267" spans="1:19">
      <c r="A267" t="str">
        <f>IF(B267=0,"",发货清单!A267*10^6+COUNTIF($D$2:D267,D267)*10^3+ROW(A266))</f>
        <v/>
      </c>
      <c r="B267">
        <f>IFERROR(LEFT(发货清单!H267,SEARCH("-",发货清单!H267)-1),发货清单!H267)</f>
        <v>0</v>
      </c>
      <c r="C267" t="str">
        <f>IFERROR(VLOOKUP(发货清单!A267,数据库!A:D,4,0),"")</f>
        <v/>
      </c>
      <c r="D267" t="str">
        <f>IFERROR(VLOOKUP(发货清单!A267,数据库!A:C,3,0),"")</f>
        <v/>
      </c>
      <c r="E267">
        <f>发货清单!M267</f>
        <v>0</v>
      </c>
      <c r="F267">
        <f>发货清单!U267</f>
        <v>0</v>
      </c>
      <c r="G267" t="str">
        <f>IFERROR(VLOOKUP(发货清单!A267,数据库!A:B,2,0),"")</f>
        <v/>
      </c>
      <c r="H267">
        <f>发货清单!N267</f>
        <v>0</v>
      </c>
      <c r="I267" t="str">
        <f t="shared" si="36"/>
        <v/>
      </c>
      <c r="J267" t="str">
        <f t="shared" si="37"/>
        <v xml:space="preserve"> </v>
      </c>
      <c r="K267" t="str">
        <f t="shared" si="38"/>
        <v/>
      </c>
      <c r="L267" t="str">
        <f t="shared" si="39"/>
        <v/>
      </c>
      <c r="N267" s="245">
        <f t="shared" si="40"/>
        <v>0</v>
      </c>
      <c r="O267" s="245">
        <f t="shared" si="41"/>
        <v>0</v>
      </c>
      <c r="P267" t="str">
        <f t="shared" si="42"/>
        <v/>
      </c>
      <c r="Q267" t="str">
        <f>IFERROR(VLOOKUP(P267,数据库!C:M,11,0),"")</f>
        <v/>
      </c>
      <c r="R267" t="str">
        <f t="shared" si="43"/>
        <v/>
      </c>
      <c r="S267">
        <f t="shared" si="44"/>
        <v>0</v>
      </c>
    </row>
    <row r="268" spans="1:19">
      <c r="A268" t="str">
        <f>IF(B268=0,"",发货清单!A268*10^6+COUNTIF($D$2:D268,D268)*10^3+ROW(A267))</f>
        <v/>
      </c>
      <c r="B268">
        <f>IFERROR(LEFT(发货清单!H268,SEARCH("-",发货清单!H268)-1),发货清单!H268)</f>
        <v>0</v>
      </c>
      <c r="C268" t="str">
        <f>IFERROR(VLOOKUP(发货清单!A268,数据库!A:D,4,0),"")</f>
        <v/>
      </c>
      <c r="D268" t="str">
        <f>IFERROR(VLOOKUP(发货清单!A268,数据库!A:C,3,0),"")</f>
        <v/>
      </c>
      <c r="E268">
        <f>发货清单!M268</f>
        <v>0</v>
      </c>
      <c r="F268">
        <f>发货清单!U268</f>
        <v>0</v>
      </c>
      <c r="G268" t="str">
        <f>IFERROR(VLOOKUP(发货清单!A268,数据库!A:B,2,0),"")</f>
        <v/>
      </c>
      <c r="H268">
        <f>发货清单!N268</f>
        <v>0</v>
      </c>
      <c r="I268" t="str">
        <f t="shared" si="36"/>
        <v/>
      </c>
      <c r="J268" t="str">
        <f t="shared" si="37"/>
        <v xml:space="preserve"> </v>
      </c>
      <c r="K268" t="str">
        <f t="shared" si="38"/>
        <v/>
      </c>
      <c r="L268" t="str">
        <f t="shared" si="39"/>
        <v/>
      </c>
      <c r="N268" s="245">
        <f t="shared" si="40"/>
        <v>0</v>
      </c>
      <c r="O268" s="245">
        <f t="shared" si="41"/>
        <v>0</v>
      </c>
      <c r="P268" t="str">
        <f t="shared" si="42"/>
        <v/>
      </c>
      <c r="Q268" t="str">
        <f>IFERROR(VLOOKUP(P268,数据库!C:M,11,0),"")</f>
        <v/>
      </c>
      <c r="R268" t="str">
        <f t="shared" si="43"/>
        <v/>
      </c>
      <c r="S268">
        <f t="shared" si="44"/>
        <v>0</v>
      </c>
    </row>
    <row r="269" spans="1:19">
      <c r="A269" t="str">
        <f>IF(B269=0,"",发货清单!A269*10^6+COUNTIF($D$2:D269,D269)*10^3+ROW(A268))</f>
        <v/>
      </c>
      <c r="B269">
        <f>IFERROR(LEFT(发货清单!H269,SEARCH("-",发货清单!H269)-1),发货清单!H269)</f>
        <v>0</v>
      </c>
      <c r="C269" t="str">
        <f>IFERROR(VLOOKUP(发货清单!A269,数据库!A:D,4,0),"")</f>
        <v/>
      </c>
      <c r="D269" t="str">
        <f>IFERROR(VLOOKUP(发货清单!A269,数据库!A:C,3,0),"")</f>
        <v/>
      </c>
      <c r="E269">
        <f>发货清单!M269</f>
        <v>0</v>
      </c>
      <c r="F269">
        <f>发货清单!U269</f>
        <v>0</v>
      </c>
      <c r="G269" t="str">
        <f>IFERROR(VLOOKUP(发货清单!A269,数据库!A:B,2,0),"")</f>
        <v/>
      </c>
      <c r="H269">
        <f>发货清单!N269</f>
        <v>0</v>
      </c>
      <c r="I269" t="str">
        <f t="shared" si="36"/>
        <v/>
      </c>
      <c r="J269" t="str">
        <f t="shared" si="37"/>
        <v xml:space="preserve"> </v>
      </c>
      <c r="K269" t="str">
        <f t="shared" si="38"/>
        <v/>
      </c>
      <c r="L269" t="str">
        <f t="shared" si="39"/>
        <v/>
      </c>
      <c r="N269" s="245">
        <f t="shared" si="40"/>
        <v>0</v>
      </c>
      <c r="O269" s="245">
        <f t="shared" si="41"/>
        <v>0</v>
      </c>
      <c r="P269" t="str">
        <f t="shared" si="42"/>
        <v/>
      </c>
      <c r="Q269" t="str">
        <f>IFERROR(VLOOKUP(P269,数据库!C:M,11,0),"")</f>
        <v/>
      </c>
      <c r="R269" t="str">
        <f t="shared" si="43"/>
        <v/>
      </c>
      <c r="S269">
        <f t="shared" si="44"/>
        <v>0</v>
      </c>
    </row>
    <row r="270" spans="1:19">
      <c r="A270" t="str">
        <f>IF(B270=0,"",发货清单!A270*10^6+COUNTIF($D$2:D270,D270)*10^3+ROW(A269))</f>
        <v/>
      </c>
      <c r="B270">
        <f>IFERROR(LEFT(发货清单!H270,SEARCH("-",发货清单!H270)-1),发货清单!H270)</f>
        <v>0</v>
      </c>
      <c r="C270" t="str">
        <f>IFERROR(VLOOKUP(发货清单!A270,数据库!A:D,4,0),"")</f>
        <v/>
      </c>
      <c r="D270" t="str">
        <f>IFERROR(VLOOKUP(发货清单!A270,数据库!A:C,3,0),"")</f>
        <v/>
      </c>
      <c r="E270">
        <f>发货清单!M270</f>
        <v>0</v>
      </c>
      <c r="F270">
        <f>发货清单!U270</f>
        <v>0</v>
      </c>
      <c r="G270" t="str">
        <f>IFERROR(VLOOKUP(发货清单!A270,数据库!A:B,2,0),"")</f>
        <v/>
      </c>
      <c r="H270">
        <f>发货清单!N270</f>
        <v>0</v>
      </c>
      <c r="I270" t="str">
        <f t="shared" si="36"/>
        <v/>
      </c>
      <c r="J270" t="str">
        <f t="shared" si="37"/>
        <v xml:space="preserve"> </v>
      </c>
      <c r="K270" t="str">
        <f t="shared" si="38"/>
        <v/>
      </c>
      <c r="L270" t="str">
        <f t="shared" si="39"/>
        <v/>
      </c>
      <c r="N270" s="245">
        <f t="shared" si="40"/>
        <v>0</v>
      </c>
      <c r="O270" s="245">
        <f t="shared" si="41"/>
        <v>0</v>
      </c>
      <c r="P270" t="str">
        <f t="shared" si="42"/>
        <v/>
      </c>
      <c r="Q270" t="str">
        <f>IFERROR(VLOOKUP(P270,数据库!C:M,11,0),"")</f>
        <v/>
      </c>
      <c r="R270" t="str">
        <f t="shared" si="43"/>
        <v/>
      </c>
      <c r="S270">
        <f t="shared" si="44"/>
        <v>0</v>
      </c>
    </row>
    <row r="271" spans="1:19">
      <c r="A271" t="str">
        <f>IF(B271=0,"",发货清单!A271*10^6+COUNTIF($D$2:D271,D271)*10^3+ROW(A270))</f>
        <v/>
      </c>
      <c r="B271">
        <f>IFERROR(LEFT(发货清单!H271,SEARCH("-",发货清单!H271)-1),发货清单!H271)</f>
        <v>0</v>
      </c>
      <c r="C271" t="str">
        <f>IFERROR(VLOOKUP(发货清单!A271,数据库!A:D,4,0),"")</f>
        <v/>
      </c>
      <c r="D271" t="str">
        <f>IFERROR(VLOOKUP(发货清单!A271,数据库!A:C,3,0),"")</f>
        <v/>
      </c>
      <c r="E271">
        <f>发货清单!M271</f>
        <v>0</v>
      </c>
      <c r="F271">
        <f>发货清单!U271</f>
        <v>0</v>
      </c>
      <c r="G271" t="str">
        <f>IFERROR(VLOOKUP(发货清单!A271,数据库!A:B,2,0),"")</f>
        <v/>
      </c>
      <c r="H271">
        <f>发货清单!N271</f>
        <v>0</v>
      </c>
      <c r="I271" t="str">
        <f t="shared" si="36"/>
        <v/>
      </c>
      <c r="J271" t="str">
        <f t="shared" si="37"/>
        <v xml:space="preserve"> </v>
      </c>
      <c r="K271" t="str">
        <f t="shared" si="38"/>
        <v/>
      </c>
      <c r="L271" t="str">
        <f t="shared" si="39"/>
        <v/>
      </c>
      <c r="N271" s="245">
        <f t="shared" si="40"/>
        <v>0</v>
      </c>
      <c r="O271" s="245">
        <f t="shared" si="41"/>
        <v>0</v>
      </c>
      <c r="P271" t="str">
        <f t="shared" si="42"/>
        <v/>
      </c>
      <c r="Q271" t="str">
        <f>IFERROR(VLOOKUP(P271,数据库!C:M,11,0),"")</f>
        <v/>
      </c>
      <c r="R271" t="str">
        <f t="shared" si="43"/>
        <v/>
      </c>
      <c r="S271">
        <f t="shared" si="44"/>
        <v>0</v>
      </c>
    </row>
    <row r="272" spans="1:19">
      <c r="A272" t="str">
        <f>IF(B272=0,"",发货清单!A272*10^6+COUNTIF($D$2:D272,D272)*10^3+ROW(A271))</f>
        <v/>
      </c>
      <c r="B272">
        <f>IFERROR(LEFT(发货清单!H272,SEARCH("-",发货清单!H272)-1),发货清单!H272)</f>
        <v>0</v>
      </c>
      <c r="C272" t="str">
        <f>IFERROR(VLOOKUP(发货清单!A272,数据库!A:D,4,0),"")</f>
        <v/>
      </c>
      <c r="D272" t="str">
        <f>IFERROR(VLOOKUP(发货清单!A272,数据库!A:C,3,0),"")</f>
        <v/>
      </c>
      <c r="E272">
        <f>发货清单!M272</f>
        <v>0</v>
      </c>
      <c r="F272">
        <f>发货清单!U272</f>
        <v>0</v>
      </c>
      <c r="G272" t="str">
        <f>IFERROR(VLOOKUP(发货清单!A272,数据库!A:B,2,0),"")</f>
        <v/>
      </c>
      <c r="H272">
        <f>发货清单!N272</f>
        <v>0</v>
      </c>
      <c r="I272" t="str">
        <f t="shared" si="36"/>
        <v/>
      </c>
      <c r="J272" t="str">
        <f t="shared" si="37"/>
        <v xml:space="preserve"> </v>
      </c>
      <c r="K272" t="str">
        <f t="shared" si="38"/>
        <v/>
      </c>
      <c r="L272" t="str">
        <f t="shared" si="39"/>
        <v/>
      </c>
      <c r="N272" s="245">
        <f t="shared" si="40"/>
        <v>0</v>
      </c>
      <c r="O272" s="245">
        <f t="shared" si="41"/>
        <v>0</v>
      </c>
      <c r="P272" t="str">
        <f t="shared" si="42"/>
        <v/>
      </c>
      <c r="Q272" t="str">
        <f>IFERROR(VLOOKUP(P272,数据库!C:M,11,0),"")</f>
        <v/>
      </c>
      <c r="R272" t="str">
        <f t="shared" si="43"/>
        <v/>
      </c>
      <c r="S272">
        <f t="shared" si="44"/>
        <v>0</v>
      </c>
    </row>
    <row r="273" spans="1:19">
      <c r="A273" t="str">
        <f>IF(B273=0,"",发货清单!A273*10^6+COUNTIF($D$2:D273,D273)*10^3+ROW(A272))</f>
        <v/>
      </c>
      <c r="B273">
        <f>IFERROR(LEFT(发货清单!H273,SEARCH("-",发货清单!H273)-1),发货清单!H273)</f>
        <v>0</v>
      </c>
      <c r="C273" t="str">
        <f>IFERROR(VLOOKUP(发货清单!A273,数据库!A:D,4,0),"")</f>
        <v/>
      </c>
      <c r="D273" t="str">
        <f>IFERROR(VLOOKUP(发货清单!A273,数据库!A:C,3,0),"")</f>
        <v/>
      </c>
      <c r="E273">
        <f>发货清单!M273</f>
        <v>0</v>
      </c>
      <c r="F273">
        <f>发货清单!U273</f>
        <v>0</v>
      </c>
      <c r="G273" t="str">
        <f>IFERROR(VLOOKUP(发货清单!A273,数据库!A:B,2,0),"")</f>
        <v/>
      </c>
      <c r="H273">
        <f>发货清单!N273</f>
        <v>0</v>
      </c>
      <c r="I273" t="str">
        <f t="shared" si="36"/>
        <v/>
      </c>
      <c r="J273" t="str">
        <f t="shared" si="37"/>
        <v xml:space="preserve"> </v>
      </c>
      <c r="K273" t="str">
        <f t="shared" si="38"/>
        <v/>
      </c>
      <c r="L273" t="str">
        <f t="shared" si="39"/>
        <v/>
      </c>
      <c r="N273" s="245">
        <f t="shared" si="40"/>
        <v>0</v>
      </c>
      <c r="O273" s="245">
        <f t="shared" si="41"/>
        <v>0</v>
      </c>
      <c r="P273" t="str">
        <f t="shared" si="42"/>
        <v/>
      </c>
      <c r="Q273" t="str">
        <f>IFERROR(VLOOKUP(P273,数据库!C:M,11,0),"")</f>
        <v/>
      </c>
      <c r="R273" t="str">
        <f t="shared" si="43"/>
        <v/>
      </c>
      <c r="S273">
        <f t="shared" si="44"/>
        <v>0</v>
      </c>
    </row>
    <row r="274" spans="1:19">
      <c r="A274" t="str">
        <f>IF(B274=0,"",发货清单!A274*10^6+COUNTIF($D$2:D274,D274)*10^3+ROW(A273))</f>
        <v/>
      </c>
      <c r="B274">
        <f>IFERROR(LEFT(发货清单!H274,SEARCH("-",发货清单!H274)-1),发货清单!H274)</f>
        <v>0</v>
      </c>
      <c r="C274" t="str">
        <f>IFERROR(VLOOKUP(发货清单!A274,数据库!A:D,4,0),"")</f>
        <v/>
      </c>
      <c r="D274" t="str">
        <f>IFERROR(VLOOKUP(发货清单!A274,数据库!A:C,3,0),"")</f>
        <v/>
      </c>
      <c r="E274">
        <f>发货清单!M274</f>
        <v>0</v>
      </c>
      <c r="F274">
        <f>发货清单!U274</f>
        <v>0</v>
      </c>
      <c r="G274" t="str">
        <f>IFERROR(VLOOKUP(发货清单!A274,数据库!A:B,2,0),"")</f>
        <v/>
      </c>
      <c r="H274">
        <f>发货清单!N274</f>
        <v>0</v>
      </c>
      <c r="I274" t="str">
        <f t="shared" si="36"/>
        <v/>
      </c>
      <c r="J274" t="str">
        <f t="shared" si="37"/>
        <v xml:space="preserve"> </v>
      </c>
      <c r="K274" t="str">
        <f t="shared" si="38"/>
        <v/>
      </c>
      <c r="L274" t="str">
        <f t="shared" si="39"/>
        <v/>
      </c>
      <c r="N274" s="245">
        <f t="shared" si="40"/>
        <v>0</v>
      </c>
      <c r="O274" s="245">
        <f t="shared" si="41"/>
        <v>0</v>
      </c>
      <c r="P274" t="str">
        <f t="shared" si="42"/>
        <v/>
      </c>
      <c r="Q274" t="str">
        <f>IFERROR(VLOOKUP(P274,数据库!C:M,11,0),"")</f>
        <v/>
      </c>
      <c r="R274" t="str">
        <f t="shared" si="43"/>
        <v/>
      </c>
      <c r="S274">
        <f t="shared" si="44"/>
        <v>0</v>
      </c>
    </row>
    <row r="275" spans="1:19">
      <c r="A275" t="str">
        <f>IF(B275=0,"",发货清单!A275*10^6+COUNTIF($D$2:D275,D275)*10^3+ROW(A274))</f>
        <v/>
      </c>
      <c r="B275">
        <f>IFERROR(LEFT(发货清单!H275,SEARCH("-",发货清单!H275)-1),发货清单!H275)</f>
        <v>0</v>
      </c>
      <c r="C275" t="str">
        <f>IFERROR(VLOOKUP(发货清单!A275,数据库!A:D,4,0),"")</f>
        <v/>
      </c>
      <c r="D275" t="str">
        <f>IFERROR(VLOOKUP(发货清单!A275,数据库!A:C,3,0),"")</f>
        <v/>
      </c>
      <c r="E275">
        <f>发货清单!M275</f>
        <v>0</v>
      </c>
      <c r="F275">
        <f>发货清单!U275</f>
        <v>0</v>
      </c>
      <c r="G275" t="str">
        <f>IFERROR(VLOOKUP(发货清单!A275,数据库!A:B,2,0),"")</f>
        <v/>
      </c>
      <c r="H275">
        <f>发货清单!N275</f>
        <v>0</v>
      </c>
      <c r="I275" t="str">
        <f t="shared" si="36"/>
        <v/>
      </c>
      <c r="J275" t="str">
        <f t="shared" si="37"/>
        <v xml:space="preserve"> </v>
      </c>
      <c r="K275" t="str">
        <f t="shared" si="38"/>
        <v/>
      </c>
      <c r="L275" t="str">
        <f t="shared" si="39"/>
        <v/>
      </c>
      <c r="N275" s="245">
        <f t="shared" si="40"/>
        <v>0</v>
      </c>
      <c r="O275" s="245">
        <f t="shared" si="41"/>
        <v>0</v>
      </c>
      <c r="P275" t="str">
        <f t="shared" si="42"/>
        <v/>
      </c>
      <c r="Q275" t="str">
        <f>IFERROR(VLOOKUP(P275,数据库!C:M,11,0),"")</f>
        <v/>
      </c>
      <c r="R275" t="str">
        <f t="shared" si="43"/>
        <v/>
      </c>
      <c r="S275">
        <f t="shared" si="44"/>
        <v>0</v>
      </c>
    </row>
    <row r="276" spans="1:19">
      <c r="A276" t="str">
        <f>IF(B276=0,"",发货清单!A276*10^6+COUNTIF($D$2:D276,D276)*10^3+ROW(A275))</f>
        <v/>
      </c>
      <c r="B276">
        <f>IFERROR(LEFT(发货清单!H276,SEARCH("-",发货清单!H276)-1),发货清单!H276)</f>
        <v>0</v>
      </c>
      <c r="C276" t="str">
        <f>IFERROR(VLOOKUP(发货清单!A276,数据库!A:D,4,0),"")</f>
        <v/>
      </c>
      <c r="D276" t="str">
        <f>IFERROR(VLOOKUP(发货清单!A276,数据库!A:C,3,0),"")</f>
        <v/>
      </c>
      <c r="E276">
        <f>发货清单!M276</f>
        <v>0</v>
      </c>
      <c r="F276">
        <f>发货清单!U276</f>
        <v>0</v>
      </c>
      <c r="G276" t="str">
        <f>IFERROR(VLOOKUP(发货清单!A276,数据库!A:B,2,0),"")</f>
        <v/>
      </c>
      <c r="H276">
        <f>发货清单!N276</f>
        <v>0</v>
      </c>
      <c r="I276" t="str">
        <f t="shared" si="36"/>
        <v/>
      </c>
      <c r="J276" t="str">
        <f t="shared" si="37"/>
        <v xml:space="preserve"> </v>
      </c>
      <c r="K276" t="str">
        <f t="shared" si="38"/>
        <v/>
      </c>
      <c r="L276" t="str">
        <f t="shared" si="39"/>
        <v/>
      </c>
      <c r="N276" s="245">
        <f t="shared" si="40"/>
        <v>0</v>
      </c>
      <c r="O276" s="245">
        <f t="shared" si="41"/>
        <v>0</v>
      </c>
      <c r="P276" t="str">
        <f t="shared" si="42"/>
        <v/>
      </c>
      <c r="Q276" t="str">
        <f>IFERROR(VLOOKUP(P276,数据库!C:M,11,0),"")</f>
        <v/>
      </c>
      <c r="R276" t="str">
        <f t="shared" si="43"/>
        <v/>
      </c>
      <c r="S276">
        <f t="shared" si="44"/>
        <v>0</v>
      </c>
    </row>
    <row r="277" spans="1:19">
      <c r="A277" t="str">
        <f>IF(B277=0,"",发货清单!A277*10^6+COUNTIF($D$2:D277,D277)*10^3+ROW(A276))</f>
        <v/>
      </c>
      <c r="B277">
        <f>IFERROR(LEFT(发货清单!H277,SEARCH("-",发货清单!H277)-1),发货清单!H277)</f>
        <v>0</v>
      </c>
      <c r="C277" t="str">
        <f>IFERROR(VLOOKUP(发货清单!A277,数据库!A:D,4,0),"")</f>
        <v/>
      </c>
      <c r="D277" t="str">
        <f>IFERROR(VLOOKUP(发货清单!A277,数据库!A:C,3,0),"")</f>
        <v/>
      </c>
      <c r="E277">
        <f>发货清单!M277</f>
        <v>0</v>
      </c>
      <c r="F277">
        <f>发货清单!U277</f>
        <v>0</v>
      </c>
      <c r="G277" t="str">
        <f>IFERROR(VLOOKUP(发货清单!A277,数据库!A:B,2,0),"")</f>
        <v/>
      </c>
      <c r="H277">
        <f>发货清单!N277</f>
        <v>0</v>
      </c>
      <c r="I277" t="str">
        <f t="shared" si="36"/>
        <v/>
      </c>
      <c r="J277" t="str">
        <f t="shared" si="37"/>
        <v xml:space="preserve"> </v>
      </c>
      <c r="K277" t="str">
        <f t="shared" si="38"/>
        <v/>
      </c>
      <c r="L277" t="str">
        <f t="shared" si="39"/>
        <v/>
      </c>
      <c r="N277" s="245">
        <f t="shared" si="40"/>
        <v>0</v>
      </c>
      <c r="O277" s="245">
        <f t="shared" si="41"/>
        <v>0</v>
      </c>
      <c r="P277" t="str">
        <f t="shared" si="42"/>
        <v/>
      </c>
      <c r="Q277" t="str">
        <f>IFERROR(VLOOKUP(P277,数据库!C:M,11,0),"")</f>
        <v/>
      </c>
      <c r="R277" t="str">
        <f t="shared" si="43"/>
        <v/>
      </c>
      <c r="S277">
        <f t="shared" si="44"/>
        <v>0</v>
      </c>
    </row>
    <row r="278" spans="1:19">
      <c r="A278" t="str">
        <f>IF(B278=0,"",发货清单!A278*10^6+COUNTIF($D$2:D278,D278)*10^3+ROW(A277))</f>
        <v/>
      </c>
      <c r="B278">
        <f>IFERROR(LEFT(发货清单!H278,SEARCH("-",发货清单!H278)-1),发货清单!H278)</f>
        <v>0</v>
      </c>
      <c r="C278" t="str">
        <f>IFERROR(VLOOKUP(发货清单!A278,数据库!A:D,4,0),"")</f>
        <v/>
      </c>
      <c r="D278" t="str">
        <f>IFERROR(VLOOKUP(发货清单!A278,数据库!A:C,3,0),"")</f>
        <v/>
      </c>
      <c r="E278">
        <f>发货清单!M278</f>
        <v>0</v>
      </c>
      <c r="F278">
        <f>发货清单!U278</f>
        <v>0</v>
      </c>
      <c r="G278" t="str">
        <f>IFERROR(VLOOKUP(发货清单!A278,数据库!A:B,2,0),"")</f>
        <v/>
      </c>
      <c r="H278">
        <f>发货清单!N278</f>
        <v>0</v>
      </c>
      <c r="I278" t="str">
        <f t="shared" si="36"/>
        <v/>
      </c>
      <c r="J278" t="str">
        <f t="shared" si="37"/>
        <v xml:space="preserve"> </v>
      </c>
      <c r="K278" t="str">
        <f t="shared" si="38"/>
        <v/>
      </c>
      <c r="L278" t="str">
        <f t="shared" si="39"/>
        <v/>
      </c>
      <c r="N278" s="245">
        <f t="shared" si="40"/>
        <v>0</v>
      </c>
      <c r="O278" s="245">
        <f t="shared" si="41"/>
        <v>0</v>
      </c>
      <c r="P278" t="str">
        <f t="shared" si="42"/>
        <v/>
      </c>
      <c r="Q278" t="str">
        <f>IFERROR(VLOOKUP(P278,数据库!C:M,11,0),"")</f>
        <v/>
      </c>
      <c r="R278" t="str">
        <f t="shared" si="43"/>
        <v/>
      </c>
      <c r="S278">
        <f t="shared" si="44"/>
        <v>0</v>
      </c>
    </row>
    <row r="279" spans="1:19">
      <c r="A279" t="str">
        <f>IF(B279=0,"",发货清单!A279*10^6+COUNTIF($D$2:D279,D279)*10^3+ROW(A278))</f>
        <v/>
      </c>
      <c r="B279">
        <f>IFERROR(LEFT(发货清单!H279,SEARCH("-",发货清单!H279)-1),发货清单!H279)</f>
        <v>0</v>
      </c>
      <c r="C279" t="str">
        <f>IFERROR(VLOOKUP(发货清单!A279,数据库!A:D,4,0),"")</f>
        <v/>
      </c>
      <c r="D279" t="str">
        <f>IFERROR(VLOOKUP(发货清单!A279,数据库!A:C,3,0),"")</f>
        <v/>
      </c>
      <c r="E279">
        <f>发货清单!M279</f>
        <v>0</v>
      </c>
      <c r="F279">
        <f>发货清单!U279</f>
        <v>0</v>
      </c>
      <c r="G279" t="str">
        <f>IFERROR(VLOOKUP(发货清单!A279,数据库!A:B,2,0),"")</f>
        <v/>
      </c>
      <c r="H279">
        <f>发货清单!N279</f>
        <v>0</v>
      </c>
      <c r="I279" t="str">
        <f t="shared" si="36"/>
        <v/>
      </c>
      <c r="J279" t="str">
        <f t="shared" si="37"/>
        <v xml:space="preserve"> </v>
      </c>
      <c r="K279" t="str">
        <f t="shared" si="38"/>
        <v/>
      </c>
      <c r="L279" t="str">
        <f t="shared" si="39"/>
        <v/>
      </c>
      <c r="N279" s="245">
        <f t="shared" si="40"/>
        <v>0</v>
      </c>
      <c r="O279" s="245">
        <f t="shared" si="41"/>
        <v>0</v>
      </c>
      <c r="P279" t="str">
        <f t="shared" si="42"/>
        <v/>
      </c>
      <c r="Q279" t="str">
        <f>IFERROR(VLOOKUP(P279,数据库!C:M,11,0),"")</f>
        <v/>
      </c>
      <c r="R279" t="str">
        <f t="shared" si="43"/>
        <v/>
      </c>
      <c r="S279">
        <f t="shared" si="44"/>
        <v>0</v>
      </c>
    </row>
    <row r="280" spans="1:19">
      <c r="A280" t="str">
        <f>IF(B280=0,"",发货清单!A280*10^6+COUNTIF($D$2:D280,D280)*10^3+ROW(A279))</f>
        <v/>
      </c>
      <c r="B280">
        <f>IFERROR(LEFT(发货清单!H280,SEARCH("-",发货清单!H280)-1),发货清单!H280)</f>
        <v>0</v>
      </c>
      <c r="C280" t="str">
        <f>IFERROR(VLOOKUP(发货清单!A280,数据库!A:D,4,0),"")</f>
        <v/>
      </c>
      <c r="D280" t="str">
        <f>IFERROR(VLOOKUP(发货清单!A280,数据库!A:C,3,0),"")</f>
        <v/>
      </c>
      <c r="E280">
        <f>发货清单!M280</f>
        <v>0</v>
      </c>
      <c r="F280">
        <f>发货清单!U280</f>
        <v>0</v>
      </c>
      <c r="G280" t="str">
        <f>IFERROR(VLOOKUP(发货清单!A280,数据库!A:B,2,0),"")</f>
        <v/>
      </c>
      <c r="H280">
        <f>发货清单!N280</f>
        <v>0</v>
      </c>
      <c r="I280" t="str">
        <f t="shared" si="36"/>
        <v/>
      </c>
      <c r="J280" t="str">
        <f t="shared" si="37"/>
        <v xml:space="preserve"> </v>
      </c>
      <c r="K280" t="str">
        <f t="shared" si="38"/>
        <v/>
      </c>
      <c r="L280" t="str">
        <f t="shared" si="39"/>
        <v/>
      </c>
      <c r="N280" s="245">
        <f t="shared" si="40"/>
        <v>0</v>
      </c>
      <c r="O280" s="245">
        <f t="shared" si="41"/>
        <v>0</v>
      </c>
      <c r="P280" t="str">
        <f t="shared" si="42"/>
        <v/>
      </c>
      <c r="Q280" t="str">
        <f>IFERROR(VLOOKUP(P280,数据库!C:M,11,0),"")</f>
        <v/>
      </c>
      <c r="R280" t="str">
        <f t="shared" si="43"/>
        <v/>
      </c>
      <c r="S280">
        <f t="shared" si="44"/>
        <v>0</v>
      </c>
    </row>
    <row r="281" spans="1:19">
      <c r="A281" t="str">
        <f>IF(B281=0,"",发货清单!A281*10^6+COUNTIF($D$2:D281,D281)*10^3+ROW(A280))</f>
        <v/>
      </c>
      <c r="B281">
        <f>IFERROR(LEFT(发货清单!H281,SEARCH("-",发货清单!H281)-1),发货清单!H281)</f>
        <v>0</v>
      </c>
      <c r="C281" t="str">
        <f>IFERROR(VLOOKUP(发货清单!A281,数据库!A:D,4,0),"")</f>
        <v/>
      </c>
      <c r="D281" t="str">
        <f>IFERROR(VLOOKUP(发货清单!A281,数据库!A:C,3,0),"")</f>
        <v/>
      </c>
      <c r="E281">
        <f>发货清单!M281</f>
        <v>0</v>
      </c>
      <c r="F281">
        <f>发货清单!U281</f>
        <v>0</v>
      </c>
      <c r="G281" t="str">
        <f>IFERROR(VLOOKUP(发货清单!A281,数据库!A:B,2,0),"")</f>
        <v/>
      </c>
      <c r="H281">
        <f>发货清单!N281</f>
        <v>0</v>
      </c>
      <c r="I281" t="str">
        <f t="shared" si="36"/>
        <v/>
      </c>
      <c r="J281" t="str">
        <f t="shared" si="37"/>
        <v xml:space="preserve"> </v>
      </c>
      <c r="K281" t="str">
        <f t="shared" si="38"/>
        <v/>
      </c>
      <c r="L281" t="str">
        <f t="shared" si="39"/>
        <v/>
      </c>
      <c r="N281" s="245">
        <f t="shared" si="40"/>
        <v>0</v>
      </c>
      <c r="O281" s="245">
        <f t="shared" si="41"/>
        <v>0</v>
      </c>
      <c r="P281" t="str">
        <f t="shared" si="42"/>
        <v/>
      </c>
      <c r="Q281" t="str">
        <f>IFERROR(VLOOKUP(P281,数据库!C:M,11,0),"")</f>
        <v/>
      </c>
      <c r="R281" t="str">
        <f t="shared" si="43"/>
        <v/>
      </c>
      <c r="S281">
        <f t="shared" si="44"/>
        <v>0</v>
      </c>
    </row>
    <row r="282" spans="1:19">
      <c r="A282" t="str">
        <f>IF(B282=0,"",发货清单!A282*10^6+COUNTIF($D$2:D282,D282)*10^3+ROW(A281))</f>
        <v/>
      </c>
      <c r="B282">
        <f>IFERROR(LEFT(发货清单!H282,SEARCH("-",发货清单!H282)-1),发货清单!H282)</f>
        <v>0</v>
      </c>
      <c r="C282" t="str">
        <f>IFERROR(VLOOKUP(发货清单!A282,数据库!A:D,4,0),"")</f>
        <v/>
      </c>
      <c r="D282" t="str">
        <f>IFERROR(VLOOKUP(发货清单!A282,数据库!A:C,3,0),"")</f>
        <v/>
      </c>
      <c r="E282">
        <f>发货清单!M282</f>
        <v>0</v>
      </c>
      <c r="F282">
        <f>发货清单!U282</f>
        <v>0</v>
      </c>
      <c r="G282" t="str">
        <f>IFERROR(VLOOKUP(发货清单!A282,数据库!A:B,2,0),"")</f>
        <v/>
      </c>
      <c r="H282">
        <f>发货清单!N282</f>
        <v>0</v>
      </c>
      <c r="I282" t="str">
        <f t="shared" si="36"/>
        <v/>
      </c>
      <c r="J282" t="str">
        <f t="shared" si="37"/>
        <v xml:space="preserve"> </v>
      </c>
      <c r="K282" t="str">
        <f t="shared" si="38"/>
        <v/>
      </c>
      <c r="L282" t="str">
        <f t="shared" si="39"/>
        <v/>
      </c>
      <c r="N282" s="245">
        <f t="shared" si="40"/>
        <v>0</v>
      </c>
      <c r="O282" s="245">
        <f t="shared" si="41"/>
        <v>0</v>
      </c>
      <c r="P282" t="str">
        <f t="shared" si="42"/>
        <v/>
      </c>
      <c r="Q282" t="str">
        <f>IFERROR(VLOOKUP(P282,数据库!C:M,11,0),"")</f>
        <v/>
      </c>
      <c r="R282" t="str">
        <f t="shared" si="43"/>
        <v/>
      </c>
      <c r="S282">
        <f t="shared" si="44"/>
        <v>0</v>
      </c>
    </row>
    <row r="283" spans="1:19">
      <c r="A283" t="str">
        <f>IF(B283=0,"",发货清单!A283*10^6+COUNTIF($D$2:D283,D283)*10^3+ROW(A282))</f>
        <v/>
      </c>
      <c r="B283">
        <f>IFERROR(LEFT(发货清单!H283,SEARCH("-",发货清单!H283)-1),发货清单!H283)</f>
        <v>0</v>
      </c>
      <c r="C283" t="str">
        <f>IFERROR(VLOOKUP(发货清单!A283,数据库!A:D,4,0),"")</f>
        <v/>
      </c>
      <c r="D283" t="str">
        <f>IFERROR(VLOOKUP(发货清单!A283,数据库!A:C,3,0),"")</f>
        <v/>
      </c>
      <c r="E283">
        <f>发货清单!M283</f>
        <v>0</v>
      </c>
      <c r="F283">
        <f>发货清单!U283</f>
        <v>0</v>
      </c>
      <c r="G283" t="str">
        <f>IFERROR(VLOOKUP(发货清单!A283,数据库!A:B,2,0),"")</f>
        <v/>
      </c>
      <c r="H283">
        <f>发货清单!N283</f>
        <v>0</v>
      </c>
      <c r="I283" t="str">
        <f t="shared" si="36"/>
        <v/>
      </c>
      <c r="J283" t="str">
        <f t="shared" si="37"/>
        <v xml:space="preserve"> </v>
      </c>
      <c r="K283" t="str">
        <f t="shared" si="38"/>
        <v/>
      </c>
      <c r="L283" t="str">
        <f t="shared" si="39"/>
        <v/>
      </c>
      <c r="N283" s="245">
        <f t="shared" si="40"/>
        <v>0</v>
      </c>
      <c r="O283" s="245">
        <f t="shared" si="41"/>
        <v>0</v>
      </c>
      <c r="P283" t="str">
        <f t="shared" si="42"/>
        <v/>
      </c>
      <c r="Q283" t="str">
        <f>IFERROR(VLOOKUP(P283,数据库!C:M,11,0),"")</f>
        <v/>
      </c>
      <c r="R283" t="str">
        <f t="shared" si="43"/>
        <v/>
      </c>
      <c r="S283">
        <f t="shared" si="44"/>
        <v>0</v>
      </c>
    </row>
    <row r="284" spans="1:19">
      <c r="A284" t="str">
        <f>IF(B284=0,"",发货清单!A284*10^6+COUNTIF($D$2:D284,D284)*10^3+ROW(A283))</f>
        <v/>
      </c>
      <c r="B284">
        <f>IFERROR(LEFT(发货清单!H284,SEARCH("-",发货清单!H284)-1),发货清单!H284)</f>
        <v>0</v>
      </c>
      <c r="C284" t="str">
        <f>IFERROR(VLOOKUP(发货清单!A284,数据库!A:D,4,0),"")</f>
        <v/>
      </c>
      <c r="D284" t="str">
        <f>IFERROR(VLOOKUP(发货清单!A284,数据库!A:C,3,0),"")</f>
        <v/>
      </c>
      <c r="E284">
        <f>发货清单!M284</f>
        <v>0</v>
      </c>
      <c r="F284">
        <f>发货清单!U284</f>
        <v>0</v>
      </c>
      <c r="G284" t="str">
        <f>IFERROR(VLOOKUP(发货清单!A284,数据库!A:B,2,0),"")</f>
        <v/>
      </c>
      <c r="H284">
        <f>发货清单!N284</f>
        <v>0</v>
      </c>
      <c r="I284" t="str">
        <f t="shared" si="36"/>
        <v/>
      </c>
      <c r="J284" t="str">
        <f t="shared" si="37"/>
        <v xml:space="preserve"> </v>
      </c>
      <c r="K284" t="str">
        <f t="shared" si="38"/>
        <v/>
      </c>
      <c r="L284" t="str">
        <f t="shared" si="39"/>
        <v/>
      </c>
      <c r="N284" s="245">
        <f t="shared" si="40"/>
        <v>0</v>
      </c>
      <c r="O284" s="245">
        <f t="shared" si="41"/>
        <v>0</v>
      </c>
      <c r="P284" t="str">
        <f t="shared" si="42"/>
        <v/>
      </c>
      <c r="Q284" t="str">
        <f>IFERROR(VLOOKUP(P284,数据库!C:M,11,0),"")</f>
        <v/>
      </c>
      <c r="R284" t="str">
        <f t="shared" si="43"/>
        <v/>
      </c>
      <c r="S284">
        <f t="shared" si="44"/>
        <v>0</v>
      </c>
    </row>
    <row r="285" spans="1:19">
      <c r="A285" t="str">
        <f>IF(B285=0,"",发货清单!A285*10^6+COUNTIF($D$2:D285,D285)*10^3+ROW(A284))</f>
        <v/>
      </c>
      <c r="B285">
        <f>IFERROR(LEFT(发货清单!H285,SEARCH("-",发货清单!H285)-1),发货清单!H285)</f>
        <v>0</v>
      </c>
      <c r="C285" t="str">
        <f>IFERROR(VLOOKUP(发货清单!A285,数据库!A:D,4,0),"")</f>
        <v/>
      </c>
      <c r="D285" t="str">
        <f>IFERROR(VLOOKUP(发货清单!A285,数据库!A:C,3,0),"")</f>
        <v/>
      </c>
      <c r="E285">
        <f>发货清单!M285</f>
        <v>0</v>
      </c>
      <c r="F285">
        <f>发货清单!U285</f>
        <v>0</v>
      </c>
      <c r="G285" t="str">
        <f>IFERROR(VLOOKUP(发货清单!A285,数据库!A:B,2,0),"")</f>
        <v/>
      </c>
      <c r="H285">
        <f>发货清单!N285</f>
        <v>0</v>
      </c>
      <c r="I285" t="str">
        <f t="shared" si="36"/>
        <v/>
      </c>
      <c r="J285" t="str">
        <f t="shared" si="37"/>
        <v xml:space="preserve"> </v>
      </c>
      <c r="K285" t="str">
        <f t="shared" si="38"/>
        <v/>
      </c>
      <c r="L285" t="str">
        <f t="shared" si="39"/>
        <v/>
      </c>
      <c r="N285" s="245">
        <f t="shared" si="40"/>
        <v>0</v>
      </c>
      <c r="O285" s="245">
        <f t="shared" si="41"/>
        <v>0</v>
      </c>
      <c r="P285" t="str">
        <f t="shared" si="42"/>
        <v/>
      </c>
      <c r="Q285" t="str">
        <f>IFERROR(VLOOKUP(P285,数据库!C:M,11,0),"")</f>
        <v/>
      </c>
      <c r="R285" t="str">
        <f t="shared" si="43"/>
        <v/>
      </c>
      <c r="S285">
        <f t="shared" si="44"/>
        <v>0</v>
      </c>
    </row>
    <row r="286" spans="1:19">
      <c r="A286" t="str">
        <f>IF(B286=0,"",发货清单!A286*10^6+COUNTIF($D$2:D286,D286)*10^3+ROW(A285))</f>
        <v/>
      </c>
      <c r="B286">
        <f>IFERROR(LEFT(发货清单!H286,SEARCH("-",发货清单!H286)-1),发货清单!H286)</f>
        <v>0</v>
      </c>
      <c r="C286" t="str">
        <f>IFERROR(VLOOKUP(发货清单!A286,数据库!A:D,4,0),"")</f>
        <v/>
      </c>
      <c r="D286" t="str">
        <f>IFERROR(VLOOKUP(发货清单!A286,数据库!A:C,3,0),"")</f>
        <v/>
      </c>
      <c r="E286">
        <f>发货清单!M286</f>
        <v>0</v>
      </c>
      <c r="F286">
        <f>发货清单!U286</f>
        <v>0</v>
      </c>
      <c r="G286" t="str">
        <f>IFERROR(VLOOKUP(发货清单!A286,数据库!A:B,2,0),"")</f>
        <v/>
      </c>
      <c r="H286">
        <f>发货清单!N286</f>
        <v>0</v>
      </c>
      <c r="I286" t="str">
        <f t="shared" si="36"/>
        <v/>
      </c>
      <c r="J286" t="str">
        <f t="shared" si="37"/>
        <v xml:space="preserve"> </v>
      </c>
      <c r="K286" t="str">
        <f t="shared" si="38"/>
        <v/>
      </c>
      <c r="L286" t="str">
        <f t="shared" si="39"/>
        <v/>
      </c>
      <c r="N286" s="245">
        <f t="shared" si="40"/>
        <v>0</v>
      </c>
      <c r="O286" s="245">
        <f t="shared" si="41"/>
        <v>0</v>
      </c>
      <c r="P286" t="str">
        <f t="shared" si="42"/>
        <v/>
      </c>
      <c r="Q286" t="str">
        <f>IFERROR(VLOOKUP(P286,数据库!C:M,11,0),"")</f>
        <v/>
      </c>
      <c r="R286" t="str">
        <f t="shared" si="43"/>
        <v/>
      </c>
      <c r="S286">
        <f t="shared" si="44"/>
        <v>0</v>
      </c>
    </row>
    <row r="287" spans="1:19">
      <c r="A287" t="str">
        <f>IF(B287=0,"",发货清单!A287*10^6+COUNTIF($D$2:D287,D287)*10^3+ROW(A286))</f>
        <v/>
      </c>
      <c r="B287">
        <f>IFERROR(LEFT(发货清单!H287,SEARCH("-",发货清单!H287)-1),发货清单!H287)</f>
        <v>0</v>
      </c>
      <c r="C287" t="str">
        <f>IFERROR(VLOOKUP(发货清单!A287,数据库!A:D,4,0),"")</f>
        <v/>
      </c>
      <c r="D287" t="str">
        <f>IFERROR(VLOOKUP(发货清单!A287,数据库!A:C,3,0),"")</f>
        <v/>
      </c>
      <c r="E287">
        <f>发货清单!M287</f>
        <v>0</v>
      </c>
      <c r="F287">
        <f>发货清单!U287</f>
        <v>0</v>
      </c>
      <c r="G287" t="str">
        <f>IFERROR(VLOOKUP(发货清单!A287,数据库!A:B,2,0),"")</f>
        <v/>
      </c>
      <c r="H287">
        <f>发货清单!N287</f>
        <v>0</v>
      </c>
      <c r="I287" t="str">
        <f t="shared" si="36"/>
        <v/>
      </c>
      <c r="J287" t="str">
        <f t="shared" si="37"/>
        <v xml:space="preserve"> </v>
      </c>
      <c r="K287" t="str">
        <f t="shared" si="38"/>
        <v/>
      </c>
      <c r="L287" t="str">
        <f t="shared" si="39"/>
        <v/>
      </c>
      <c r="N287" s="245">
        <f t="shared" si="40"/>
        <v>0</v>
      </c>
      <c r="O287" s="245">
        <f t="shared" si="41"/>
        <v>0</v>
      </c>
      <c r="P287" t="str">
        <f t="shared" si="42"/>
        <v/>
      </c>
      <c r="Q287" t="str">
        <f>IFERROR(VLOOKUP(P287,数据库!C:M,11,0),"")</f>
        <v/>
      </c>
      <c r="R287" t="str">
        <f t="shared" si="43"/>
        <v/>
      </c>
      <c r="S287">
        <f t="shared" si="44"/>
        <v>0</v>
      </c>
    </row>
    <row r="288" spans="1:19">
      <c r="A288" t="str">
        <f>IF(B288=0,"",发货清单!A288*10^6+COUNTIF($D$2:D288,D288)*10^3+ROW(A287))</f>
        <v/>
      </c>
      <c r="B288">
        <f>IFERROR(LEFT(发货清单!H288,SEARCH("-",发货清单!H288)-1),发货清单!H288)</f>
        <v>0</v>
      </c>
      <c r="C288" t="str">
        <f>IFERROR(VLOOKUP(发货清单!A288,数据库!A:D,4,0),"")</f>
        <v/>
      </c>
      <c r="D288" t="str">
        <f>IFERROR(VLOOKUP(发货清单!A288,数据库!A:C,3,0),"")</f>
        <v/>
      </c>
      <c r="E288">
        <f>发货清单!M288</f>
        <v>0</v>
      </c>
      <c r="F288">
        <f>发货清单!U288</f>
        <v>0</v>
      </c>
      <c r="G288" t="str">
        <f>IFERROR(VLOOKUP(发货清单!A288,数据库!A:B,2,0),"")</f>
        <v/>
      </c>
      <c r="H288">
        <f>发货清单!N288</f>
        <v>0</v>
      </c>
      <c r="I288" t="str">
        <f t="shared" si="36"/>
        <v/>
      </c>
      <c r="J288" t="str">
        <f t="shared" si="37"/>
        <v xml:space="preserve"> </v>
      </c>
      <c r="K288" t="str">
        <f t="shared" si="38"/>
        <v/>
      </c>
      <c r="L288" t="str">
        <f t="shared" si="39"/>
        <v/>
      </c>
      <c r="N288" s="245">
        <f t="shared" si="40"/>
        <v>0</v>
      </c>
      <c r="O288" s="245">
        <f t="shared" si="41"/>
        <v>0</v>
      </c>
      <c r="P288" t="str">
        <f t="shared" si="42"/>
        <v/>
      </c>
      <c r="Q288" t="str">
        <f>IFERROR(VLOOKUP(P288,数据库!C:M,11,0),"")</f>
        <v/>
      </c>
      <c r="R288" t="str">
        <f t="shared" si="43"/>
        <v/>
      </c>
      <c r="S288">
        <f t="shared" si="44"/>
        <v>0</v>
      </c>
    </row>
    <row r="289" spans="1:19">
      <c r="A289" t="str">
        <f>IF(B289=0,"",发货清单!A289*10^6+COUNTIF($D$2:D289,D289)*10^3+ROW(A288))</f>
        <v/>
      </c>
      <c r="B289">
        <f>IFERROR(LEFT(发货清单!H289,SEARCH("-",发货清单!H289)-1),发货清单!H289)</f>
        <v>0</v>
      </c>
      <c r="C289" t="str">
        <f>IFERROR(VLOOKUP(发货清单!A289,数据库!A:D,4,0),"")</f>
        <v/>
      </c>
      <c r="D289" t="str">
        <f>IFERROR(VLOOKUP(发货清单!A289,数据库!A:C,3,0),"")</f>
        <v/>
      </c>
      <c r="E289">
        <f>发货清单!M289</f>
        <v>0</v>
      </c>
      <c r="F289">
        <f>发货清单!U289</f>
        <v>0</v>
      </c>
      <c r="G289" t="str">
        <f>IFERROR(VLOOKUP(发货清单!A289,数据库!A:B,2,0),"")</f>
        <v/>
      </c>
      <c r="H289">
        <f>发货清单!N289</f>
        <v>0</v>
      </c>
      <c r="I289" t="str">
        <f t="shared" si="36"/>
        <v/>
      </c>
      <c r="J289" t="str">
        <f t="shared" si="37"/>
        <v xml:space="preserve"> </v>
      </c>
      <c r="K289" t="str">
        <f t="shared" si="38"/>
        <v/>
      </c>
      <c r="L289" t="str">
        <f t="shared" si="39"/>
        <v/>
      </c>
      <c r="N289" s="245">
        <f t="shared" si="40"/>
        <v>0</v>
      </c>
      <c r="O289" s="245">
        <f t="shared" si="41"/>
        <v>0</v>
      </c>
      <c r="P289" t="str">
        <f t="shared" si="42"/>
        <v/>
      </c>
      <c r="Q289" t="str">
        <f>IFERROR(VLOOKUP(P289,数据库!C:M,11,0),"")</f>
        <v/>
      </c>
      <c r="R289" t="str">
        <f t="shared" si="43"/>
        <v/>
      </c>
      <c r="S289">
        <f t="shared" si="44"/>
        <v>0</v>
      </c>
    </row>
    <row r="290" spans="1:19">
      <c r="A290" t="str">
        <f>IF(B290=0,"",发货清单!A290*10^6+COUNTIF($D$2:D290,D290)*10^3+ROW(A289))</f>
        <v/>
      </c>
      <c r="B290">
        <f>IFERROR(LEFT(发货清单!H290,SEARCH("-",发货清单!H290)-1),发货清单!H290)</f>
        <v>0</v>
      </c>
      <c r="C290" t="str">
        <f>IFERROR(VLOOKUP(发货清单!A290,数据库!A:D,4,0),"")</f>
        <v/>
      </c>
      <c r="D290" t="str">
        <f>IFERROR(VLOOKUP(发货清单!A290,数据库!A:C,3,0),"")</f>
        <v/>
      </c>
      <c r="E290">
        <f>发货清单!M290</f>
        <v>0</v>
      </c>
      <c r="F290">
        <f>发货清单!U290</f>
        <v>0</v>
      </c>
      <c r="G290" t="str">
        <f>IFERROR(VLOOKUP(发货清单!A290,数据库!A:B,2,0),"")</f>
        <v/>
      </c>
      <c r="H290">
        <f>发货清单!N290</f>
        <v>0</v>
      </c>
      <c r="I290" t="str">
        <f t="shared" si="36"/>
        <v/>
      </c>
      <c r="J290" t="str">
        <f t="shared" si="37"/>
        <v xml:space="preserve"> </v>
      </c>
      <c r="K290" t="str">
        <f t="shared" si="38"/>
        <v/>
      </c>
      <c r="L290" t="str">
        <f t="shared" si="39"/>
        <v/>
      </c>
      <c r="N290" s="245">
        <f t="shared" si="40"/>
        <v>0</v>
      </c>
      <c r="O290" s="245">
        <f t="shared" si="41"/>
        <v>0</v>
      </c>
      <c r="P290" t="str">
        <f t="shared" si="42"/>
        <v/>
      </c>
      <c r="Q290" t="str">
        <f>IFERROR(VLOOKUP(P290,数据库!C:M,11,0),"")</f>
        <v/>
      </c>
      <c r="R290" t="str">
        <f t="shared" si="43"/>
        <v/>
      </c>
      <c r="S290">
        <f t="shared" si="44"/>
        <v>0</v>
      </c>
    </row>
    <row r="291" spans="1:19">
      <c r="A291" t="str">
        <f>IF(B291=0,"",发货清单!A291*10^6+COUNTIF($D$2:D291,D291)*10^3+ROW(A290))</f>
        <v/>
      </c>
      <c r="B291">
        <f>IFERROR(LEFT(发货清单!H291,SEARCH("-",发货清单!H291)-1),发货清单!H291)</f>
        <v>0</v>
      </c>
      <c r="C291" t="str">
        <f>IFERROR(VLOOKUP(发货清单!A291,数据库!A:D,4,0),"")</f>
        <v/>
      </c>
      <c r="D291" t="str">
        <f>IFERROR(VLOOKUP(发货清单!A291,数据库!A:C,3,0),"")</f>
        <v/>
      </c>
      <c r="E291">
        <f>发货清单!M291</f>
        <v>0</v>
      </c>
      <c r="F291">
        <f>发货清单!U291</f>
        <v>0</v>
      </c>
      <c r="G291" t="str">
        <f>IFERROR(VLOOKUP(发货清单!A291,数据库!A:B,2,0),"")</f>
        <v/>
      </c>
      <c r="H291">
        <f>发货清单!N291</f>
        <v>0</v>
      </c>
      <c r="I291" t="str">
        <f t="shared" si="36"/>
        <v/>
      </c>
      <c r="J291" t="str">
        <f t="shared" si="37"/>
        <v xml:space="preserve"> </v>
      </c>
      <c r="K291" t="str">
        <f t="shared" si="38"/>
        <v/>
      </c>
      <c r="L291" t="str">
        <f t="shared" si="39"/>
        <v/>
      </c>
      <c r="N291" s="245">
        <f t="shared" si="40"/>
        <v>0</v>
      </c>
      <c r="O291" s="245">
        <f t="shared" si="41"/>
        <v>0</v>
      </c>
      <c r="P291" t="str">
        <f t="shared" si="42"/>
        <v/>
      </c>
      <c r="Q291" t="str">
        <f>IFERROR(VLOOKUP(P291,数据库!C:M,11,0),"")</f>
        <v/>
      </c>
      <c r="R291" t="str">
        <f t="shared" si="43"/>
        <v/>
      </c>
      <c r="S291">
        <f t="shared" si="44"/>
        <v>0</v>
      </c>
    </row>
    <row r="292" spans="1:19">
      <c r="A292" t="str">
        <f>IF(B292=0,"",发货清单!A292*10^6+COUNTIF($D$2:D292,D292)*10^3+ROW(A291))</f>
        <v/>
      </c>
      <c r="B292">
        <f>IFERROR(LEFT(发货清单!H292,SEARCH("-",发货清单!H292)-1),发货清单!H292)</f>
        <v>0</v>
      </c>
      <c r="C292" t="str">
        <f>IFERROR(VLOOKUP(发货清单!A292,数据库!A:D,4,0),"")</f>
        <v/>
      </c>
      <c r="D292" t="str">
        <f>IFERROR(VLOOKUP(发货清单!A292,数据库!A:C,3,0),"")</f>
        <v/>
      </c>
      <c r="E292">
        <f>发货清单!M292</f>
        <v>0</v>
      </c>
      <c r="F292">
        <f>发货清单!U292</f>
        <v>0</v>
      </c>
      <c r="G292" t="str">
        <f>IFERROR(VLOOKUP(发货清单!A292,数据库!A:B,2,0),"")</f>
        <v/>
      </c>
      <c r="H292">
        <f>发货清单!N292</f>
        <v>0</v>
      </c>
      <c r="I292" t="str">
        <f t="shared" si="36"/>
        <v/>
      </c>
      <c r="J292" t="str">
        <f t="shared" si="37"/>
        <v xml:space="preserve"> </v>
      </c>
      <c r="K292" t="str">
        <f t="shared" si="38"/>
        <v/>
      </c>
      <c r="L292" t="str">
        <f t="shared" si="39"/>
        <v/>
      </c>
      <c r="N292" s="245">
        <f t="shared" si="40"/>
        <v>0</v>
      </c>
      <c r="O292" s="245">
        <f t="shared" si="41"/>
        <v>0</v>
      </c>
      <c r="P292" t="str">
        <f t="shared" si="42"/>
        <v/>
      </c>
      <c r="Q292" t="str">
        <f>IFERROR(VLOOKUP(P292,数据库!C:M,11,0),"")</f>
        <v/>
      </c>
      <c r="R292" t="str">
        <f t="shared" si="43"/>
        <v/>
      </c>
      <c r="S292">
        <f t="shared" si="44"/>
        <v>0</v>
      </c>
    </row>
    <row r="293" spans="1:19">
      <c r="A293" t="str">
        <f>IF(B293=0,"",发货清单!A293*10^6+COUNTIF($D$2:D293,D293)*10^3+ROW(A292))</f>
        <v/>
      </c>
      <c r="B293">
        <f>IFERROR(LEFT(发货清单!H293,SEARCH("-",发货清单!H293)-1),发货清单!H293)</f>
        <v>0</v>
      </c>
      <c r="C293" t="str">
        <f>IFERROR(VLOOKUP(发货清单!A293,数据库!A:D,4,0),"")</f>
        <v/>
      </c>
      <c r="D293" t="str">
        <f>IFERROR(VLOOKUP(发货清单!A293,数据库!A:C,3,0),"")</f>
        <v/>
      </c>
      <c r="E293">
        <f>发货清单!M293</f>
        <v>0</v>
      </c>
      <c r="F293">
        <f>发货清单!U293</f>
        <v>0</v>
      </c>
      <c r="G293" t="str">
        <f>IFERROR(VLOOKUP(发货清单!A293,数据库!A:B,2,0),"")</f>
        <v/>
      </c>
      <c r="H293">
        <f>发货清单!N293</f>
        <v>0</v>
      </c>
      <c r="I293" t="str">
        <f t="shared" si="36"/>
        <v/>
      </c>
      <c r="J293" t="str">
        <f t="shared" si="37"/>
        <v xml:space="preserve"> </v>
      </c>
      <c r="K293" t="str">
        <f t="shared" si="38"/>
        <v/>
      </c>
      <c r="L293" t="str">
        <f t="shared" si="39"/>
        <v/>
      </c>
      <c r="N293" s="245">
        <f t="shared" si="40"/>
        <v>0</v>
      </c>
      <c r="O293" s="245">
        <f t="shared" si="41"/>
        <v>0</v>
      </c>
      <c r="P293" t="str">
        <f t="shared" si="42"/>
        <v/>
      </c>
      <c r="Q293" t="str">
        <f>IFERROR(VLOOKUP(P293,数据库!C:M,11,0),"")</f>
        <v/>
      </c>
      <c r="R293" t="str">
        <f t="shared" si="43"/>
        <v/>
      </c>
      <c r="S293">
        <f t="shared" si="44"/>
        <v>0</v>
      </c>
    </row>
    <row r="294" spans="1:19">
      <c r="A294" t="str">
        <f>IF(B294=0,"",发货清单!A294*10^6+COUNTIF($D$2:D294,D294)*10^3+ROW(A293))</f>
        <v/>
      </c>
      <c r="B294">
        <f>IFERROR(LEFT(发货清单!H294,SEARCH("-",发货清单!H294)-1),发货清单!H294)</f>
        <v>0</v>
      </c>
      <c r="C294" t="str">
        <f>IFERROR(VLOOKUP(发货清单!A294,数据库!A:D,4,0),"")</f>
        <v/>
      </c>
      <c r="D294" t="str">
        <f>IFERROR(VLOOKUP(发货清单!A294,数据库!A:C,3,0),"")</f>
        <v/>
      </c>
      <c r="E294">
        <f>发货清单!M294</f>
        <v>0</v>
      </c>
      <c r="F294">
        <f>发货清单!U294</f>
        <v>0</v>
      </c>
      <c r="G294" t="str">
        <f>IFERROR(VLOOKUP(发货清单!A294,数据库!A:B,2,0),"")</f>
        <v/>
      </c>
      <c r="H294">
        <f>发货清单!N294</f>
        <v>0</v>
      </c>
      <c r="I294" t="str">
        <f t="shared" si="36"/>
        <v/>
      </c>
      <c r="J294" t="str">
        <f t="shared" si="37"/>
        <v xml:space="preserve"> </v>
      </c>
      <c r="K294" t="str">
        <f t="shared" si="38"/>
        <v/>
      </c>
      <c r="L294" t="str">
        <f t="shared" si="39"/>
        <v/>
      </c>
      <c r="N294" s="245">
        <f t="shared" si="40"/>
        <v>0</v>
      </c>
      <c r="O294" s="245">
        <f t="shared" si="41"/>
        <v>0</v>
      </c>
      <c r="P294" t="str">
        <f t="shared" si="42"/>
        <v/>
      </c>
      <c r="Q294" t="str">
        <f>IFERROR(VLOOKUP(P294,数据库!C:M,11,0),"")</f>
        <v/>
      </c>
      <c r="R294" t="str">
        <f t="shared" si="43"/>
        <v/>
      </c>
      <c r="S294">
        <f t="shared" si="44"/>
        <v>0</v>
      </c>
    </row>
    <row r="295" spans="1:19">
      <c r="A295" t="str">
        <f>IF(B295=0,"",发货清单!A295*10^6+COUNTIF($D$2:D295,D295)*10^3+ROW(A294))</f>
        <v/>
      </c>
      <c r="B295">
        <f>IFERROR(LEFT(发货清单!H295,SEARCH("-",发货清单!H295)-1),发货清单!H295)</f>
        <v>0</v>
      </c>
      <c r="C295" t="str">
        <f>IFERROR(VLOOKUP(发货清单!A295,数据库!A:D,4,0),"")</f>
        <v/>
      </c>
      <c r="D295" t="str">
        <f>IFERROR(VLOOKUP(发货清单!A295,数据库!A:C,3,0),"")</f>
        <v/>
      </c>
      <c r="E295">
        <f>发货清单!M295</f>
        <v>0</v>
      </c>
      <c r="F295">
        <f>发货清单!U295</f>
        <v>0</v>
      </c>
      <c r="G295" t="str">
        <f>IFERROR(VLOOKUP(发货清单!A295,数据库!A:B,2,0),"")</f>
        <v/>
      </c>
      <c r="H295">
        <f>发货清单!N295</f>
        <v>0</v>
      </c>
      <c r="I295" t="str">
        <f t="shared" si="36"/>
        <v/>
      </c>
      <c r="J295" t="str">
        <f t="shared" si="37"/>
        <v xml:space="preserve"> </v>
      </c>
      <c r="K295" t="str">
        <f t="shared" si="38"/>
        <v/>
      </c>
      <c r="L295" t="str">
        <f t="shared" si="39"/>
        <v/>
      </c>
      <c r="N295" s="245">
        <f t="shared" si="40"/>
        <v>0</v>
      </c>
      <c r="O295" s="245">
        <f t="shared" si="41"/>
        <v>0</v>
      </c>
      <c r="P295" t="str">
        <f t="shared" si="42"/>
        <v/>
      </c>
      <c r="Q295" t="str">
        <f>IFERROR(VLOOKUP(P295,数据库!C:M,11,0),"")</f>
        <v/>
      </c>
      <c r="R295" t="str">
        <f t="shared" si="43"/>
        <v/>
      </c>
      <c r="S295">
        <f t="shared" si="44"/>
        <v>0</v>
      </c>
    </row>
    <row r="296" spans="1:19">
      <c r="A296" t="str">
        <f>IF(B296=0,"",发货清单!A296*10^6+COUNTIF($D$2:D296,D296)*10^3+ROW(A295))</f>
        <v/>
      </c>
      <c r="B296">
        <f>IFERROR(LEFT(发货清单!H296,SEARCH("-",发货清单!H296)-1),发货清单!H296)</f>
        <v>0</v>
      </c>
      <c r="C296" t="str">
        <f>IFERROR(VLOOKUP(发货清单!A296,数据库!A:D,4,0),"")</f>
        <v/>
      </c>
      <c r="D296" t="str">
        <f>IFERROR(VLOOKUP(发货清单!A296,数据库!A:C,3,0),"")</f>
        <v/>
      </c>
      <c r="E296">
        <f>发货清单!M296</f>
        <v>0</v>
      </c>
      <c r="F296">
        <f>发货清单!U296</f>
        <v>0</v>
      </c>
      <c r="G296" t="str">
        <f>IFERROR(VLOOKUP(发货清单!A296,数据库!A:B,2,0),"")</f>
        <v/>
      </c>
      <c r="H296">
        <f>发货清单!N296</f>
        <v>0</v>
      </c>
      <c r="I296" t="str">
        <f t="shared" si="36"/>
        <v/>
      </c>
      <c r="J296" t="str">
        <f t="shared" si="37"/>
        <v xml:space="preserve"> </v>
      </c>
      <c r="K296" t="str">
        <f t="shared" si="38"/>
        <v/>
      </c>
      <c r="L296" t="str">
        <f t="shared" si="39"/>
        <v/>
      </c>
      <c r="N296" s="245">
        <f t="shared" si="40"/>
        <v>0</v>
      </c>
      <c r="O296" s="245">
        <f t="shared" si="41"/>
        <v>0</v>
      </c>
      <c r="P296" t="str">
        <f t="shared" si="42"/>
        <v/>
      </c>
      <c r="Q296" t="str">
        <f>IFERROR(VLOOKUP(P296,数据库!C:M,11,0),"")</f>
        <v/>
      </c>
      <c r="R296" t="str">
        <f t="shared" si="43"/>
        <v/>
      </c>
      <c r="S296">
        <f t="shared" si="44"/>
        <v>0</v>
      </c>
    </row>
    <row r="297" spans="1:19">
      <c r="A297" t="str">
        <f>IF(B297=0,"",发货清单!A297*10^6+COUNTIF($D$2:D297,D297)*10^3+ROW(A296))</f>
        <v/>
      </c>
      <c r="B297">
        <f>IFERROR(LEFT(发货清单!H297,SEARCH("-",发货清单!H297)-1),发货清单!H297)</f>
        <v>0</v>
      </c>
      <c r="C297" t="str">
        <f>IFERROR(VLOOKUP(发货清单!A297,数据库!A:D,4,0),"")</f>
        <v/>
      </c>
      <c r="D297" t="str">
        <f>IFERROR(VLOOKUP(发货清单!A297,数据库!A:C,3,0),"")</f>
        <v/>
      </c>
      <c r="E297">
        <f>发货清单!M297</f>
        <v>0</v>
      </c>
      <c r="F297">
        <f>发货清单!U297</f>
        <v>0</v>
      </c>
      <c r="G297" t="str">
        <f>IFERROR(VLOOKUP(发货清单!A297,数据库!A:B,2,0),"")</f>
        <v/>
      </c>
      <c r="H297">
        <f>发货清单!N297</f>
        <v>0</v>
      </c>
      <c r="I297" t="str">
        <f t="shared" si="36"/>
        <v/>
      </c>
      <c r="J297" t="str">
        <f t="shared" si="37"/>
        <v xml:space="preserve"> </v>
      </c>
      <c r="K297" t="str">
        <f t="shared" si="38"/>
        <v/>
      </c>
      <c r="L297" t="str">
        <f t="shared" si="39"/>
        <v/>
      </c>
      <c r="N297" s="245">
        <f t="shared" si="40"/>
        <v>0</v>
      </c>
      <c r="O297" s="245">
        <f t="shared" si="41"/>
        <v>0</v>
      </c>
      <c r="P297" t="str">
        <f t="shared" si="42"/>
        <v/>
      </c>
      <c r="Q297" t="str">
        <f>IFERROR(VLOOKUP(P297,数据库!C:M,11,0),"")</f>
        <v/>
      </c>
      <c r="R297" t="str">
        <f t="shared" si="43"/>
        <v/>
      </c>
      <c r="S297">
        <f t="shared" si="44"/>
        <v>0</v>
      </c>
    </row>
    <row r="298" spans="1:19">
      <c r="A298" t="str">
        <f>IF(B298=0,"",发货清单!A298*10^6+COUNTIF($D$2:D298,D298)*10^3+ROW(A297))</f>
        <v/>
      </c>
      <c r="B298">
        <f>IFERROR(LEFT(发货清单!H298,SEARCH("-",发货清单!H298)-1),发货清单!H298)</f>
        <v>0</v>
      </c>
      <c r="C298" t="str">
        <f>IFERROR(VLOOKUP(发货清单!A298,数据库!A:D,4,0),"")</f>
        <v/>
      </c>
      <c r="D298" t="str">
        <f>IFERROR(VLOOKUP(发货清单!A298,数据库!A:C,3,0),"")</f>
        <v/>
      </c>
      <c r="E298">
        <f>发货清单!M298</f>
        <v>0</v>
      </c>
      <c r="F298">
        <f>发货清单!U298</f>
        <v>0</v>
      </c>
      <c r="G298" t="str">
        <f>IFERROR(VLOOKUP(发货清单!A298,数据库!A:B,2,0),"")</f>
        <v/>
      </c>
      <c r="H298">
        <f>发货清单!N298</f>
        <v>0</v>
      </c>
      <c r="I298" t="str">
        <f t="shared" si="36"/>
        <v/>
      </c>
      <c r="J298" t="str">
        <f t="shared" si="37"/>
        <v xml:space="preserve"> </v>
      </c>
      <c r="K298" t="str">
        <f t="shared" si="38"/>
        <v/>
      </c>
      <c r="L298" t="str">
        <f t="shared" si="39"/>
        <v/>
      </c>
      <c r="N298" s="245">
        <f t="shared" si="40"/>
        <v>0</v>
      </c>
      <c r="O298" s="245">
        <f t="shared" si="41"/>
        <v>0</v>
      </c>
      <c r="P298" t="str">
        <f t="shared" si="42"/>
        <v/>
      </c>
      <c r="Q298" t="str">
        <f>IFERROR(VLOOKUP(P298,数据库!C:M,11,0),"")</f>
        <v/>
      </c>
      <c r="R298" t="str">
        <f t="shared" si="43"/>
        <v/>
      </c>
      <c r="S298">
        <f t="shared" si="44"/>
        <v>0</v>
      </c>
    </row>
    <row r="299" spans="1:19">
      <c r="A299" t="str">
        <f>IF(B299=0,"",发货清单!A299*10^6+COUNTIF($D$2:D299,D299)*10^3+ROW(A298))</f>
        <v/>
      </c>
      <c r="B299">
        <f>IFERROR(LEFT(发货清单!H299,SEARCH("-",发货清单!H299)-1),发货清单!H299)</f>
        <v>0</v>
      </c>
      <c r="C299" t="str">
        <f>IFERROR(VLOOKUP(发货清单!A299,数据库!A:D,4,0),"")</f>
        <v/>
      </c>
      <c r="D299" t="str">
        <f>IFERROR(VLOOKUP(发货清单!A299,数据库!A:C,3,0),"")</f>
        <v/>
      </c>
      <c r="E299">
        <f>发货清单!M299</f>
        <v>0</v>
      </c>
      <c r="F299">
        <f>发货清单!U299</f>
        <v>0</v>
      </c>
      <c r="G299" t="str">
        <f>IFERROR(VLOOKUP(发货清单!A299,数据库!A:B,2,0),"")</f>
        <v/>
      </c>
      <c r="H299">
        <f>发货清单!N299</f>
        <v>0</v>
      </c>
      <c r="I299" t="str">
        <f t="shared" si="36"/>
        <v/>
      </c>
      <c r="J299" t="str">
        <f t="shared" si="37"/>
        <v xml:space="preserve"> </v>
      </c>
      <c r="K299" t="str">
        <f t="shared" si="38"/>
        <v/>
      </c>
      <c r="L299" t="str">
        <f t="shared" si="39"/>
        <v/>
      </c>
      <c r="N299" s="245">
        <f t="shared" si="40"/>
        <v>0</v>
      </c>
      <c r="O299" s="245">
        <f t="shared" si="41"/>
        <v>0</v>
      </c>
      <c r="P299" t="str">
        <f t="shared" si="42"/>
        <v/>
      </c>
      <c r="Q299" t="str">
        <f>IFERROR(VLOOKUP(P299,数据库!C:M,11,0),"")</f>
        <v/>
      </c>
      <c r="R299" t="str">
        <f t="shared" si="43"/>
        <v/>
      </c>
      <c r="S299">
        <f t="shared" si="44"/>
        <v>0</v>
      </c>
    </row>
    <row r="300" spans="1:19">
      <c r="A300" t="str">
        <f>IF(B300=0,"",发货清单!A300*10^6+COUNTIF($D$2:D300,D300)*10^3+ROW(A299))</f>
        <v/>
      </c>
      <c r="B300">
        <f>IFERROR(LEFT(发货清单!H300,SEARCH("-",发货清单!H300)-1),发货清单!H300)</f>
        <v>0</v>
      </c>
      <c r="C300" t="str">
        <f>IFERROR(VLOOKUP(发货清单!A300,数据库!A:D,4,0),"")</f>
        <v/>
      </c>
      <c r="D300" t="str">
        <f>IFERROR(VLOOKUP(发货清单!A300,数据库!A:C,3,0),"")</f>
        <v/>
      </c>
      <c r="E300">
        <f>发货清单!M300</f>
        <v>0</v>
      </c>
      <c r="F300">
        <f>发货清单!U300</f>
        <v>0</v>
      </c>
      <c r="G300" t="str">
        <f>IFERROR(VLOOKUP(发货清单!A300,数据库!A:B,2,0),"")</f>
        <v/>
      </c>
      <c r="H300">
        <f>发货清单!N300</f>
        <v>0</v>
      </c>
      <c r="I300" t="str">
        <f t="shared" si="36"/>
        <v/>
      </c>
      <c r="J300" t="str">
        <f t="shared" si="37"/>
        <v xml:space="preserve"> </v>
      </c>
      <c r="K300" t="str">
        <f t="shared" si="38"/>
        <v/>
      </c>
      <c r="L300" t="str">
        <f t="shared" si="39"/>
        <v/>
      </c>
      <c r="N300" s="245">
        <f t="shared" si="40"/>
        <v>0</v>
      </c>
      <c r="O300" s="245">
        <f t="shared" si="41"/>
        <v>0</v>
      </c>
      <c r="P300" t="str">
        <f t="shared" si="42"/>
        <v/>
      </c>
      <c r="Q300" t="str">
        <f>IFERROR(VLOOKUP(P300,数据库!C:M,11,0),"")</f>
        <v/>
      </c>
      <c r="R300" t="str">
        <f t="shared" si="43"/>
        <v/>
      </c>
      <c r="S300">
        <f t="shared" si="44"/>
        <v>0</v>
      </c>
    </row>
    <row r="301" spans="1:19">
      <c r="A301" t="str">
        <f>IF(B301=0,"",发货清单!A301*10^6+COUNTIF($D$2:D301,D301)*10^3+ROW(A300))</f>
        <v/>
      </c>
      <c r="B301">
        <f>IFERROR(LEFT(发货清单!H301,SEARCH("-",发货清单!H301)-1),发货清单!H301)</f>
        <v>0</v>
      </c>
      <c r="C301" t="str">
        <f>IFERROR(VLOOKUP(发货清单!A301,数据库!A:D,4,0),"")</f>
        <v/>
      </c>
      <c r="D301" t="str">
        <f>IFERROR(VLOOKUP(发货清单!A301,数据库!A:C,3,0),"")</f>
        <v/>
      </c>
      <c r="E301">
        <f>发货清单!M301</f>
        <v>0</v>
      </c>
      <c r="F301">
        <f>发货清单!U301</f>
        <v>0</v>
      </c>
      <c r="G301" t="str">
        <f>IFERROR(VLOOKUP(发货清单!A301,数据库!A:B,2,0),"")</f>
        <v/>
      </c>
      <c r="H301">
        <f>发货清单!N301</f>
        <v>0</v>
      </c>
      <c r="I301" t="str">
        <f t="shared" si="36"/>
        <v/>
      </c>
      <c r="J301" t="str">
        <f t="shared" si="37"/>
        <v xml:space="preserve"> </v>
      </c>
      <c r="K301" t="str">
        <f t="shared" si="38"/>
        <v/>
      </c>
      <c r="L301" t="str">
        <f t="shared" si="39"/>
        <v/>
      </c>
      <c r="N301" s="245">
        <f t="shared" si="40"/>
        <v>0</v>
      </c>
      <c r="O301" s="245">
        <f t="shared" si="41"/>
        <v>0</v>
      </c>
      <c r="P301" t="str">
        <f t="shared" si="42"/>
        <v/>
      </c>
      <c r="Q301" t="str">
        <f>IFERROR(VLOOKUP(P301,数据库!C:M,11,0),"")</f>
        <v/>
      </c>
      <c r="R301" t="str">
        <f t="shared" si="43"/>
        <v/>
      </c>
      <c r="S301">
        <f t="shared" si="44"/>
        <v>0</v>
      </c>
    </row>
    <row r="302" spans="1:19">
      <c r="A302" t="str">
        <f>IF(B302=0,"",发货清单!A302*10^6+COUNTIF($D$2:D302,D302)*10^3+ROW(A301))</f>
        <v/>
      </c>
      <c r="B302">
        <f>IFERROR(LEFT(发货清单!H302,SEARCH("-",发货清单!H302)-1),发货清单!H302)</f>
        <v>0</v>
      </c>
      <c r="C302" t="str">
        <f>IFERROR(VLOOKUP(发货清单!A302,数据库!A:D,4,0),"")</f>
        <v/>
      </c>
      <c r="D302" t="str">
        <f>IFERROR(VLOOKUP(发货清单!A302,数据库!A:C,3,0),"")</f>
        <v/>
      </c>
      <c r="E302">
        <f>发货清单!M302</f>
        <v>0</v>
      </c>
      <c r="F302">
        <f>发货清单!U302</f>
        <v>0</v>
      </c>
      <c r="G302" t="str">
        <f>IFERROR(VLOOKUP(发货清单!A302,数据库!A:B,2,0),"")</f>
        <v/>
      </c>
      <c r="H302">
        <f>发货清单!N302</f>
        <v>0</v>
      </c>
      <c r="I302" t="str">
        <f t="shared" si="36"/>
        <v/>
      </c>
      <c r="J302" t="str">
        <f t="shared" si="37"/>
        <v xml:space="preserve"> </v>
      </c>
      <c r="K302" t="str">
        <f t="shared" si="38"/>
        <v/>
      </c>
      <c r="L302" t="str">
        <f t="shared" si="39"/>
        <v/>
      </c>
      <c r="N302" s="245">
        <f t="shared" si="40"/>
        <v>0</v>
      </c>
      <c r="O302" s="245">
        <f t="shared" si="41"/>
        <v>0</v>
      </c>
      <c r="P302" t="str">
        <f t="shared" si="42"/>
        <v/>
      </c>
      <c r="Q302" t="str">
        <f>IFERROR(VLOOKUP(P302,数据库!C:M,11,0),"")</f>
        <v/>
      </c>
      <c r="R302" t="str">
        <f t="shared" si="43"/>
        <v/>
      </c>
      <c r="S302">
        <f t="shared" si="44"/>
        <v>0</v>
      </c>
    </row>
    <row r="303" spans="1:19">
      <c r="A303" t="str">
        <f>IF(B303=0,"",发货清单!A303*10^6+COUNTIF($D$2:D303,D303)*10^3+ROW(A302))</f>
        <v/>
      </c>
      <c r="B303">
        <f>IFERROR(LEFT(发货清单!H303,SEARCH("-",发货清单!H303)-1),发货清单!H303)</f>
        <v>0</v>
      </c>
      <c r="C303" t="str">
        <f>IFERROR(VLOOKUP(发货清单!A303,数据库!A:D,4,0),"")</f>
        <v/>
      </c>
      <c r="D303" t="str">
        <f>IFERROR(VLOOKUP(发货清单!A303,数据库!A:C,3,0),"")</f>
        <v/>
      </c>
      <c r="E303">
        <f>发货清单!M303</f>
        <v>0</v>
      </c>
      <c r="F303">
        <f>发货清单!U303</f>
        <v>0</v>
      </c>
      <c r="G303" t="str">
        <f>IFERROR(VLOOKUP(发货清单!A303,数据库!A:B,2,0),"")</f>
        <v/>
      </c>
      <c r="H303">
        <f>发货清单!N303</f>
        <v>0</v>
      </c>
      <c r="I303" t="str">
        <f t="shared" si="36"/>
        <v/>
      </c>
      <c r="J303" t="str">
        <f t="shared" si="37"/>
        <v xml:space="preserve"> </v>
      </c>
      <c r="K303" t="str">
        <f t="shared" si="38"/>
        <v/>
      </c>
      <c r="L303" t="str">
        <f t="shared" si="39"/>
        <v/>
      </c>
      <c r="N303" s="245">
        <f t="shared" si="40"/>
        <v>0</v>
      </c>
      <c r="O303" s="245">
        <f t="shared" si="41"/>
        <v>0</v>
      </c>
      <c r="P303" t="str">
        <f t="shared" si="42"/>
        <v/>
      </c>
      <c r="Q303" t="str">
        <f>IFERROR(VLOOKUP(P303,数据库!C:M,11,0),"")</f>
        <v/>
      </c>
      <c r="R303" t="str">
        <f t="shared" si="43"/>
        <v/>
      </c>
      <c r="S303">
        <f t="shared" si="44"/>
        <v>0</v>
      </c>
    </row>
    <row r="304" spans="1:19">
      <c r="A304" t="str">
        <f>IF(B304=0,"",发货清单!A304*10^6+COUNTIF($D$2:D304,D304)*10^3+ROW(A303))</f>
        <v/>
      </c>
      <c r="B304">
        <f>IFERROR(LEFT(发货清单!H304,SEARCH("-",发货清单!H304)-1),发货清单!H304)</f>
        <v>0</v>
      </c>
      <c r="C304" t="str">
        <f>IFERROR(VLOOKUP(发货清单!A304,数据库!A:D,4,0),"")</f>
        <v/>
      </c>
      <c r="D304" t="str">
        <f>IFERROR(VLOOKUP(发货清单!A304,数据库!A:C,3,0),"")</f>
        <v/>
      </c>
      <c r="E304">
        <f>发货清单!M304</f>
        <v>0</v>
      </c>
      <c r="F304">
        <f>发货清单!U304</f>
        <v>0</v>
      </c>
      <c r="G304" t="str">
        <f>IFERROR(VLOOKUP(发货清单!A304,数据库!A:B,2,0),"")</f>
        <v/>
      </c>
      <c r="H304">
        <f>发货清单!N304</f>
        <v>0</v>
      </c>
      <c r="I304" t="str">
        <f t="shared" si="36"/>
        <v/>
      </c>
      <c r="J304" t="str">
        <f t="shared" si="37"/>
        <v xml:space="preserve"> </v>
      </c>
      <c r="K304" t="str">
        <f t="shared" si="38"/>
        <v/>
      </c>
      <c r="L304" t="str">
        <f t="shared" si="39"/>
        <v/>
      </c>
      <c r="N304" s="245">
        <f t="shared" si="40"/>
        <v>0</v>
      </c>
      <c r="O304" s="245">
        <f t="shared" si="41"/>
        <v>0</v>
      </c>
      <c r="P304" t="str">
        <f t="shared" si="42"/>
        <v/>
      </c>
      <c r="Q304" t="str">
        <f>IFERROR(VLOOKUP(P304,数据库!C:M,11,0),"")</f>
        <v/>
      </c>
      <c r="R304" t="str">
        <f t="shared" si="43"/>
        <v/>
      </c>
      <c r="S304">
        <f t="shared" si="44"/>
        <v>0</v>
      </c>
    </row>
    <row r="305" spans="1:19">
      <c r="A305" t="str">
        <f>IF(B305=0,"",发货清单!A305*10^6+COUNTIF($D$2:D305,D305)*10^3+ROW(A304))</f>
        <v/>
      </c>
      <c r="B305">
        <f>IFERROR(LEFT(发货清单!H305,SEARCH("-",发货清单!H305)-1),发货清单!H305)</f>
        <v>0</v>
      </c>
      <c r="C305" t="str">
        <f>IFERROR(VLOOKUP(发货清单!A305,数据库!A:D,4,0),"")</f>
        <v/>
      </c>
      <c r="D305" t="str">
        <f>IFERROR(VLOOKUP(发货清单!A305,数据库!A:C,3,0),"")</f>
        <v/>
      </c>
      <c r="E305">
        <f>发货清单!M305</f>
        <v>0</v>
      </c>
      <c r="F305">
        <f>发货清单!U305</f>
        <v>0</v>
      </c>
      <c r="G305" t="str">
        <f>IFERROR(VLOOKUP(发货清单!A305,数据库!A:B,2,0),"")</f>
        <v/>
      </c>
      <c r="H305">
        <f>发货清单!N305</f>
        <v>0</v>
      </c>
      <c r="I305" t="str">
        <f t="shared" si="36"/>
        <v/>
      </c>
      <c r="J305" t="str">
        <f t="shared" si="37"/>
        <v xml:space="preserve"> </v>
      </c>
      <c r="K305" t="str">
        <f t="shared" si="38"/>
        <v/>
      </c>
      <c r="L305" t="str">
        <f t="shared" si="39"/>
        <v/>
      </c>
      <c r="N305" s="245">
        <f t="shared" si="40"/>
        <v>0</v>
      </c>
      <c r="O305" s="245">
        <f t="shared" si="41"/>
        <v>0</v>
      </c>
      <c r="P305" t="str">
        <f t="shared" si="42"/>
        <v/>
      </c>
      <c r="Q305" t="str">
        <f>IFERROR(VLOOKUP(P305,数据库!C:M,11,0),"")</f>
        <v/>
      </c>
      <c r="R305" t="str">
        <f t="shared" si="43"/>
        <v/>
      </c>
      <c r="S305">
        <f t="shared" si="44"/>
        <v>0</v>
      </c>
    </row>
    <row r="306" spans="1:19">
      <c r="A306" t="str">
        <f>IF(B306=0,"",发货清单!A306*10^6+COUNTIF($D$2:D306,D306)*10^3+ROW(A305))</f>
        <v/>
      </c>
      <c r="B306">
        <f>IFERROR(LEFT(发货清单!H306,SEARCH("-",发货清单!H306)-1),发货清单!H306)</f>
        <v>0</v>
      </c>
      <c r="C306" t="str">
        <f>IFERROR(VLOOKUP(发货清单!A306,数据库!A:D,4,0),"")</f>
        <v/>
      </c>
      <c r="D306" t="str">
        <f>IFERROR(VLOOKUP(发货清单!A306,数据库!A:C,3,0),"")</f>
        <v/>
      </c>
      <c r="E306">
        <f>发货清单!M306</f>
        <v>0</v>
      </c>
      <c r="F306">
        <f>发货清单!U306</f>
        <v>0</v>
      </c>
      <c r="G306" t="str">
        <f>IFERROR(VLOOKUP(发货清单!A306,数据库!A:B,2,0),"")</f>
        <v/>
      </c>
      <c r="H306">
        <f>发货清单!N306</f>
        <v>0</v>
      </c>
      <c r="I306" t="str">
        <f t="shared" si="36"/>
        <v/>
      </c>
      <c r="J306" t="str">
        <f t="shared" si="37"/>
        <v xml:space="preserve"> </v>
      </c>
      <c r="K306" t="str">
        <f t="shared" si="38"/>
        <v/>
      </c>
      <c r="L306" t="str">
        <f t="shared" si="39"/>
        <v/>
      </c>
      <c r="N306" s="245">
        <f t="shared" si="40"/>
        <v>0</v>
      </c>
      <c r="O306" s="245">
        <f t="shared" si="41"/>
        <v>0</v>
      </c>
      <c r="P306" t="str">
        <f t="shared" si="42"/>
        <v/>
      </c>
      <c r="Q306" t="str">
        <f>IFERROR(VLOOKUP(P306,数据库!C:M,11,0),"")</f>
        <v/>
      </c>
      <c r="R306" t="str">
        <f t="shared" si="43"/>
        <v/>
      </c>
      <c r="S306">
        <f t="shared" si="44"/>
        <v>0</v>
      </c>
    </row>
    <row r="307" spans="1:19">
      <c r="A307" t="str">
        <f>IF(B307=0,"",发货清单!A307*10^6+COUNTIF($D$2:D307,D307)*10^3+ROW(A306))</f>
        <v/>
      </c>
      <c r="B307">
        <f>IFERROR(LEFT(发货清单!H307,SEARCH("-",发货清单!H307)-1),发货清单!H307)</f>
        <v>0</v>
      </c>
      <c r="C307" t="str">
        <f>IFERROR(VLOOKUP(发货清单!A307,数据库!A:D,4,0),"")</f>
        <v/>
      </c>
      <c r="D307" t="str">
        <f>IFERROR(VLOOKUP(发货清单!A307,数据库!A:C,3,0),"")</f>
        <v/>
      </c>
      <c r="E307">
        <f>发货清单!M307</f>
        <v>0</v>
      </c>
      <c r="F307">
        <f>发货清单!U307</f>
        <v>0</v>
      </c>
      <c r="G307" t="str">
        <f>IFERROR(VLOOKUP(发货清单!A307,数据库!A:B,2,0),"")</f>
        <v/>
      </c>
      <c r="H307">
        <f>发货清单!N307</f>
        <v>0</v>
      </c>
      <c r="I307" t="str">
        <f t="shared" si="36"/>
        <v/>
      </c>
      <c r="J307" t="str">
        <f t="shared" si="37"/>
        <v xml:space="preserve"> </v>
      </c>
      <c r="K307" t="str">
        <f t="shared" si="38"/>
        <v/>
      </c>
      <c r="L307" t="str">
        <f t="shared" si="39"/>
        <v/>
      </c>
      <c r="N307" s="245">
        <f t="shared" si="40"/>
        <v>0</v>
      </c>
      <c r="O307" s="245">
        <f t="shared" si="41"/>
        <v>0</v>
      </c>
      <c r="P307" t="str">
        <f t="shared" si="42"/>
        <v/>
      </c>
      <c r="Q307" t="str">
        <f>IFERROR(VLOOKUP(P307,数据库!C:M,11,0),"")</f>
        <v/>
      </c>
      <c r="R307" t="str">
        <f t="shared" si="43"/>
        <v/>
      </c>
      <c r="S307">
        <f t="shared" si="44"/>
        <v>0</v>
      </c>
    </row>
    <row r="308" spans="1:19">
      <c r="A308" t="str">
        <f>IF(B308=0,"",发货清单!A308*10^6+COUNTIF($D$2:D308,D308)*10^3+ROW(A307))</f>
        <v/>
      </c>
      <c r="B308">
        <f>IFERROR(LEFT(发货清单!H308,SEARCH("-",发货清单!H308)-1),发货清单!H308)</f>
        <v>0</v>
      </c>
      <c r="C308" t="str">
        <f>IFERROR(VLOOKUP(发货清单!A308,数据库!A:D,4,0),"")</f>
        <v/>
      </c>
      <c r="D308" t="str">
        <f>IFERROR(VLOOKUP(发货清单!A308,数据库!A:C,3,0),"")</f>
        <v/>
      </c>
      <c r="E308">
        <f>发货清单!M308</f>
        <v>0</v>
      </c>
      <c r="F308">
        <f>发货清单!U308</f>
        <v>0</v>
      </c>
      <c r="G308" t="str">
        <f>IFERROR(VLOOKUP(发货清单!A308,数据库!A:B,2,0),"")</f>
        <v/>
      </c>
      <c r="H308">
        <f>发货清单!N308</f>
        <v>0</v>
      </c>
      <c r="I308" t="str">
        <f t="shared" si="36"/>
        <v/>
      </c>
      <c r="J308" t="str">
        <f t="shared" si="37"/>
        <v xml:space="preserve"> </v>
      </c>
      <c r="K308" t="str">
        <f t="shared" si="38"/>
        <v/>
      </c>
      <c r="L308" t="str">
        <f t="shared" si="39"/>
        <v/>
      </c>
      <c r="N308" s="245">
        <f t="shared" si="40"/>
        <v>0</v>
      </c>
      <c r="O308" s="245">
        <f t="shared" si="41"/>
        <v>0</v>
      </c>
      <c r="P308" t="str">
        <f t="shared" si="42"/>
        <v/>
      </c>
      <c r="Q308" t="str">
        <f>IFERROR(VLOOKUP(P308,数据库!C:M,11,0),"")</f>
        <v/>
      </c>
      <c r="R308" t="str">
        <f t="shared" si="43"/>
        <v/>
      </c>
      <c r="S308">
        <f t="shared" si="44"/>
        <v>0</v>
      </c>
    </row>
    <row r="309" spans="1:19">
      <c r="A309" t="str">
        <f>IF(B309=0,"",发货清单!A309*10^6+COUNTIF($D$2:D309,D309)*10^3+ROW(A308))</f>
        <v/>
      </c>
      <c r="B309">
        <f>IFERROR(LEFT(发货清单!H309,SEARCH("-",发货清单!H309)-1),发货清单!H309)</f>
        <v>0</v>
      </c>
      <c r="C309" t="str">
        <f>IFERROR(VLOOKUP(发货清单!A309,数据库!A:D,4,0),"")</f>
        <v/>
      </c>
      <c r="D309" t="str">
        <f>IFERROR(VLOOKUP(发货清单!A309,数据库!A:C,3,0),"")</f>
        <v/>
      </c>
      <c r="E309">
        <f>发货清单!M309</f>
        <v>0</v>
      </c>
      <c r="F309">
        <f>发货清单!U309</f>
        <v>0</v>
      </c>
      <c r="G309" t="str">
        <f>IFERROR(VLOOKUP(发货清单!A309,数据库!A:B,2,0),"")</f>
        <v/>
      </c>
      <c r="H309">
        <f>发货清单!N309</f>
        <v>0</v>
      </c>
      <c r="I309" t="str">
        <f t="shared" si="36"/>
        <v/>
      </c>
      <c r="J309" t="str">
        <f t="shared" si="37"/>
        <v xml:space="preserve"> </v>
      </c>
      <c r="K309" t="str">
        <f t="shared" si="38"/>
        <v/>
      </c>
      <c r="L309" t="str">
        <f t="shared" si="39"/>
        <v/>
      </c>
      <c r="N309" s="245">
        <f t="shared" si="40"/>
        <v>0</v>
      </c>
      <c r="O309" s="245">
        <f t="shared" si="41"/>
        <v>0</v>
      </c>
      <c r="P309" t="str">
        <f t="shared" si="42"/>
        <v/>
      </c>
      <c r="Q309" t="str">
        <f>IFERROR(VLOOKUP(P309,数据库!C:M,11,0),"")</f>
        <v/>
      </c>
      <c r="R309" t="str">
        <f t="shared" si="43"/>
        <v/>
      </c>
      <c r="S309">
        <f t="shared" si="44"/>
        <v>0</v>
      </c>
    </row>
    <row r="310" spans="1:19">
      <c r="A310" t="str">
        <f>IF(B310=0,"",发货清单!A310*10^6+COUNTIF($D$2:D310,D310)*10^3+ROW(A309))</f>
        <v/>
      </c>
      <c r="B310">
        <f>IFERROR(LEFT(发货清单!H310,SEARCH("-",发货清单!H310)-1),发货清单!H310)</f>
        <v>0</v>
      </c>
      <c r="C310" t="str">
        <f>IFERROR(VLOOKUP(发货清单!A310,数据库!A:D,4,0),"")</f>
        <v/>
      </c>
      <c r="D310" t="str">
        <f>IFERROR(VLOOKUP(发货清单!A310,数据库!A:C,3,0),"")</f>
        <v/>
      </c>
      <c r="E310">
        <f>发货清单!M310</f>
        <v>0</v>
      </c>
      <c r="F310">
        <f>发货清单!U310</f>
        <v>0</v>
      </c>
      <c r="G310" t="str">
        <f>IFERROR(VLOOKUP(发货清单!A310,数据库!A:B,2,0),"")</f>
        <v/>
      </c>
      <c r="H310">
        <f>发货清单!N310</f>
        <v>0</v>
      </c>
      <c r="I310" t="str">
        <f t="shared" si="36"/>
        <v/>
      </c>
      <c r="J310" t="str">
        <f t="shared" si="37"/>
        <v xml:space="preserve"> </v>
      </c>
      <c r="K310" t="str">
        <f t="shared" si="38"/>
        <v/>
      </c>
      <c r="L310" t="str">
        <f t="shared" si="39"/>
        <v/>
      </c>
      <c r="N310" s="245">
        <f t="shared" si="40"/>
        <v>0</v>
      </c>
      <c r="O310" s="245">
        <f t="shared" si="41"/>
        <v>0</v>
      </c>
      <c r="P310" t="str">
        <f t="shared" si="42"/>
        <v/>
      </c>
      <c r="Q310" t="str">
        <f>IFERROR(VLOOKUP(P310,数据库!C:M,11,0),"")</f>
        <v/>
      </c>
      <c r="R310" t="str">
        <f t="shared" si="43"/>
        <v/>
      </c>
      <c r="S310">
        <f t="shared" si="44"/>
        <v>0</v>
      </c>
    </row>
    <row r="311" spans="1:19">
      <c r="A311" t="str">
        <f>IF(B311=0,"",发货清单!A311*10^6+COUNTIF($D$2:D311,D311)*10^3+ROW(A310))</f>
        <v/>
      </c>
      <c r="B311">
        <f>IFERROR(LEFT(发货清单!H311,SEARCH("-",发货清单!H311)-1),发货清单!H311)</f>
        <v>0</v>
      </c>
      <c r="C311" t="str">
        <f>IFERROR(VLOOKUP(发货清单!A311,数据库!A:D,4,0),"")</f>
        <v/>
      </c>
      <c r="D311" t="str">
        <f>IFERROR(VLOOKUP(发货清单!A311,数据库!A:C,3,0),"")</f>
        <v/>
      </c>
      <c r="E311">
        <f>发货清单!M311</f>
        <v>0</v>
      </c>
      <c r="F311">
        <f>发货清单!U311</f>
        <v>0</v>
      </c>
      <c r="G311" t="str">
        <f>IFERROR(VLOOKUP(发货清单!A311,数据库!A:B,2,0),"")</f>
        <v/>
      </c>
      <c r="H311">
        <f>发货清单!N311</f>
        <v>0</v>
      </c>
      <c r="I311" t="str">
        <f t="shared" si="36"/>
        <v/>
      </c>
      <c r="J311" t="str">
        <f t="shared" si="37"/>
        <v xml:space="preserve"> </v>
      </c>
      <c r="K311" t="str">
        <f t="shared" si="38"/>
        <v/>
      </c>
      <c r="L311" t="str">
        <f t="shared" si="39"/>
        <v/>
      </c>
      <c r="N311" s="245">
        <f t="shared" si="40"/>
        <v>0</v>
      </c>
      <c r="O311" s="245">
        <f t="shared" si="41"/>
        <v>0</v>
      </c>
      <c r="P311" t="str">
        <f t="shared" si="42"/>
        <v/>
      </c>
      <c r="Q311" t="str">
        <f>IFERROR(VLOOKUP(P311,数据库!C:M,11,0),"")</f>
        <v/>
      </c>
      <c r="R311" t="str">
        <f t="shared" si="43"/>
        <v/>
      </c>
      <c r="S311">
        <f t="shared" si="44"/>
        <v>0</v>
      </c>
    </row>
    <row r="312" spans="1:19">
      <c r="A312" t="str">
        <f>IF(B312=0,"",发货清单!A312*10^6+COUNTIF($D$2:D312,D312)*10^3+ROW(A311))</f>
        <v/>
      </c>
      <c r="B312">
        <f>IFERROR(LEFT(发货清单!H312,SEARCH("-",发货清单!H312)-1),发货清单!H312)</f>
        <v>0</v>
      </c>
      <c r="C312" t="str">
        <f>IFERROR(VLOOKUP(发货清单!A312,数据库!A:D,4,0),"")</f>
        <v/>
      </c>
      <c r="D312" t="str">
        <f>IFERROR(VLOOKUP(发货清单!A312,数据库!A:C,3,0),"")</f>
        <v/>
      </c>
      <c r="E312">
        <f>发货清单!M312</f>
        <v>0</v>
      </c>
      <c r="F312">
        <f>发货清单!U312</f>
        <v>0</v>
      </c>
      <c r="G312" t="str">
        <f>IFERROR(VLOOKUP(发货清单!A312,数据库!A:B,2,0),"")</f>
        <v/>
      </c>
      <c r="H312">
        <f>发货清单!N312</f>
        <v>0</v>
      </c>
      <c r="I312" t="str">
        <f t="shared" si="36"/>
        <v/>
      </c>
      <c r="J312" t="str">
        <f t="shared" si="37"/>
        <v xml:space="preserve"> </v>
      </c>
      <c r="K312" t="str">
        <f t="shared" si="38"/>
        <v/>
      </c>
      <c r="L312" t="str">
        <f t="shared" si="39"/>
        <v/>
      </c>
      <c r="N312" s="245">
        <f t="shared" si="40"/>
        <v>0</v>
      </c>
      <c r="O312" s="245">
        <f t="shared" si="41"/>
        <v>0</v>
      </c>
      <c r="P312" t="str">
        <f t="shared" si="42"/>
        <v/>
      </c>
      <c r="Q312" t="str">
        <f>IFERROR(VLOOKUP(P312,数据库!C:M,11,0),"")</f>
        <v/>
      </c>
      <c r="R312" t="str">
        <f t="shared" si="43"/>
        <v/>
      </c>
      <c r="S312">
        <f t="shared" si="44"/>
        <v>0</v>
      </c>
    </row>
    <row r="313" spans="1:19">
      <c r="A313" t="str">
        <f>IF(B313=0,"",发货清单!A313*10^6+COUNTIF($D$2:D313,D313)*10^3+ROW(A312))</f>
        <v/>
      </c>
      <c r="B313">
        <f>IFERROR(LEFT(发货清单!H313,SEARCH("-",发货清单!H313)-1),发货清单!H313)</f>
        <v>0</v>
      </c>
      <c r="C313" t="str">
        <f>IFERROR(VLOOKUP(发货清单!A313,数据库!A:D,4,0),"")</f>
        <v/>
      </c>
      <c r="D313" t="str">
        <f>IFERROR(VLOOKUP(发货清单!A313,数据库!A:C,3,0),"")</f>
        <v/>
      </c>
      <c r="E313">
        <f>发货清单!M313</f>
        <v>0</v>
      </c>
      <c r="F313">
        <f>发货清单!U313</f>
        <v>0</v>
      </c>
      <c r="G313" t="str">
        <f>IFERROR(VLOOKUP(发货清单!A313,数据库!A:B,2,0),"")</f>
        <v/>
      </c>
      <c r="H313">
        <f>发货清单!N313</f>
        <v>0</v>
      </c>
      <c r="I313" t="str">
        <f t="shared" si="36"/>
        <v/>
      </c>
      <c r="J313" t="str">
        <f t="shared" si="37"/>
        <v xml:space="preserve"> </v>
      </c>
      <c r="K313" t="str">
        <f t="shared" si="38"/>
        <v/>
      </c>
      <c r="L313" t="str">
        <f t="shared" si="39"/>
        <v/>
      </c>
      <c r="N313" s="245">
        <f t="shared" si="40"/>
        <v>0</v>
      </c>
      <c r="O313" s="245">
        <f t="shared" si="41"/>
        <v>0</v>
      </c>
      <c r="P313" t="str">
        <f t="shared" si="42"/>
        <v/>
      </c>
      <c r="Q313" t="str">
        <f>IFERROR(VLOOKUP(P313,数据库!C:M,11,0),"")</f>
        <v/>
      </c>
      <c r="R313" t="str">
        <f t="shared" si="43"/>
        <v/>
      </c>
      <c r="S313">
        <f t="shared" si="44"/>
        <v>0</v>
      </c>
    </row>
    <row r="314" spans="1:19">
      <c r="A314" t="str">
        <f>IF(B314=0,"",发货清单!A314*10^6+COUNTIF($D$2:D314,D314)*10^3+ROW(A313))</f>
        <v/>
      </c>
      <c r="B314">
        <f>IFERROR(LEFT(发货清单!H314,SEARCH("-",发货清单!H314)-1),发货清单!H314)</f>
        <v>0</v>
      </c>
      <c r="C314" t="str">
        <f>IFERROR(VLOOKUP(发货清单!A314,数据库!A:D,4,0),"")</f>
        <v/>
      </c>
      <c r="D314" t="str">
        <f>IFERROR(VLOOKUP(发货清单!A314,数据库!A:C,3,0),"")</f>
        <v/>
      </c>
      <c r="E314">
        <f>发货清单!M314</f>
        <v>0</v>
      </c>
      <c r="F314">
        <f>发货清单!U314</f>
        <v>0</v>
      </c>
      <c r="G314" t="str">
        <f>IFERROR(VLOOKUP(发货清单!A314,数据库!A:B,2,0),"")</f>
        <v/>
      </c>
      <c r="H314">
        <f>发货清单!N314</f>
        <v>0</v>
      </c>
      <c r="I314" t="str">
        <f t="shared" si="36"/>
        <v/>
      </c>
      <c r="J314" t="str">
        <f t="shared" si="37"/>
        <v xml:space="preserve"> </v>
      </c>
      <c r="K314" t="str">
        <f t="shared" si="38"/>
        <v/>
      </c>
      <c r="L314" t="str">
        <f t="shared" si="39"/>
        <v/>
      </c>
      <c r="N314" s="245">
        <f t="shared" si="40"/>
        <v>0</v>
      </c>
      <c r="O314" s="245">
        <f t="shared" si="41"/>
        <v>0</v>
      </c>
      <c r="P314" t="str">
        <f t="shared" si="42"/>
        <v/>
      </c>
      <c r="Q314" t="str">
        <f>IFERROR(VLOOKUP(P314,数据库!C:M,11,0),"")</f>
        <v/>
      </c>
      <c r="R314" t="str">
        <f t="shared" si="43"/>
        <v/>
      </c>
      <c r="S314">
        <f t="shared" si="44"/>
        <v>0</v>
      </c>
    </row>
    <row r="315" spans="1:19">
      <c r="A315" t="str">
        <f>IF(B315=0,"",发货清单!A315*10^6+COUNTIF($D$2:D315,D315)*10^3+ROW(A314))</f>
        <v/>
      </c>
      <c r="B315">
        <f>IFERROR(LEFT(发货清单!H315,SEARCH("-",发货清单!H315)-1),发货清单!H315)</f>
        <v>0</v>
      </c>
      <c r="C315" t="str">
        <f>IFERROR(VLOOKUP(发货清单!A315,数据库!A:D,4,0),"")</f>
        <v/>
      </c>
      <c r="D315" t="str">
        <f>IFERROR(VLOOKUP(发货清单!A315,数据库!A:C,3,0),"")</f>
        <v/>
      </c>
      <c r="E315">
        <f>发货清单!M315</f>
        <v>0</v>
      </c>
      <c r="F315">
        <f>发货清单!U315</f>
        <v>0</v>
      </c>
      <c r="G315" t="str">
        <f>IFERROR(VLOOKUP(发货清单!A315,数据库!A:B,2,0),"")</f>
        <v/>
      </c>
      <c r="H315">
        <f>发货清单!N315</f>
        <v>0</v>
      </c>
      <c r="I315" t="str">
        <f t="shared" si="36"/>
        <v/>
      </c>
      <c r="J315" t="str">
        <f t="shared" si="37"/>
        <v xml:space="preserve"> </v>
      </c>
      <c r="K315" t="str">
        <f t="shared" si="38"/>
        <v/>
      </c>
      <c r="L315" t="str">
        <f t="shared" si="39"/>
        <v/>
      </c>
      <c r="N315" s="245">
        <f t="shared" si="40"/>
        <v>0</v>
      </c>
      <c r="O315" s="245">
        <f t="shared" si="41"/>
        <v>0</v>
      </c>
      <c r="P315" t="str">
        <f t="shared" si="42"/>
        <v/>
      </c>
      <c r="Q315" t="str">
        <f>IFERROR(VLOOKUP(P315,数据库!C:M,11,0),"")</f>
        <v/>
      </c>
      <c r="R315" t="str">
        <f t="shared" si="43"/>
        <v/>
      </c>
      <c r="S315">
        <f t="shared" si="44"/>
        <v>0</v>
      </c>
    </row>
    <row r="316" spans="1:19">
      <c r="A316" t="str">
        <f>IF(B316=0,"",发货清单!A316*10^6+COUNTIF($D$2:D316,D316)*10^3+ROW(A315))</f>
        <v/>
      </c>
      <c r="B316">
        <f>IFERROR(LEFT(发货清单!H316,SEARCH("-",发货清单!H316)-1),发货清单!H316)</f>
        <v>0</v>
      </c>
      <c r="C316" t="str">
        <f>IFERROR(VLOOKUP(发货清单!A316,数据库!A:D,4,0),"")</f>
        <v/>
      </c>
      <c r="D316" t="str">
        <f>IFERROR(VLOOKUP(发货清单!A316,数据库!A:C,3,0),"")</f>
        <v/>
      </c>
      <c r="E316">
        <f>发货清单!M316</f>
        <v>0</v>
      </c>
      <c r="F316">
        <f>发货清单!U316</f>
        <v>0</v>
      </c>
      <c r="G316" t="str">
        <f>IFERROR(VLOOKUP(发货清单!A316,数据库!A:B,2,0),"")</f>
        <v/>
      </c>
      <c r="H316">
        <f>发货清单!N316</f>
        <v>0</v>
      </c>
      <c r="I316" t="str">
        <f t="shared" si="36"/>
        <v/>
      </c>
      <c r="J316" t="str">
        <f t="shared" si="37"/>
        <v xml:space="preserve"> </v>
      </c>
      <c r="K316" t="str">
        <f t="shared" si="38"/>
        <v/>
      </c>
      <c r="L316" t="str">
        <f t="shared" si="39"/>
        <v/>
      </c>
      <c r="N316" s="245">
        <f t="shared" si="40"/>
        <v>0</v>
      </c>
      <c r="O316" s="245">
        <f t="shared" si="41"/>
        <v>0</v>
      </c>
      <c r="P316" t="str">
        <f t="shared" si="42"/>
        <v/>
      </c>
      <c r="Q316" t="str">
        <f>IFERROR(VLOOKUP(P316,数据库!C:M,11,0),"")</f>
        <v/>
      </c>
      <c r="R316" t="str">
        <f t="shared" si="43"/>
        <v/>
      </c>
      <c r="S316">
        <f t="shared" si="44"/>
        <v>0</v>
      </c>
    </row>
    <row r="317" spans="1:19">
      <c r="A317" t="str">
        <f>IF(B317=0,"",发货清单!A317*10^6+COUNTIF($D$2:D317,D317)*10^3+ROW(A316))</f>
        <v/>
      </c>
      <c r="B317">
        <f>IFERROR(LEFT(发货清单!H317,SEARCH("-",发货清单!H317)-1),发货清单!H317)</f>
        <v>0</v>
      </c>
      <c r="C317" t="str">
        <f>IFERROR(VLOOKUP(发货清单!A317,数据库!A:D,4,0),"")</f>
        <v/>
      </c>
      <c r="D317" t="str">
        <f>IFERROR(VLOOKUP(发货清单!A317,数据库!A:C,3,0),"")</f>
        <v/>
      </c>
      <c r="E317">
        <f>发货清单!M317</f>
        <v>0</v>
      </c>
      <c r="F317">
        <f>发货清单!U317</f>
        <v>0</v>
      </c>
      <c r="G317" t="str">
        <f>IFERROR(VLOOKUP(发货清单!A317,数据库!A:B,2,0),"")</f>
        <v/>
      </c>
      <c r="H317">
        <f>发货清单!N317</f>
        <v>0</v>
      </c>
      <c r="I317" t="str">
        <f t="shared" si="36"/>
        <v/>
      </c>
      <c r="J317" t="str">
        <f t="shared" si="37"/>
        <v xml:space="preserve"> </v>
      </c>
      <c r="K317" t="str">
        <f t="shared" si="38"/>
        <v/>
      </c>
      <c r="L317" t="str">
        <f t="shared" si="39"/>
        <v/>
      </c>
      <c r="N317" s="245">
        <f t="shared" si="40"/>
        <v>0</v>
      </c>
      <c r="O317" s="245">
        <f t="shared" si="41"/>
        <v>0</v>
      </c>
      <c r="P317" t="str">
        <f t="shared" si="42"/>
        <v/>
      </c>
      <c r="Q317" t="str">
        <f>IFERROR(VLOOKUP(P317,数据库!C:M,11,0),"")</f>
        <v/>
      </c>
      <c r="R317" t="str">
        <f t="shared" si="43"/>
        <v/>
      </c>
      <c r="S317">
        <f t="shared" si="44"/>
        <v>0</v>
      </c>
    </row>
    <row r="318" spans="1:19">
      <c r="A318" t="str">
        <f>IF(B318=0,"",发货清单!A318*10^6+COUNTIF($D$2:D318,D318)*10^3+ROW(A317))</f>
        <v/>
      </c>
      <c r="B318">
        <f>IFERROR(LEFT(发货清单!H318,SEARCH("-",发货清单!H318)-1),发货清单!H318)</f>
        <v>0</v>
      </c>
      <c r="C318" t="str">
        <f>IFERROR(VLOOKUP(发货清单!A318,数据库!A:D,4,0),"")</f>
        <v/>
      </c>
      <c r="D318" t="str">
        <f>IFERROR(VLOOKUP(发货清单!A318,数据库!A:C,3,0),"")</f>
        <v/>
      </c>
      <c r="E318">
        <f>发货清单!M318</f>
        <v>0</v>
      </c>
      <c r="F318">
        <f>发货清单!U318</f>
        <v>0</v>
      </c>
      <c r="G318" t="str">
        <f>IFERROR(VLOOKUP(发货清单!A318,数据库!A:B,2,0),"")</f>
        <v/>
      </c>
      <c r="H318">
        <f>发货清单!N318</f>
        <v>0</v>
      </c>
      <c r="I318" t="str">
        <f t="shared" si="36"/>
        <v/>
      </c>
      <c r="J318" t="str">
        <f t="shared" si="37"/>
        <v xml:space="preserve"> </v>
      </c>
      <c r="K318" t="str">
        <f t="shared" si="38"/>
        <v/>
      </c>
      <c r="L318" t="str">
        <f t="shared" si="39"/>
        <v/>
      </c>
      <c r="N318" s="245">
        <f t="shared" si="40"/>
        <v>0</v>
      </c>
      <c r="O318" s="245">
        <f t="shared" si="41"/>
        <v>0</v>
      </c>
      <c r="P318" t="str">
        <f t="shared" si="42"/>
        <v/>
      </c>
      <c r="Q318" t="str">
        <f>IFERROR(VLOOKUP(P318,数据库!C:M,11,0),"")</f>
        <v/>
      </c>
      <c r="R318" t="str">
        <f t="shared" si="43"/>
        <v/>
      </c>
      <c r="S318">
        <f t="shared" si="44"/>
        <v>0</v>
      </c>
    </row>
    <row r="319" spans="1:19">
      <c r="A319" t="str">
        <f>IF(B319=0,"",发货清单!A319*10^6+COUNTIF($D$2:D319,D319)*10^3+ROW(A318))</f>
        <v/>
      </c>
      <c r="B319">
        <f>IFERROR(LEFT(发货清单!H319,SEARCH("-",发货清单!H319)-1),发货清单!H319)</f>
        <v>0</v>
      </c>
      <c r="C319" t="str">
        <f>IFERROR(VLOOKUP(发货清单!A319,数据库!A:D,4,0),"")</f>
        <v/>
      </c>
      <c r="D319" t="str">
        <f>IFERROR(VLOOKUP(发货清单!A319,数据库!A:C,3,0),"")</f>
        <v/>
      </c>
      <c r="E319">
        <f>发货清单!M319</f>
        <v>0</v>
      </c>
      <c r="F319">
        <f>发货清单!U319</f>
        <v>0</v>
      </c>
      <c r="G319" t="str">
        <f>IFERROR(VLOOKUP(发货清单!A319,数据库!A:B,2,0),"")</f>
        <v/>
      </c>
      <c r="H319">
        <f>发货清单!N319</f>
        <v>0</v>
      </c>
      <c r="I319" t="str">
        <f t="shared" si="36"/>
        <v/>
      </c>
      <c r="J319" t="str">
        <f t="shared" si="37"/>
        <v xml:space="preserve"> </v>
      </c>
      <c r="K319" t="str">
        <f t="shared" si="38"/>
        <v/>
      </c>
      <c r="L319" t="str">
        <f t="shared" si="39"/>
        <v/>
      </c>
      <c r="N319" s="245">
        <f t="shared" si="40"/>
        <v>0</v>
      </c>
      <c r="O319" s="245">
        <f t="shared" si="41"/>
        <v>0</v>
      </c>
      <c r="P319" t="str">
        <f t="shared" si="42"/>
        <v/>
      </c>
      <c r="Q319" t="str">
        <f>IFERROR(VLOOKUP(P319,数据库!C:M,11,0),"")</f>
        <v/>
      </c>
      <c r="R319" t="str">
        <f t="shared" si="43"/>
        <v/>
      </c>
      <c r="S319">
        <f t="shared" si="44"/>
        <v>0</v>
      </c>
    </row>
    <row r="320" spans="1:19">
      <c r="A320" t="str">
        <f>IF(B320=0,"",发货清单!A320*10^6+COUNTIF($D$2:D320,D320)*10^3+ROW(A319))</f>
        <v/>
      </c>
      <c r="B320">
        <f>IFERROR(LEFT(发货清单!H320,SEARCH("-",发货清单!H320)-1),发货清单!H320)</f>
        <v>0</v>
      </c>
      <c r="C320" t="str">
        <f>IFERROR(VLOOKUP(发货清单!A320,数据库!A:D,4,0),"")</f>
        <v/>
      </c>
      <c r="D320" t="str">
        <f>IFERROR(VLOOKUP(发货清单!A320,数据库!A:C,3,0),"")</f>
        <v/>
      </c>
      <c r="E320">
        <f>发货清单!M320</f>
        <v>0</v>
      </c>
      <c r="F320">
        <f>发货清单!U320</f>
        <v>0</v>
      </c>
      <c r="G320" t="str">
        <f>IFERROR(VLOOKUP(发货清单!A320,数据库!A:B,2,0),"")</f>
        <v/>
      </c>
      <c r="H320">
        <f>发货清单!N320</f>
        <v>0</v>
      </c>
      <c r="I320" t="str">
        <f t="shared" si="36"/>
        <v/>
      </c>
      <c r="J320" t="str">
        <f t="shared" si="37"/>
        <v xml:space="preserve"> </v>
      </c>
      <c r="K320" t="str">
        <f t="shared" si="38"/>
        <v/>
      </c>
      <c r="L320" t="str">
        <f t="shared" si="39"/>
        <v/>
      </c>
      <c r="N320" s="245">
        <f t="shared" si="40"/>
        <v>0</v>
      </c>
      <c r="O320" s="245">
        <f t="shared" si="41"/>
        <v>0</v>
      </c>
      <c r="P320" t="str">
        <f t="shared" si="42"/>
        <v/>
      </c>
      <c r="Q320" t="str">
        <f>IFERROR(VLOOKUP(P320,数据库!C:M,11,0),"")</f>
        <v/>
      </c>
      <c r="R320" t="str">
        <f t="shared" si="43"/>
        <v/>
      </c>
      <c r="S320">
        <f t="shared" si="44"/>
        <v>0</v>
      </c>
    </row>
    <row r="321" spans="1:19">
      <c r="A321" t="str">
        <f>IF(B321=0,"",发货清单!A321*10^6+COUNTIF($D$2:D321,D321)*10^3+ROW(A320))</f>
        <v/>
      </c>
      <c r="B321">
        <f>IFERROR(LEFT(发货清单!H321,SEARCH("-",发货清单!H321)-1),发货清单!H321)</f>
        <v>0</v>
      </c>
      <c r="C321" t="str">
        <f>IFERROR(VLOOKUP(发货清单!A321,数据库!A:D,4,0),"")</f>
        <v/>
      </c>
      <c r="D321" t="str">
        <f>IFERROR(VLOOKUP(发货清单!A321,数据库!A:C,3,0),"")</f>
        <v/>
      </c>
      <c r="E321">
        <f>发货清单!M321</f>
        <v>0</v>
      </c>
      <c r="F321">
        <f>发货清单!U321</f>
        <v>0</v>
      </c>
      <c r="G321" t="str">
        <f>IFERROR(VLOOKUP(发货清单!A321,数据库!A:B,2,0),"")</f>
        <v/>
      </c>
      <c r="H321">
        <f>发货清单!N321</f>
        <v>0</v>
      </c>
      <c r="I321" t="str">
        <f t="shared" si="36"/>
        <v/>
      </c>
      <c r="J321" t="str">
        <f t="shared" si="37"/>
        <v xml:space="preserve"> </v>
      </c>
      <c r="K321" t="str">
        <f t="shared" si="38"/>
        <v/>
      </c>
      <c r="L321" t="str">
        <f t="shared" si="39"/>
        <v/>
      </c>
      <c r="N321" s="245">
        <f t="shared" si="40"/>
        <v>0</v>
      </c>
      <c r="O321" s="245">
        <f t="shared" si="41"/>
        <v>0</v>
      </c>
      <c r="P321" t="str">
        <f t="shared" si="42"/>
        <v/>
      </c>
      <c r="Q321" t="str">
        <f>IFERROR(VLOOKUP(P321,数据库!C:M,11,0),"")</f>
        <v/>
      </c>
      <c r="R321" t="str">
        <f t="shared" si="43"/>
        <v/>
      </c>
      <c r="S321">
        <f t="shared" si="44"/>
        <v>0</v>
      </c>
    </row>
    <row r="322" spans="1:19">
      <c r="A322" t="str">
        <f>IF(B322=0,"",发货清单!A322*10^6+COUNTIF($D$2:D322,D322)*10^3+ROW(A321))</f>
        <v/>
      </c>
      <c r="B322">
        <f>IFERROR(LEFT(发货清单!H322,SEARCH("-",发货清单!H322)-1),发货清单!H322)</f>
        <v>0</v>
      </c>
      <c r="C322" t="str">
        <f>IFERROR(VLOOKUP(发货清单!A322,数据库!A:D,4,0),"")</f>
        <v/>
      </c>
      <c r="D322" t="str">
        <f>IFERROR(VLOOKUP(发货清单!A322,数据库!A:C,3,0),"")</f>
        <v/>
      </c>
      <c r="E322">
        <f>发货清单!M322</f>
        <v>0</v>
      </c>
      <c r="F322">
        <f>发货清单!U322</f>
        <v>0</v>
      </c>
      <c r="G322" t="str">
        <f>IFERROR(VLOOKUP(发货清单!A322,数据库!A:B,2,0),"")</f>
        <v/>
      </c>
      <c r="H322">
        <f>发货清单!N322</f>
        <v>0</v>
      </c>
      <c r="I322" t="str">
        <f t="shared" si="36"/>
        <v/>
      </c>
      <c r="J322" t="str">
        <f t="shared" si="37"/>
        <v xml:space="preserve"> </v>
      </c>
      <c r="K322" t="str">
        <f t="shared" si="38"/>
        <v/>
      </c>
      <c r="L322" t="str">
        <f t="shared" si="39"/>
        <v/>
      </c>
      <c r="N322" s="245">
        <f t="shared" si="40"/>
        <v>0</v>
      </c>
      <c r="O322" s="245">
        <f t="shared" si="41"/>
        <v>0</v>
      </c>
      <c r="P322" t="str">
        <f t="shared" si="42"/>
        <v/>
      </c>
      <c r="Q322" t="str">
        <f>IFERROR(VLOOKUP(P322,数据库!C:M,11,0),"")</f>
        <v/>
      </c>
      <c r="R322" t="str">
        <f t="shared" si="43"/>
        <v/>
      </c>
      <c r="S322">
        <f t="shared" si="44"/>
        <v>0</v>
      </c>
    </row>
    <row r="323" spans="1:19">
      <c r="A323" t="str">
        <f>IF(B323=0,"",发货清单!A323*10^6+COUNTIF($D$2:D323,D323)*10^3+ROW(A322))</f>
        <v/>
      </c>
      <c r="B323">
        <f>IFERROR(LEFT(发货清单!H323,SEARCH("-",发货清单!H323)-1),发货清单!H323)</f>
        <v>0</v>
      </c>
      <c r="C323" t="str">
        <f>IFERROR(VLOOKUP(发货清单!A323,数据库!A:D,4,0),"")</f>
        <v/>
      </c>
      <c r="D323" t="str">
        <f>IFERROR(VLOOKUP(发货清单!A323,数据库!A:C,3,0),"")</f>
        <v/>
      </c>
      <c r="E323">
        <f>发货清单!M323</f>
        <v>0</v>
      </c>
      <c r="F323">
        <f>发货清单!U323</f>
        <v>0</v>
      </c>
      <c r="G323" t="str">
        <f>IFERROR(VLOOKUP(发货清单!A323,数据库!A:B,2,0),"")</f>
        <v/>
      </c>
      <c r="H323">
        <f>发货清单!N323</f>
        <v>0</v>
      </c>
      <c r="I323" t="str">
        <f t="shared" ref="I323:I386" si="45">IFERROR(SMALL(A:A,ROW(A322)),"")</f>
        <v/>
      </c>
      <c r="J323" t="str">
        <f t="shared" ref="J323:J386" si="46">IFERROR(IF(RIGHT(I323,6)-2000&gt;0," ",I323)," ")</f>
        <v xml:space="preserve"> </v>
      </c>
      <c r="K323" t="str">
        <f t="shared" ref="K323:K386" si="47">IFERROR(SMALL(J:J,ROW(A322)),"")</f>
        <v/>
      </c>
      <c r="L323" t="str">
        <f t="shared" ref="L323:L386" si="48">IFERROR(VLOOKUP(K323,A:G,7,0)," ")</f>
        <v/>
      </c>
      <c r="N323" s="245">
        <f t="shared" ref="N323:N386" si="49">IF(P323=" ",0,SUMIF(D:D,P323,E:E))</f>
        <v>0</v>
      </c>
      <c r="O323" s="245">
        <f t="shared" ref="O323:O386" si="50">SUMIF(D:D,P323,F:F)</f>
        <v>0</v>
      </c>
      <c r="P323" t="str">
        <f t="shared" ref="P323:P386" si="51">IFERROR(VLOOKUP(K323,A:D,4,0)," ")</f>
        <v/>
      </c>
      <c r="Q323" t="str">
        <f>IFERROR(VLOOKUP(P323,数据库!C:M,11,0),"")</f>
        <v/>
      </c>
      <c r="R323" t="str">
        <f t="shared" ref="R323:R386" si="52">IFERROR(VLOOKUP(K323,A:C,3,0)," ")</f>
        <v/>
      </c>
      <c r="S323">
        <f t="shared" ref="S323:S386" si="53">IFERROR(VLOOKUP(K323,A:H,8,0)," ")</f>
        <v>0</v>
      </c>
    </row>
    <row r="324" spans="1:19">
      <c r="A324" t="str">
        <f>IF(B324=0,"",发货清单!A324*10^6+COUNTIF($D$2:D324,D324)*10^3+ROW(A323))</f>
        <v/>
      </c>
      <c r="B324">
        <f>IFERROR(LEFT(发货清单!H324,SEARCH("-",发货清单!H324)-1),发货清单!H324)</f>
        <v>0</v>
      </c>
      <c r="C324" t="str">
        <f>IFERROR(VLOOKUP(发货清单!A324,数据库!A:D,4,0),"")</f>
        <v/>
      </c>
      <c r="D324" t="str">
        <f>IFERROR(VLOOKUP(发货清单!A324,数据库!A:C,3,0),"")</f>
        <v/>
      </c>
      <c r="E324">
        <f>发货清单!M324</f>
        <v>0</v>
      </c>
      <c r="F324">
        <f>发货清单!U324</f>
        <v>0</v>
      </c>
      <c r="G324" t="str">
        <f>IFERROR(VLOOKUP(发货清单!A324,数据库!A:B,2,0),"")</f>
        <v/>
      </c>
      <c r="H324">
        <f>发货清单!N324</f>
        <v>0</v>
      </c>
      <c r="I324" t="str">
        <f t="shared" si="45"/>
        <v/>
      </c>
      <c r="J324" t="str">
        <f t="shared" si="46"/>
        <v xml:space="preserve"> </v>
      </c>
      <c r="K324" t="str">
        <f t="shared" si="47"/>
        <v/>
      </c>
      <c r="L324" t="str">
        <f t="shared" si="48"/>
        <v/>
      </c>
      <c r="N324" s="245">
        <f t="shared" si="49"/>
        <v>0</v>
      </c>
      <c r="O324" s="245">
        <f t="shared" si="50"/>
        <v>0</v>
      </c>
      <c r="P324" t="str">
        <f t="shared" si="51"/>
        <v/>
      </c>
      <c r="Q324" t="str">
        <f>IFERROR(VLOOKUP(P324,数据库!C:M,11,0),"")</f>
        <v/>
      </c>
      <c r="R324" t="str">
        <f t="shared" si="52"/>
        <v/>
      </c>
      <c r="S324">
        <f t="shared" si="53"/>
        <v>0</v>
      </c>
    </row>
    <row r="325" spans="1:19">
      <c r="A325" t="str">
        <f>IF(B325=0,"",发货清单!A325*10^6+COUNTIF($D$2:D325,D325)*10^3+ROW(A324))</f>
        <v/>
      </c>
      <c r="B325">
        <f>IFERROR(LEFT(发货清单!H325,SEARCH("-",发货清单!H325)-1),发货清单!H325)</f>
        <v>0</v>
      </c>
      <c r="C325" t="str">
        <f>IFERROR(VLOOKUP(发货清单!A325,数据库!A:D,4,0),"")</f>
        <v/>
      </c>
      <c r="D325" t="str">
        <f>IFERROR(VLOOKUP(发货清单!A325,数据库!A:C,3,0),"")</f>
        <v/>
      </c>
      <c r="E325">
        <f>发货清单!M325</f>
        <v>0</v>
      </c>
      <c r="F325">
        <f>发货清单!U325</f>
        <v>0</v>
      </c>
      <c r="G325" t="str">
        <f>IFERROR(VLOOKUP(发货清单!A325,数据库!A:B,2,0),"")</f>
        <v/>
      </c>
      <c r="H325">
        <f>发货清单!N325</f>
        <v>0</v>
      </c>
      <c r="I325" t="str">
        <f t="shared" si="45"/>
        <v/>
      </c>
      <c r="J325" t="str">
        <f t="shared" si="46"/>
        <v xml:space="preserve"> </v>
      </c>
      <c r="K325" t="str">
        <f t="shared" si="47"/>
        <v/>
      </c>
      <c r="L325" t="str">
        <f t="shared" si="48"/>
        <v/>
      </c>
      <c r="N325" s="245">
        <f t="shared" si="49"/>
        <v>0</v>
      </c>
      <c r="O325" s="245">
        <f t="shared" si="50"/>
        <v>0</v>
      </c>
      <c r="P325" t="str">
        <f t="shared" si="51"/>
        <v/>
      </c>
      <c r="Q325" t="str">
        <f>IFERROR(VLOOKUP(P325,数据库!C:M,11,0),"")</f>
        <v/>
      </c>
      <c r="R325" t="str">
        <f t="shared" si="52"/>
        <v/>
      </c>
      <c r="S325">
        <f t="shared" si="53"/>
        <v>0</v>
      </c>
    </row>
    <row r="326" spans="1:19">
      <c r="A326" t="str">
        <f>IF(B326=0,"",发货清单!A326*10^6+COUNTIF($D$2:D326,D326)*10^3+ROW(A325))</f>
        <v/>
      </c>
      <c r="B326">
        <f>IFERROR(LEFT(发货清单!H326,SEARCH("-",发货清单!H326)-1),发货清单!H326)</f>
        <v>0</v>
      </c>
      <c r="C326" t="str">
        <f>IFERROR(VLOOKUP(发货清单!A326,数据库!A:D,4,0),"")</f>
        <v/>
      </c>
      <c r="D326" t="str">
        <f>IFERROR(VLOOKUP(发货清单!A326,数据库!A:C,3,0),"")</f>
        <v/>
      </c>
      <c r="E326">
        <f>发货清单!M326</f>
        <v>0</v>
      </c>
      <c r="F326">
        <f>发货清单!U326</f>
        <v>0</v>
      </c>
      <c r="G326" t="str">
        <f>IFERROR(VLOOKUP(发货清单!A326,数据库!A:B,2,0),"")</f>
        <v/>
      </c>
      <c r="H326">
        <f>发货清单!N326</f>
        <v>0</v>
      </c>
      <c r="I326" t="str">
        <f t="shared" si="45"/>
        <v/>
      </c>
      <c r="J326" t="str">
        <f t="shared" si="46"/>
        <v xml:space="preserve"> </v>
      </c>
      <c r="K326" t="str">
        <f t="shared" si="47"/>
        <v/>
      </c>
      <c r="L326" t="str">
        <f t="shared" si="48"/>
        <v/>
      </c>
      <c r="N326" s="245">
        <f t="shared" si="49"/>
        <v>0</v>
      </c>
      <c r="O326" s="245">
        <f t="shared" si="50"/>
        <v>0</v>
      </c>
      <c r="P326" t="str">
        <f t="shared" si="51"/>
        <v/>
      </c>
      <c r="Q326" t="str">
        <f>IFERROR(VLOOKUP(P326,数据库!C:M,11,0),"")</f>
        <v/>
      </c>
      <c r="R326" t="str">
        <f t="shared" si="52"/>
        <v/>
      </c>
      <c r="S326">
        <f t="shared" si="53"/>
        <v>0</v>
      </c>
    </row>
    <row r="327" spans="1:19">
      <c r="A327" t="str">
        <f>IF(B327=0,"",发货清单!A327*10^6+COUNTIF($D$2:D327,D327)*10^3+ROW(A326))</f>
        <v/>
      </c>
      <c r="B327">
        <f>IFERROR(LEFT(发货清单!H327,SEARCH("-",发货清单!H327)-1),发货清单!H327)</f>
        <v>0</v>
      </c>
      <c r="C327" t="str">
        <f>IFERROR(VLOOKUP(发货清单!A327,数据库!A:D,4,0),"")</f>
        <v/>
      </c>
      <c r="D327" t="str">
        <f>IFERROR(VLOOKUP(发货清单!A327,数据库!A:C,3,0),"")</f>
        <v/>
      </c>
      <c r="E327">
        <f>发货清单!M327</f>
        <v>0</v>
      </c>
      <c r="F327">
        <f>发货清单!U327</f>
        <v>0</v>
      </c>
      <c r="G327" t="str">
        <f>IFERROR(VLOOKUP(发货清单!A327,数据库!A:B,2,0),"")</f>
        <v/>
      </c>
      <c r="H327">
        <f>发货清单!N327</f>
        <v>0</v>
      </c>
      <c r="I327" t="str">
        <f t="shared" si="45"/>
        <v/>
      </c>
      <c r="J327" t="str">
        <f t="shared" si="46"/>
        <v xml:space="preserve"> </v>
      </c>
      <c r="K327" t="str">
        <f t="shared" si="47"/>
        <v/>
      </c>
      <c r="L327" t="str">
        <f t="shared" si="48"/>
        <v/>
      </c>
      <c r="N327" s="245">
        <f t="shared" si="49"/>
        <v>0</v>
      </c>
      <c r="O327" s="245">
        <f t="shared" si="50"/>
        <v>0</v>
      </c>
      <c r="P327" t="str">
        <f t="shared" si="51"/>
        <v/>
      </c>
      <c r="Q327" t="str">
        <f>IFERROR(VLOOKUP(P327,数据库!C:M,11,0),"")</f>
        <v/>
      </c>
      <c r="R327" t="str">
        <f t="shared" si="52"/>
        <v/>
      </c>
      <c r="S327">
        <f t="shared" si="53"/>
        <v>0</v>
      </c>
    </row>
    <row r="328" spans="1:19">
      <c r="A328" t="str">
        <f>IF(B328=0,"",发货清单!A328*10^6+COUNTIF($D$2:D328,D328)*10^3+ROW(A327))</f>
        <v/>
      </c>
      <c r="B328">
        <f>IFERROR(LEFT(发货清单!H328,SEARCH("-",发货清单!H328)-1),发货清单!H328)</f>
        <v>0</v>
      </c>
      <c r="C328" t="str">
        <f>IFERROR(VLOOKUP(发货清单!A328,数据库!A:D,4,0),"")</f>
        <v/>
      </c>
      <c r="D328" t="str">
        <f>IFERROR(VLOOKUP(发货清单!A328,数据库!A:C,3,0),"")</f>
        <v/>
      </c>
      <c r="E328">
        <f>发货清单!M328</f>
        <v>0</v>
      </c>
      <c r="F328">
        <f>发货清单!U328</f>
        <v>0</v>
      </c>
      <c r="G328" t="str">
        <f>IFERROR(VLOOKUP(发货清单!A328,数据库!A:B,2,0),"")</f>
        <v/>
      </c>
      <c r="H328">
        <f>发货清单!N328</f>
        <v>0</v>
      </c>
      <c r="I328" t="str">
        <f t="shared" si="45"/>
        <v/>
      </c>
      <c r="J328" t="str">
        <f t="shared" si="46"/>
        <v xml:space="preserve"> </v>
      </c>
      <c r="K328" t="str">
        <f t="shared" si="47"/>
        <v/>
      </c>
      <c r="L328" t="str">
        <f t="shared" si="48"/>
        <v/>
      </c>
      <c r="N328" s="245">
        <f t="shared" si="49"/>
        <v>0</v>
      </c>
      <c r="O328" s="245">
        <f t="shared" si="50"/>
        <v>0</v>
      </c>
      <c r="P328" t="str">
        <f t="shared" si="51"/>
        <v/>
      </c>
      <c r="Q328" t="str">
        <f>IFERROR(VLOOKUP(P328,数据库!C:M,11,0),"")</f>
        <v/>
      </c>
      <c r="R328" t="str">
        <f t="shared" si="52"/>
        <v/>
      </c>
      <c r="S328">
        <f t="shared" si="53"/>
        <v>0</v>
      </c>
    </row>
    <row r="329" spans="1:19">
      <c r="A329" t="str">
        <f>IF(B329=0,"",发货清单!A329*10^6+COUNTIF($D$2:D329,D329)*10^3+ROW(A328))</f>
        <v/>
      </c>
      <c r="B329">
        <f>IFERROR(LEFT(发货清单!H329,SEARCH("-",发货清单!H329)-1),发货清单!H329)</f>
        <v>0</v>
      </c>
      <c r="C329" t="str">
        <f>IFERROR(VLOOKUP(发货清单!A329,数据库!A:D,4,0),"")</f>
        <v/>
      </c>
      <c r="D329" t="str">
        <f>IFERROR(VLOOKUP(发货清单!A329,数据库!A:C,3,0),"")</f>
        <v/>
      </c>
      <c r="E329">
        <f>发货清单!M329</f>
        <v>0</v>
      </c>
      <c r="F329">
        <f>发货清单!U329</f>
        <v>0</v>
      </c>
      <c r="G329" t="str">
        <f>IFERROR(VLOOKUP(发货清单!A329,数据库!A:B,2,0),"")</f>
        <v/>
      </c>
      <c r="H329">
        <f>发货清单!N329</f>
        <v>0</v>
      </c>
      <c r="I329" t="str">
        <f t="shared" si="45"/>
        <v/>
      </c>
      <c r="J329" t="str">
        <f t="shared" si="46"/>
        <v xml:space="preserve"> </v>
      </c>
      <c r="K329" t="str">
        <f t="shared" si="47"/>
        <v/>
      </c>
      <c r="L329" t="str">
        <f t="shared" si="48"/>
        <v/>
      </c>
      <c r="N329" s="245">
        <f t="shared" si="49"/>
        <v>0</v>
      </c>
      <c r="O329" s="245">
        <f t="shared" si="50"/>
        <v>0</v>
      </c>
      <c r="P329" t="str">
        <f t="shared" si="51"/>
        <v/>
      </c>
      <c r="Q329" t="str">
        <f>IFERROR(VLOOKUP(P329,数据库!C:M,11,0),"")</f>
        <v/>
      </c>
      <c r="R329" t="str">
        <f t="shared" si="52"/>
        <v/>
      </c>
      <c r="S329">
        <f t="shared" si="53"/>
        <v>0</v>
      </c>
    </row>
    <row r="330" spans="1:19">
      <c r="A330" t="str">
        <f>IF(B330=0,"",发货清单!A330*10^6+COUNTIF($D$2:D330,D330)*10^3+ROW(A329))</f>
        <v/>
      </c>
      <c r="B330">
        <f>IFERROR(LEFT(发货清单!H330,SEARCH("-",发货清单!H330)-1),发货清单!H330)</f>
        <v>0</v>
      </c>
      <c r="C330" t="str">
        <f>IFERROR(VLOOKUP(发货清单!A330,数据库!A:D,4,0),"")</f>
        <v/>
      </c>
      <c r="D330" t="str">
        <f>IFERROR(VLOOKUP(发货清单!A330,数据库!A:C,3,0),"")</f>
        <v/>
      </c>
      <c r="E330">
        <f>发货清单!M330</f>
        <v>0</v>
      </c>
      <c r="F330">
        <f>发货清单!U330</f>
        <v>0</v>
      </c>
      <c r="G330" t="str">
        <f>IFERROR(VLOOKUP(发货清单!A330,数据库!A:B,2,0),"")</f>
        <v/>
      </c>
      <c r="H330">
        <f>发货清单!N330</f>
        <v>0</v>
      </c>
      <c r="I330" t="str">
        <f t="shared" si="45"/>
        <v/>
      </c>
      <c r="J330" t="str">
        <f t="shared" si="46"/>
        <v xml:space="preserve"> </v>
      </c>
      <c r="K330" t="str">
        <f t="shared" si="47"/>
        <v/>
      </c>
      <c r="L330" t="str">
        <f t="shared" si="48"/>
        <v/>
      </c>
      <c r="N330" s="245">
        <f t="shared" si="49"/>
        <v>0</v>
      </c>
      <c r="O330" s="245">
        <f t="shared" si="50"/>
        <v>0</v>
      </c>
      <c r="P330" t="str">
        <f t="shared" si="51"/>
        <v/>
      </c>
      <c r="Q330" t="str">
        <f>IFERROR(VLOOKUP(P330,数据库!C:M,11,0),"")</f>
        <v/>
      </c>
      <c r="R330" t="str">
        <f t="shared" si="52"/>
        <v/>
      </c>
      <c r="S330">
        <f t="shared" si="53"/>
        <v>0</v>
      </c>
    </row>
    <row r="331" spans="1:19">
      <c r="A331" t="str">
        <f>IF(B331=0,"",发货清单!A331*10^6+COUNTIF($D$2:D331,D331)*10^3+ROW(A330))</f>
        <v/>
      </c>
      <c r="B331">
        <f>IFERROR(LEFT(发货清单!H331,SEARCH("-",发货清单!H331)-1),发货清单!H331)</f>
        <v>0</v>
      </c>
      <c r="C331" t="str">
        <f>IFERROR(VLOOKUP(发货清单!A331,数据库!A:D,4,0),"")</f>
        <v/>
      </c>
      <c r="D331" t="str">
        <f>IFERROR(VLOOKUP(发货清单!A331,数据库!A:C,3,0),"")</f>
        <v/>
      </c>
      <c r="E331">
        <f>发货清单!M331</f>
        <v>0</v>
      </c>
      <c r="F331">
        <f>发货清单!U331</f>
        <v>0</v>
      </c>
      <c r="G331" t="str">
        <f>IFERROR(VLOOKUP(发货清单!A331,数据库!A:B,2,0),"")</f>
        <v/>
      </c>
      <c r="H331">
        <f>发货清单!N331</f>
        <v>0</v>
      </c>
      <c r="I331" t="str">
        <f t="shared" si="45"/>
        <v/>
      </c>
      <c r="J331" t="str">
        <f t="shared" si="46"/>
        <v xml:space="preserve"> </v>
      </c>
      <c r="K331" t="str">
        <f t="shared" si="47"/>
        <v/>
      </c>
      <c r="L331" t="str">
        <f t="shared" si="48"/>
        <v/>
      </c>
      <c r="N331" s="245">
        <f t="shared" si="49"/>
        <v>0</v>
      </c>
      <c r="O331" s="245">
        <f t="shared" si="50"/>
        <v>0</v>
      </c>
      <c r="P331" t="str">
        <f t="shared" si="51"/>
        <v/>
      </c>
      <c r="Q331" t="str">
        <f>IFERROR(VLOOKUP(P331,数据库!C:M,11,0),"")</f>
        <v/>
      </c>
      <c r="R331" t="str">
        <f t="shared" si="52"/>
        <v/>
      </c>
      <c r="S331">
        <f t="shared" si="53"/>
        <v>0</v>
      </c>
    </row>
    <row r="332" spans="1:19">
      <c r="A332" t="str">
        <f>IF(B332=0,"",发货清单!A332*10^6+COUNTIF($D$2:D332,D332)*10^3+ROW(A331))</f>
        <v/>
      </c>
      <c r="B332">
        <f>IFERROR(LEFT(发货清单!H332,SEARCH("-",发货清单!H332)-1),发货清单!H332)</f>
        <v>0</v>
      </c>
      <c r="C332" t="str">
        <f>IFERROR(VLOOKUP(发货清单!A332,数据库!A:D,4,0),"")</f>
        <v/>
      </c>
      <c r="D332" t="str">
        <f>IFERROR(VLOOKUP(发货清单!A332,数据库!A:C,3,0),"")</f>
        <v/>
      </c>
      <c r="E332">
        <f>发货清单!M332</f>
        <v>0</v>
      </c>
      <c r="F332">
        <f>发货清单!U332</f>
        <v>0</v>
      </c>
      <c r="G332" t="str">
        <f>IFERROR(VLOOKUP(发货清单!A332,数据库!A:B,2,0),"")</f>
        <v/>
      </c>
      <c r="H332">
        <f>发货清单!N332</f>
        <v>0</v>
      </c>
      <c r="I332" t="str">
        <f t="shared" si="45"/>
        <v/>
      </c>
      <c r="J332" t="str">
        <f t="shared" si="46"/>
        <v xml:space="preserve"> </v>
      </c>
      <c r="K332" t="str">
        <f t="shared" si="47"/>
        <v/>
      </c>
      <c r="L332" t="str">
        <f t="shared" si="48"/>
        <v/>
      </c>
      <c r="N332" s="245">
        <f t="shared" si="49"/>
        <v>0</v>
      </c>
      <c r="O332" s="245">
        <f t="shared" si="50"/>
        <v>0</v>
      </c>
      <c r="P332" t="str">
        <f t="shared" si="51"/>
        <v/>
      </c>
      <c r="Q332" t="str">
        <f>IFERROR(VLOOKUP(P332,数据库!C:M,11,0),"")</f>
        <v/>
      </c>
      <c r="R332" t="str">
        <f t="shared" si="52"/>
        <v/>
      </c>
      <c r="S332">
        <f t="shared" si="53"/>
        <v>0</v>
      </c>
    </row>
    <row r="333" spans="1:19">
      <c r="A333" t="str">
        <f>IF(B333=0,"",发货清单!A333*10^6+COUNTIF($D$2:D333,D333)*10^3+ROW(A332))</f>
        <v/>
      </c>
      <c r="B333">
        <f>IFERROR(LEFT(发货清单!H333,SEARCH("-",发货清单!H333)-1),发货清单!H333)</f>
        <v>0</v>
      </c>
      <c r="C333" t="str">
        <f>IFERROR(VLOOKUP(发货清单!A333,数据库!A:D,4,0),"")</f>
        <v/>
      </c>
      <c r="D333" t="str">
        <f>IFERROR(VLOOKUP(发货清单!A333,数据库!A:C,3,0),"")</f>
        <v/>
      </c>
      <c r="E333">
        <f>发货清单!M333</f>
        <v>0</v>
      </c>
      <c r="F333">
        <f>发货清单!U333</f>
        <v>0</v>
      </c>
      <c r="G333" t="str">
        <f>IFERROR(VLOOKUP(发货清单!A333,数据库!A:B,2,0),"")</f>
        <v/>
      </c>
      <c r="H333">
        <f>发货清单!N333</f>
        <v>0</v>
      </c>
      <c r="I333" t="str">
        <f t="shared" si="45"/>
        <v/>
      </c>
      <c r="J333" t="str">
        <f t="shared" si="46"/>
        <v xml:space="preserve"> </v>
      </c>
      <c r="K333" t="str">
        <f t="shared" si="47"/>
        <v/>
      </c>
      <c r="L333" t="str">
        <f t="shared" si="48"/>
        <v/>
      </c>
      <c r="N333" s="245">
        <f t="shared" si="49"/>
        <v>0</v>
      </c>
      <c r="O333" s="245">
        <f t="shared" si="50"/>
        <v>0</v>
      </c>
      <c r="P333" t="str">
        <f t="shared" si="51"/>
        <v/>
      </c>
      <c r="Q333" t="str">
        <f>IFERROR(VLOOKUP(P333,数据库!C:M,11,0),"")</f>
        <v/>
      </c>
      <c r="R333" t="str">
        <f t="shared" si="52"/>
        <v/>
      </c>
      <c r="S333">
        <f t="shared" si="53"/>
        <v>0</v>
      </c>
    </row>
    <row r="334" spans="1:19">
      <c r="A334" t="str">
        <f>IF(B334=0,"",发货清单!A334*10^6+COUNTIF($D$2:D334,D334)*10^3+ROW(A333))</f>
        <v/>
      </c>
      <c r="B334">
        <f>IFERROR(LEFT(发货清单!H334,SEARCH("-",发货清单!H334)-1),发货清单!H334)</f>
        <v>0</v>
      </c>
      <c r="C334" t="str">
        <f>IFERROR(VLOOKUP(发货清单!A334,数据库!A:D,4,0),"")</f>
        <v/>
      </c>
      <c r="D334" t="str">
        <f>IFERROR(VLOOKUP(发货清单!A334,数据库!A:C,3,0),"")</f>
        <v/>
      </c>
      <c r="E334">
        <f>发货清单!M334</f>
        <v>0</v>
      </c>
      <c r="F334">
        <f>发货清单!U334</f>
        <v>0</v>
      </c>
      <c r="G334" t="str">
        <f>IFERROR(VLOOKUP(发货清单!A334,数据库!A:B,2,0),"")</f>
        <v/>
      </c>
      <c r="H334">
        <f>发货清单!N334</f>
        <v>0</v>
      </c>
      <c r="I334" t="str">
        <f t="shared" si="45"/>
        <v/>
      </c>
      <c r="J334" t="str">
        <f t="shared" si="46"/>
        <v xml:space="preserve"> </v>
      </c>
      <c r="K334" t="str">
        <f t="shared" si="47"/>
        <v/>
      </c>
      <c r="L334" t="str">
        <f t="shared" si="48"/>
        <v/>
      </c>
      <c r="N334" s="245">
        <f t="shared" si="49"/>
        <v>0</v>
      </c>
      <c r="O334" s="245">
        <f t="shared" si="50"/>
        <v>0</v>
      </c>
      <c r="P334" t="str">
        <f t="shared" si="51"/>
        <v/>
      </c>
      <c r="Q334" t="str">
        <f>IFERROR(VLOOKUP(P334,数据库!C:M,11,0),"")</f>
        <v/>
      </c>
      <c r="R334" t="str">
        <f t="shared" si="52"/>
        <v/>
      </c>
      <c r="S334">
        <f t="shared" si="53"/>
        <v>0</v>
      </c>
    </row>
    <row r="335" spans="1:19">
      <c r="A335" t="str">
        <f>IF(B335=0,"",发货清单!A335*10^6+COUNTIF($D$2:D335,D335)*10^3+ROW(A334))</f>
        <v/>
      </c>
      <c r="B335">
        <f>IFERROR(LEFT(发货清单!H335,SEARCH("-",发货清单!H335)-1),发货清单!H335)</f>
        <v>0</v>
      </c>
      <c r="C335" t="str">
        <f>IFERROR(VLOOKUP(发货清单!A335,数据库!A:D,4,0),"")</f>
        <v/>
      </c>
      <c r="D335" t="str">
        <f>IFERROR(VLOOKUP(发货清单!A335,数据库!A:C,3,0),"")</f>
        <v/>
      </c>
      <c r="E335">
        <f>发货清单!M335</f>
        <v>0</v>
      </c>
      <c r="F335">
        <f>发货清单!U335</f>
        <v>0</v>
      </c>
      <c r="G335" t="str">
        <f>IFERROR(VLOOKUP(发货清单!A335,数据库!A:B,2,0),"")</f>
        <v/>
      </c>
      <c r="H335">
        <f>发货清单!N335</f>
        <v>0</v>
      </c>
      <c r="I335" t="str">
        <f t="shared" si="45"/>
        <v/>
      </c>
      <c r="J335" t="str">
        <f t="shared" si="46"/>
        <v xml:space="preserve"> </v>
      </c>
      <c r="K335" t="str">
        <f t="shared" si="47"/>
        <v/>
      </c>
      <c r="L335" t="str">
        <f t="shared" si="48"/>
        <v/>
      </c>
      <c r="N335" s="245">
        <f t="shared" si="49"/>
        <v>0</v>
      </c>
      <c r="O335" s="245">
        <f t="shared" si="50"/>
        <v>0</v>
      </c>
      <c r="P335" t="str">
        <f t="shared" si="51"/>
        <v/>
      </c>
      <c r="Q335" t="str">
        <f>IFERROR(VLOOKUP(P335,数据库!C:M,11,0),"")</f>
        <v/>
      </c>
      <c r="R335" t="str">
        <f t="shared" si="52"/>
        <v/>
      </c>
      <c r="S335">
        <f t="shared" si="53"/>
        <v>0</v>
      </c>
    </row>
    <row r="336" spans="1:19">
      <c r="A336" t="str">
        <f>IF(B336=0,"",发货清单!A336*10^6+COUNTIF($D$2:D336,D336)*10^3+ROW(A335))</f>
        <v/>
      </c>
      <c r="B336">
        <f>IFERROR(LEFT(发货清单!H336,SEARCH("-",发货清单!H336)-1),发货清单!H336)</f>
        <v>0</v>
      </c>
      <c r="C336" t="str">
        <f>IFERROR(VLOOKUP(发货清单!A336,数据库!A:D,4,0),"")</f>
        <v/>
      </c>
      <c r="D336" t="str">
        <f>IFERROR(VLOOKUP(发货清单!A336,数据库!A:C,3,0),"")</f>
        <v/>
      </c>
      <c r="E336">
        <f>发货清单!M336</f>
        <v>0</v>
      </c>
      <c r="F336">
        <f>发货清单!U336</f>
        <v>0</v>
      </c>
      <c r="G336" t="str">
        <f>IFERROR(VLOOKUP(发货清单!A336,数据库!A:B,2,0),"")</f>
        <v/>
      </c>
      <c r="H336">
        <f>发货清单!N336</f>
        <v>0</v>
      </c>
      <c r="I336" t="str">
        <f t="shared" si="45"/>
        <v/>
      </c>
      <c r="J336" t="str">
        <f t="shared" si="46"/>
        <v xml:space="preserve"> </v>
      </c>
      <c r="K336" t="str">
        <f t="shared" si="47"/>
        <v/>
      </c>
      <c r="L336" t="str">
        <f t="shared" si="48"/>
        <v/>
      </c>
      <c r="N336" s="245">
        <f t="shared" si="49"/>
        <v>0</v>
      </c>
      <c r="O336" s="245">
        <f t="shared" si="50"/>
        <v>0</v>
      </c>
      <c r="P336" t="str">
        <f t="shared" si="51"/>
        <v/>
      </c>
      <c r="Q336" t="str">
        <f>IFERROR(VLOOKUP(P336,数据库!C:M,11,0),"")</f>
        <v/>
      </c>
      <c r="R336" t="str">
        <f t="shared" si="52"/>
        <v/>
      </c>
      <c r="S336">
        <f t="shared" si="53"/>
        <v>0</v>
      </c>
    </row>
    <row r="337" spans="1:19">
      <c r="A337" t="str">
        <f>IF(B337=0,"",发货清单!A337*10^6+COUNTIF($D$2:D337,D337)*10^3+ROW(A336))</f>
        <v/>
      </c>
      <c r="B337">
        <f>IFERROR(LEFT(发货清单!H337,SEARCH("-",发货清单!H337)-1),发货清单!H337)</f>
        <v>0</v>
      </c>
      <c r="C337" t="str">
        <f>IFERROR(VLOOKUP(发货清单!A337,数据库!A:D,4,0),"")</f>
        <v/>
      </c>
      <c r="D337" t="str">
        <f>IFERROR(VLOOKUP(发货清单!A337,数据库!A:C,3,0),"")</f>
        <v/>
      </c>
      <c r="E337">
        <f>发货清单!M337</f>
        <v>0</v>
      </c>
      <c r="F337">
        <f>发货清单!U337</f>
        <v>0</v>
      </c>
      <c r="G337" t="str">
        <f>IFERROR(VLOOKUP(发货清单!A337,数据库!A:B,2,0),"")</f>
        <v/>
      </c>
      <c r="H337">
        <f>发货清单!N337</f>
        <v>0</v>
      </c>
      <c r="I337" t="str">
        <f t="shared" si="45"/>
        <v/>
      </c>
      <c r="J337" t="str">
        <f t="shared" si="46"/>
        <v xml:space="preserve"> </v>
      </c>
      <c r="K337" t="str">
        <f t="shared" si="47"/>
        <v/>
      </c>
      <c r="L337" t="str">
        <f t="shared" si="48"/>
        <v/>
      </c>
      <c r="N337" s="245">
        <f t="shared" si="49"/>
        <v>0</v>
      </c>
      <c r="O337" s="245">
        <f t="shared" si="50"/>
        <v>0</v>
      </c>
      <c r="P337" t="str">
        <f t="shared" si="51"/>
        <v/>
      </c>
      <c r="Q337" t="str">
        <f>IFERROR(VLOOKUP(P337,数据库!C:M,11,0),"")</f>
        <v/>
      </c>
      <c r="R337" t="str">
        <f t="shared" si="52"/>
        <v/>
      </c>
      <c r="S337">
        <f t="shared" si="53"/>
        <v>0</v>
      </c>
    </row>
    <row r="338" spans="1:19">
      <c r="A338" t="str">
        <f>IF(B338=0,"",发货清单!A338*10^6+COUNTIF($D$2:D338,D338)*10^3+ROW(A337))</f>
        <v/>
      </c>
      <c r="B338">
        <f>IFERROR(LEFT(发货清单!H338,SEARCH("-",发货清单!H338)-1),发货清单!H338)</f>
        <v>0</v>
      </c>
      <c r="C338" t="str">
        <f>IFERROR(VLOOKUP(发货清单!A338,数据库!A:D,4,0),"")</f>
        <v/>
      </c>
      <c r="D338" t="str">
        <f>IFERROR(VLOOKUP(发货清单!A338,数据库!A:C,3,0),"")</f>
        <v/>
      </c>
      <c r="E338">
        <f>发货清单!M338</f>
        <v>0</v>
      </c>
      <c r="F338">
        <f>发货清单!U338</f>
        <v>0</v>
      </c>
      <c r="G338" t="str">
        <f>IFERROR(VLOOKUP(发货清单!A338,数据库!A:B,2,0),"")</f>
        <v/>
      </c>
      <c r="H338">
        <f>发货清单!N338</f>
        <v>0</v>
      </c>
      <c r="I338" t="str">
        <f t="shared" si="45"/>
        <v/>
      </c>
      <c r="J338" t="str">
        <f t="shared" si="46"/>
        <v xml:space="preserve"> </v>
      </c>
      <c r="K338" t="str">
        <f t="shared" si="47"/>
        <v/>
      </c>
      <c r="L338" t="str">
        <f t="shared" si="48"/>
        <v/>
      </c>
      <c r="N338" s="245">
        <f t="shared" si="49"/>
        <v>0</v>
      </c>
      <c r="O338" s="245">
        <f t="shared" si="50"/>
        <v>0</v>
      </c>
      <c r="P338" t="str">
        <f t="shared" si="51"/>
        <v/>
      </c>
      <c r="Q338" t="str">
        <f>IFERROR(VLOOKUP(P338,数据库!C:M,11,0),"")</f>
        <v/>
      </c>
      <c r="R338" t="str">
        <f t="shared" si="52"/>
        <v/>
      </c>
      <c r="S338">
        <f t="shared" si="53"/>
        <v>0</v>
      </c>
    </row>
    <row r="339" spans="1:19">
      <c r="A339" t="str">
        <f>IF(B339=0,"",发货清单!A339*10^6+COUNTIF($D$2:D339,D339)*10^3+ROW(A338))</f>
        <v/>
      </c>
      <c r="B339">
        <f>IFERROR(LEFT(发货清单!H339,SEARCH("-",发货清单!H339)-1),发货清单!H339)</f>
        <v>0</v>
      </c>
      <c r="C339" t="str">
        <f>IFERROR(VLOOKUP(发货清单!A339,数据库!A:D,4,0),"")</f>
        <v/>
      </c>
      <c r="D339" t="str">
        <f>IFERROR(VLOOKUP(发货清单!A339,数据库!A:C,3,0),"")</f>
        <v/>
      </c>
      <c r="E339">
        <f>发货清单!M339</f>
        <v>0</v>
      </c>
      <c r="F339">
        <f>发货清单!U339</f>
        <v>0</v>
      </c>
      <c r="G339" t="str">
        <f>IFERROR(VLOOKUP(发货清单!A339,数据库!A:B,2,0),"")</f>
        <v/>
      </c>
      <c r="H339">
        <f>发货清单!N339</f>
        <v>0</v>
      </c>
      <c r="I339" t="str">
        <f t="shared" si="45"/>
        <v/>
      </c>
      <c r="J339" t="str">
        <f t="shared" si="46"/>
        <v xml:space="preserve"> </v>
      </c>
      <c r="K339" t="str">
        <f t="shared" si="47"/>
        <v/>
      </c>
      <c r="L339" t="str">
        <f t="shared" si="48"/>
        <v/>
      </c>
      <c r="N339" s="245">
        <f t="shared" si="49"/>
        <v>0</v>
      </c>
      <c r="O339" s="245">
        <f t="shared" si="50"/>
        <v>0</v>
      </c>
      <c r="P339" t="str">
        <f t="shared" si="51"/>
        <v/>
      </c>
      <c r="Q339" t="str">
        <f>IFERROR(VLOOKUP(P339,数据库!C:M,11,0),"")</f>
        <v/>
      </c>
      <c r="R339" t="str">
        <f t="shared" si="52"/>
        <v/>
      </c>
      <c r="S339">
        <f t="shared" si="53"/>
        <v>0</v>
      </c>
    </row>
    <row r="340" spans="1:19">
      <c r="A340" t="str">
        <f>IF(B340=0,"",发货清单!A340*10^6+COUNTIF($D$2:D340,D340)*10^3+ROW(A339))</f>
        <v/>
      </c>
      <c r="B340">
        <f>IFERROR(LEFT(发货清单!H340,SEARCH("-",发货清单!H340)-1),发货清单!H340)</f>
        <v>0</v>
      </c>
      <c r="C340" t="str">
        <f>IFERROR(VLOOKUP(发货清单!A340,数据库!A:D,4,0),"")</f>
        <v/>
      </c>
      <c r="D340" t="str">
        <f>IFERROR(VLOOKUP(发货清单!A340,数据库!A:C,3,0),"")</f>
        <v/>
      </c>
      <c r="E340">
        <f>发货清单!M340</f>
        <v>0</v>
      </c>
      <c r="F340">
        <f>发货清单!U340</f>
        <v>0</v>
      </c>
      <c r="G340" t="str">
        <f>IFERROR(VLOOKUP(发货清单!A340,数据库!A:B,2,0),"")</f>
        <v/>
      </c>
      <c r="H340">
        <f>发货清单!N340</f>
        <v>0</v>
      </c>
      <c r="I340" t="str">
        <f t="shared" si="45"/>
        <v/>
      </c>
      <c r="J340" t="str">
        <f t="shared" si="46"/>
        <v xml:space="preserve"> </v>
      </c>
      <c r="K340" t="str">
        <f t="shared" si="47"/>
        <v/>
      </c>
      <c r="L340" t="str">
        <f t="shared" si="48"/>
        <v/>
      </c>
      <c r="N340" s="245">
        <f t="shared" si="49"/>
        <v>0</v>
      </c>
      <c r="O340" s="245">
        <f t="shared" si="50"/>
        <v>0</v>
      </c>
      <c r="P340" t="str">
        <f t="shared" si="51"/>
        <v/>
      </c>
      <c r="Q340" t="str">
        <f>IFERROR(VLOOKUP(P340,数据库!C:M,11,0),"")</f>
        <v/>
      </c>
      <c r="R340" t="str">
        <f t="shared" si="52"/>
        <v/>
      </c>
      <c r="S340">
        <f t="shared" si="53"/>
        <v>0</v>
      </c>
    </row>
    <row r="341" spans="1:19">
      <c r="A341" t="str">
        <f>IF(B341=0,"",发货清单!A341*10^6+COUNTIF($D$2:D341,D341)*10^3+ROW(A340))</f>
        <v/>
      </c>
      <c r="B341">
        <f>IFERROR(LEFT(发货清单!H341,SEARCH("-",发货清单!H341)-1),发货清单!H341)</f>
        <v>0</v>
      </c>
      <c r="C341" t="str">
        <f>IFERROR(VLOOKUP(发货清单!A341,数据库!A:D,4,0),"")</f>
        <v/>
      </c>
      <c r="D341" t="str">
        <f>IFERROR(VLOOKUP(发货清单!A341,数据库!A:C,3,0),"")</f>
        <v/>
      </c>
      <c r="E341">
        <f>发货清单!M341</f>
        <v>0</v>
      </c>
      <c r="F341">
        <f>发货清单!U341</f>
        <v>0</v>
      </c>
      <c r="G341" t="str">
        <f>IFERROR(VLOOKUP(发货清单!A341,数据库!A:B,2,0),"")</f>
        <v/>
      </c>
      <c r="H341">
        <f>发货清单!N341</f>
        <v>0</v>
      </c>
      <c r="I341" t="str">
        <f t="shared" si="45"/>
        <v/>
      </c>
      <c r="J341" t="str">
        <f t="shared" si="46"/>
        <v xml:space="preserve"> </v>
      </c>
      <c r="K341" t="str">
        <f t="shared" si="47"/>
        <v/>
      </c>
      <c r="L341" t="str">
        <f t="shared" si="48"/>
        <v/>
      </c>
      <c r="N341" s="245">
        <f t="shared" si="49"/>
        <v>0</v>
      </c>
      <c r="O341" s="245">
        <f t="shared" si="50"/>
        <v>0</v>
      </c>
      <c r="P341" t="str">
        <f t="shared" si="51"/>
        <v/>
      </c>
      <c r="Q341" t="str">
        <f>IFERROR(VLOOKUP(P341,数据库!C:M,11,0),"")</f>
        <v/>
      </c>
      <c r="R341" t="str">
        <f t="shared" si="52"/>
        <v/>
      </c>
      <c r="S341">
        <f t="shared" si="53"/>
        <v>0</v>
      </c>
    </row>
    <row r="342" spans="1:19">
      <c r="A342" t="str">
        <f>IF(B342=0,"",发货清单!A342*10^6+COUNTIF($D$2:D342,D342)*10^3+ROW(A341))</f>
        <v/>
      </c>
      <c r="B342">
        <f>IFERROR(LEFT(发货清单!H342,SEARCH("-",发货清单!H342)-1),发货清单!H342)</f>
        <v>0</v>
      </c>
      <c r="C342" t="str">
        <f>IFERROR(VLOOKUP(发货清单!A342,数据库!A:D,4,0),"")</f>
        <v/>
      </c>
      <c r="D342" t="str">
        <f>IFERROR(VLOOKUP(发货清单!A342,数据库!A:C,3,0),"")</f>
        <v/>
      </c>
      <c r="E342">
        <f>发货清单!M342</f>
        <v>0</v>
      </c>
      <c r="F342">
        <f>发货清单!U342</f>
        <v>0</v>
      </c>
      <c r="G342" t="str">
        <f>IFERROR(VLOOKUP(发货清单!A342,数据库!A:B,2,0),"")</f>
        <v/>
      </c>
      <c r="H342">
        <f>发货清单!N342</f>
        <v>0</v>
      </c>
      <c r="I342" t="str">
        <f t="shared" si="45"/>
        <v/>
      </c>
      <c r="J342" t="str">
        <f t="shared" si="46"/>
        <v xml:space="preserve"> </v>
      </c>
      <c r="K342" t="str">
        <f t="shared" si="47"/>
        <v/>
      </c>
      <c r="L342" t="str">
        <f t="shared" si="48"/>
        <v/>
      </c>
      <c r="N342" s="245">
        <f t="shared" si="49"/>
        <v>0</v>
      </c>
      <c r="O342" s="245">
        <f t="shared" si="50"/>
        <v>0</v>
      </c>
      <c r="P342" t="str">
        <f t="shared" si="51"/>
        <v/>
      </c>
      <c r="Q342" t="str">
        <f>IFERROR(VLOOKUP(P342,数据库!C:M,11,0),"")</f>
        <v/>
      </c>
      <c r="R342" t="str">
        <f t="shared" si="52"/>
        <v/>
      </c>
      <c r="S342">
        <f t="shared" si="53"/>
        <v>0</v>
      </c>
    </row>
    <row r="343" spans="1:19">
      <c r="A343" t="str">
        <f>IF(B343=0,"",发货清单!A343*10^6+COUNTIF($D$2:D343,D343)*10^3+ROW(A342))</f>
        <v/>
      </c>
      <c r="B343">
        <f>IFERROR(LEFT(发货清单!H343,SEARCH("-",发货清单!H343)-1),发货清单!H343)</f>
        <v>0</v>
      </c>
      <c r="C343" t="str">
        <f>IFERROR(VLOOKUP(发货清单!A343,数据库!A:D,4,0),"")</f>
        <v/>
      </c>
      <c r="D343" t="str">
        <f>IFERROR(VLOOKUP(发货清单!A343,数据库!A:C,3,0),"")</f>
        <v/>
      </c>
      <c r="E343">
        <f>发货清单!M343</f>
        <v>0</v>
      </c>
      <c r="F343">
        <f>发货清单!U343</f>
        <v>0</v>
      </c>
      <c r="G343" t="str">
        <f>IFERROR(VLOOKUP(发货清单!A343,数据库!A:B,2,0),"")</f>
        <v/>
      </c>
      <c r="H343">
        <f>发货清单!N343</f>
        <v>0</v>
      </c>
      <c r="I343" t="str">
        <f t="shared" si="45"/>
        <v/>
      </c>
      <c r="J343" t="str">
        <f t="shared" si="46"/>
        <v xml:space="preserve"> </v>
      </c>
      <c r="K343" t="str">
        <f t="shared" si="47"/>
        <v/>
      </c>
      <c r="L343" t="str">
        <f t="shared" si="48"/>
        <v/>
      </c>
      <c r="N343" s="245">
        <f t="shared" si="49"/>
        <v>0</v>
      </c>
      <c r="O343" s="245">
        <f t="shared" si="50"/>
        <v>0</v>
      </c>
      <c r="P343" t="str">
        <f t="shared" si="51"/>
        <v/>
      </c>
      <c r="Q343" t="str">
        <f>IFERROR(VLOOKUP(P343,数据库!C:M,11,0),"")</f>
        <v/>
      </c>
      <c r="R343" t="str">
        <f t="shared" si="52"/>
        <v/>
      </c>
      <c r="S343">
        <f t="shared" si="53"/>
        <v>0</v>
      </c>
    </row>
    <row r="344" spans="1:19">
      <c r="A344" t="str">
        <f>IF(B344=0,"",发货清单!A344*10^6+COUNTIF($D$2:D344,D344)*10^3+ROW(A343))</f>
        <v/>
      </c>
      <c r="B344">
        <f>IFERROR(LEFT(发货清单!H344,SEARCH("-",发货清单!H344)-1),发货清单!H344)</f>
        <v>0</v>
      </c>
      <c r="C344" t="str">
        <f>IFERROR(VLOOKUP(发货清单!A344,数据库!A:D,4,0),"")</f>
        <v/>
      </c>
      <c r="D344" t="str">
        <f>IFERROR(VLOOKUP(发货清单!A344,数据库!A:C,3,0),"")</f>
        <v/>
      </c>
      <c r="E344">
        <f>发货清单!M344</f>
        <v>0</v>
      </c>
      <c r="F344">
        <f>发货清单!U344</f>
        <v>0</v>
      </c>
      <c r="G344" t="str">
        <f>IFERROR(VLOOKUP(发货清单!A344,数据库!A:B,2,0),"")</f>
        <v/>
      </c>
      <c r="H344">
        <f>发货清单!N344</f>
        <v>0</v>
      </c>
      <c r="I344" t="str">
        <f t="shared" si="45"/>
        <v/>
      </c>
      <c r="J344" t="str">
        <f t="shared" si="46"/>
        <v xml:space="preserve"> </v>
      </c>
      <c r="K344" t="str">
        <f t="shared" si="47"/>
        <v/>
      </c>
      <c r="L344" t="str">
        <f t="shared" si="48"/>
        <v/>
      </c>
      <c r="N344" s="245">
        <f t="shared" si="49"/>
        <v>0</v>
      </c>
      <c r="O344" s="245">
        <f t="shared" si="50"/>
        <v>0</v>
      </c>
      <c r="P344" t="str">
        <f t="shared" si="51"/>
        <v/>
      </c>
      <c r="Q344" t="str">
        <f>IFERROR(VLOOKUP(P344,数据库!C:M,11,0),"")</f>
        <v/>
      </c>
      <c r="R344" t="str">
        <f t="shared" si="52"/>
        <v/>
      </c>
      <c r="S344">
        <f t="shared" si="53"/>
        <v>0</v>
      </c>
    </row>
    <row r="345" spans="1:19">
      <c r="A345" t="str">
        <f>IF(B345=0,"",发货清单!A345*10^6+COUNTIF($D$2:D345,D345)*10^3+ROW(A344))</f>
        <v/>
      </c>
      <c r="B345">
        <f>IFERROR(LEFT(发货清单!H345,SEARCH("-",发货清单!H345)-1),发货清单!H345)</f>
        <v>0</v>
      </c>
      <c r="C345" t="str">
        <f>IFERROR(VLOOKUP(发货清单!A345,数据库!A:D,4,0),"")</f>
        <v/>
      </c>
      <c r="D345" t="str">
        <f>IFERROR(VLOOKUP(发货清单!A345,数据库!A:C,3,0),"")</f>
        <v/>
      </c>
      <c r="E345">
        <f>发货清单!M345</f>
        <v>0</v>
      </c>
      <c r="F345">
        <f>发货清单!U345</f>
        <v>0</v>
      </c>
      <c r="G345" t="str">
        <f>IFERROR(VLOOKUP(发货清单!A345,数据库!A:B,2,0),"")</f>
        <v/>
      </c>
      <c r="H345">
        <f>发货清单!N345</f>
        <v>0</v>
      </c>
      <c r="I345" t="str">
        <f t="shared" si="45"/>
        <v/>
      </c>
      <c r="J345" t="str">
        <f t="shared" si="46"/>
        <v xml:space="preserve"> </v>
      </c>
      <c r="K345" t="str">
        <f t="shared" si="47"/>
        <v/>
      </c>
      <c r="L345" t="str">
        <f t="shared" si="48"/>
        <v/>
      </c>
      <c r="N345" s="245">
        <f t="shared" si="49"/>
        <v>0</v>
      </c>
      <c r="O345" s="245">
        <f t="shared" si="50"/>
        <v>0</v>
      </c>
      <c r="P345" t="str">
        <f t="shared" si="51"/>
        <v/>
      </c>
      <c r="Q345" t="str">
        <f>IFERROR(VLOOKUP(P345,数据库!C:M,11,0),"")</f>
        <v/>
      </c>
      <c r="R345" t="str">
        <f t="shared" si="52"/>
        <v/>
      </c>
      <c r="S345">
        <f t="shared" si="53"/>
        <v>0</v>
      </c>
    </row>
    <row r="346" spans="1:19">
      <c r="A346" t="str">
        <f>IF(B346=0,"",发货清单!A346*10^6+COUNTIF($D$2:D346,D346)*10^3+ROW(A345))</f>
        <v/>
      </c>
      <c r="B346">
        <f>IFERROR(LEFT(发货清单!H346,SEARCH("-",发货清单!H346)-1),发货清单!H346)</f>
        <v>0</v>
      </c>
      <c r="C346" t="str">
        <f>IFERROR(VLOOKUP(发货清单!A346,数据库!A:D,4,0),"")</f>
        <v/>
      </c>
      <c r="D346" t="str">
        <f>IFERROR(VLOOKUP(发货清单!A346,数据库!A:C,3,0),"")</f>
        <v/>
      </c>
      <c r="E346">
        <f>发货清单!M346</f>
        <v>0</v>
      </c>
      <c r="F346">
        <f>发货清单!U346</f>
        <v>0</v>
      </c>
      <c r="G346" t="str">
        <f>IFERROR(VLOOKUP(发货清单!A346,数据库!A:B,2,0),"")</f>
        <v/>
      </c>
      <c r="H346">
        <f>发货清单!N346</f>
        <v>0</v>
      </c>
      <c r="I346" t="str">
        <f t="shared" si="45"/>
        <v/>
      </c>
      <c r="J346" t="str">
        <f t="shared" si="46"/>
        <v xml:space="preserve"> </v>
      </c>
      <c r="K346" t="str">
        <f t="shared" si="47"/>
        <v/>
      </c>
      <c r="L346" t="str">
        <f t="shared" si="48"/>
        <v/>
      </c>
      <c r="N346" s="245">
        <f t="shared" si="49"/>
        <v>0</v>
      </c>
      <c r="O346" s="245">
        <f t="shared" si="50"/>
        <v>0</v>
      </c>
      <c r="P346" t="str">
        <f t="shared" si="51"/>
        <v/>
      </c>
      <c r="Q346" t="str">
        <f>IFERROR(VLOOKUP(P346,数据库!C:M,11,0),"")</f>
        <v/>
      </c>
      <c r="R346" t="str">
        <f t="shared" si="52"/>
        <v/>
      </c>
      <c r="S346">
        <f t="shared" si="53"/>
        <v>0</v>
      </c>
    </row>
    <row r="347" spans="1:19">
      <c r="A347" t="str">
        <f>IF(B347=0,"",发货清单!A347*10^6+COUNTIF($D$2:D347,D347)*10^3+ROW(A346))</f>
        <v/>
      </c>
      <c r="B347">
        <f>IFERROR(LEFT(发货清单!H347,SEARCH("-",发货清单!H347)-1),发货清单!H347)</f>
        <v>0</v>
      </c>
      <c r="C347" t="str">
        <f>IFERROR(VLOOKUP(发货清单!A347,数据库!A:D,4,0),"")</f>
        <v/>
      </c>
      <c r="D347" t="str">
        <f>IFERROR(VLOOKUP(发货清单!A347,数据库!A:C,3,0),"")</f>
        <v/>
      </c>
      <c r="E347">
        <f>发货清单!M347</f>
        <v>0</v>
      </c>
      <c r="F347">
        <f>发货清单!U347</f>
        <v>0</v>
      </c>
      <c r="G347" t="str">
        <f>IFERROR(VLOOKUP(发货清单!A347,数据库!A:B,2,0),"")</f>
        <v/>
      </c>
      <c r="H347">
        <f>发货清单!N347</f>
        <v>0</v>
      </c>
      <c r="I347" t="str">
        <f t="shared" si="45"/>
        <v/>
      </c>
      <c r="J347" t="str">
        <f t="shared" si="46"/>
        <v xml:space="preserve"> </v>
      </c>
      <c r="K347" t="str">
        <f t="shared" si="47"/>
        <v/>
      </c>
      <c r="L347" t="str">
        <f t="shared" si="48"/>
        <v/>
      </c>
      <c r="N347" s="245">
        <f t="shared" si="49"/>
        <v>0</v>
      </c>
      <c r="O347" s="245">
        <f t="shared" si="50"/>
        <v>0</v>
      </c>
      <c r="P347" t="str">
        <f t="shared" si="51"/>
        <v/>
      </c>
      <c r="Q347" t="str">
        <f>IFERROR(VLOOKUP(P347,数据库!C:M,11,0),"")</f>
        <v/>
      </c>
      <c r="R347" t="str">
        <f t="shared" si="52"/>
        <v/>
      </c>
      <c r="S347">
        <f t="shared" si="53"/>
        <v>0</v>
      </c>
    </row>
    <row r="348" spans="1:19">
      <c r="A348" t="str">
        <f>IF(B348=0,"",发货清单!A348*10^6+COUNTIF($D$2:D348,D348)*10^3+ROW(A347))</f>
        <v/>
      </c>
      <c r="B348">
        <f>IFERROR(LEFT(发货清单!H348,SEARCH("-",发货清单!H348)-1),发货清单!H348)</f>
        <v>0</v>
      </c>
      <c r="C348" t="str">
        <f>IFERROR(VLOOKUP(发货清单!A348,数据库!A:D,4,0),"")</f>
        <v/>
      </c>
      <c r="D348" t="str">
        <f>IFERROR(VLOOKUP(发货清单!A348,数据库!A:C,3,0),"")</f>
        <v/>
      </c>
      <c r="E348">
        <f>发货清单!M348</f>
        <v>0</v>
      </c>
      <c r="F348">
        <f>发货清单!U348</f>
        <v>0</v>
      </c>
      <c r="G348" t="str">
        <f>IFERROR(VLOOKUP(发货清单!A348,数据库!A:B,2,0),"")</f>
        <v/>
      </c>
      <c r="H348">
        <f>发货清单!N348</f>
        <v>0</v>
      </c>
      <c r="I348" t="str">
        <f t="shared" si="45"/>
        <v/>
      </c>
      <c r="J348" t="str">
        <f t="shared" si="46"/>
        <v xml:space="preserve"> </v>
      </c>
      <c r="K348" t="str">
        <f t="shared" si="47"/>
        <v/>
      </c>
      <c r="L348" t="str">
        <f t="shared" si="48"/>
        <v/>
      </c>
      <c r="N348" s="245">
        <f t="shared" si="49"/>
        <v>0</v>
      </c>
      <c r="O348" s="245">
        <f t="shared" si="50"/>
        <v>0</v>
      </c>
      <c r="P348" t="str">
        <f t="shared" si="51"/>
        <v/>
      </c>
      <c r="Q348" t="str">
        <f>IFERROR(VLOOKUP(P348,数据库!C:M,11,0),"")</f>
        <v/>
      </c>
      <c r="R348" t="str">
        <f t="shared" si="52"/>
        <v/>
      </c>
      <c r="S348">
        <f t="shared" si="53"/>
        <v>0</v>
      </c>
    </row>
    <row r="349" spans="1:19">
      <c r="A349" t="str">
        <f>IF(B349=0,"",发货清单!A349*10^6+COUNTIF($D$2:D349,D349)*10^3+ROW(A348))</f>
        <v/>
      </c>
      <c r="B349">
        <f>IFERROR(LEFT(发货清单!H349,SEARCH("-",发货清单!H349)-1),发货清单!H349)</f>
        <v>0</v>
      </c>
      <c r="C349" t="str">
        <f>IFERROR(VLOOKUP(发货清单!A349,数据库!A:D,4,0),"")</f>
        <v/>
      </c>
      <c r="D349" t="str">
        <f>IFERROR(VLOOKUP(发货清单!A349,数据库!A:C,3,0),"")</f>
        <v/>
      </c>
      <c r="E349">
        <f>发货清单!M349</f>
        <v>0</v>
      </c>
      <c r="F349">
        <f>发货清单!U349</f>
        <v>0</v>
      </c>
      <c r="G349" t="str">
        <f>IFERROR(VLOOKUP(发货清单!A349,数据库!A:B,2,0),"")</f>
        <v/>
      </c>
      <c r="H349">
        <f>发货清单!N349</f>
        <v>0</v>
      </c>
      <c r="I349" t="str">
        <f t="shared" si="45"/>
        <v/>
      </c>
      <c r="J349" t="str">
        <f t="shared" si="46"/>
        <v xml:space="preserve"> </v>
      </c>
      <c r="K349" t="str">
        <f t="shared" si="47"/>
        <v/>
      </c>
      <c r="L349" t="str">
        <f t="shared" si="48"/>
        <v/>
      </c>
      <c r="N349" s="245">
        <f t="shared" si="49"/>
        <v>0</v>
      </c>
      <c r="O349" s="245">
        <f t="shared" si="50"/>
        <v>0</v>
      </c>
      <c r="P349" t="str">
        <f t="shared" si="51"/>
        <v/>
      </c>
      <c r="Q349" t="str">
        <f>IFERROR(VLOOKUP(P349,数据库!C:M,11,0),"")</f>
        <v/>
      </c>
      <c r="R349" t="str">
        <f t="shared" si="52"/>
        <v/>
      </c>
      <c r="S349">
        <f t="shared" si="53"/>
        <v>0</v>
      </c>
    </row>
    <row r="350" spans="1:19">
      <c r="A350" t="str">
        <f>IF(B350=0,"",发货清单!A350*10^6+COUNTIF($D$2:D350,D350)*10^3+ROW(A349))</f>
        <v/>
      </c>
      <c r="B350">
        <f>IFERROR(LEFT(发货清单!H350,SEARCH("-",发货清单!H350)-1),发货清单!H350)</f>
        <v>0</v>
      </c>
      <c r="C350" t="str">
        <f>IFERROR(VLOOKUP(发货清单!A350,数据库!A:D,4,0),"")</f>
        <v/>
      </c>
      <c r="D350" t="str">
        <f>IFERROR(VLOOKUP(发货清单!A350,数据库!A:C,3,0),"")</f>
        <v/>
      </c>
      <c r="E350">
        <f>发货清单!M350</f>
        <v>0</v>
      </c>
      <c r="F350">
        <f>发货清单!U350</f>
        <v>0</v>
      </c>
      <c r="G350" t="str">
        <f>IFERROR(VLOOKUP(发货清单!A350,数据库!A:B,2,0),"")</f>
        <v/>
      </c>
      <c r="H350">
        <f>发货清单!N350</f>
        <v>0</v>
      </c>
      <c r="I350" t="str">
        <f t="shared" si="45"/>
        <v/>
      </c>
      <c r="J350" t="str">
        <f t="shared" si="46"/>
        <v xml:space="preserve"> </v>
      </c>
      <c r="K350" t="str">
        <f t="shared" si="47"/>
        <v/>
      </c>
      <c r="L350" t="str">
        <f t="shared" si="48"/>
        <v/>
      </c>
      <c r="N350" s="245">
        <f t="shared" si="49"/>
        <v>0</v>
      </c>
      <c r="O350" s="245">
        <f t="shared" si="50"/>
        <v>0</v>
      </c>
      <c r="P350" t="str">
        <f t="shared" si="51"/>
        <v/>
      </c>
      <c r="Q350" t="str">
        <f>IFERROR(VLOOKUP(P350,数据库!C:M,11,0),"")</f>
        <v/>
      </c>
      <c r="R350" t="str">
        <f t="shared" si="52"/>
        <v/>
      </c>
      <c r="S350">
        <f t="shared" si="53"/>
        <v>0</v>
      </c>
    </row>
    <row r="351" spans="1:19">
      <c r="A351" t="str">
        <f>IF(B351=0,"",发货清单!A351*10^6+COUNTIF($D$2:D351,D351)*10^3+ROW(A350))</f>
        <v/>
      </c>
      <c r="B351">
        <f>IFERROR(LEFT(发货清单!H351,SEARCH("-",发货清单!H351)-1),发货清单!H351)</f>
        <v>0</v>
      </c>
      <c r="C351" t="str">
        <f>IFERROR(VLOOKUP(发货清单!A351,数据库!A:D,4,0),"")</f>
        <v/>
      </c>
      <c r="D351" t="str">
        <f>IFERROR(VLOOKUP(发货清单!A351,数据库!A:C,3,0),"")</f>
        <v/>
      </c>
      <c r="E351">
        <f>发货清单!M351</f>
        <v>0</v>
      </c>
      <c r="F351">
        <f>发货清单!U351</f>
        <v>0</v>
      </c>
      <c r="G351" t="str">
        <f>IFERROR(VLOOKUP(发货清单!A351,数据库!A:B,2,0),"")</f>
        <v/>
      </c>
      <c r="H351">
        <f>发货清单!N351</f>
        <v>0</v>
      </c>
      <c r="I351" t="str">
        <f t="shared" si="45"/>
        <v/>
      </c>
      <c r="J351" t="str">
        <f t="shared" si="46"/>
        <v xml:space="preserve"> </v>
      </c>
      <c r="K351" t="str">
        <f t="shared" si="47"/>
        <v/>
      </c>
      <c r="L351" t="str">
        <f t="shared" si="48"/>
        <v/>
      </c>
      <c r="N351" s="245">
        <f t="shared" si="49"/>
        <v>0</v>
      </c>
      <c r="O351" s="245">
        <f t="shared" si="50"/>
        <v>0</v>
      </c>
      <c r="P351" t="str">
        <f t="shared" si="51"/>
        <v/>
      </c>
      <c r="Q351" t="str">
        <f>IFERROR(VLOOKUP(P351,数据库!C:M,11,0),"")</f>
        <v/>
      </c>
      <c r="R351" t="str">
        <f t="shared" si="52"/>
        <v/>
      </c>
      <c r="S351">
        <f t="shared" si="53"/>
        <v>0</v>
      </c>
    </row>
    <row r="352" spans="1:19">
      <c r="A352" t="str">
        <f>IF(B352=0,"",发货清单!A352*10^6+COUNTIF($D$2:D352,D352)*10^3+ROW(A351))</f>
        <v/>
      </c>
      <c r="B352">
        <f>IFERROR(LEFT(发货清单!H352,SEARCH("-",发货清单!H352)-1),发货清单!H352)</f>
        <v>0</v>
      </c>
      <c r="C352" t="str">
        <f>IFERROR(VLOOKUP(发货清单!A352,数据库!A:D,4,0),"")</f>
        <v/>
      </c>
      <c r="D352" t="str">
        <f>IFERROR(VLOOKUP(发货清单!A352,数据库!A:C,3,0),"")</f>
        <v/>
      </c>
      <c r="E352">
        <f>发货清单!M352</f>
        <v>0</v>
      </c>
      <c r="F352">
        <f>发货清单!U352</f>
        <v>0</v>
      </c>
      <c r="G352" t="str">
        <f>IFERROR(VLOOKUP(发货清单!A352,数据库!A:B,2,0),"")</f>
        <v/>
      </c>
      <c r="H352">
        <f>发货清单!N352</f>
        <v>0</v>
      </c>
      <c r="I352" t="str">
        <f t="shared" si="45"/>
        <v/>
      </c>
      <c r="J352" t="str">
        <f t="shared" si="46"/>
        <v xml:space="preserve"> </v>
      </c>
      <c r="K352" t="str">
        <f t="shared" si="47"/>
        <v/>
      </c>
      <c r="L352" t="str">
        <f t="shared" si="48"/>
        <v/>
      </c>
      <c r="N352" s="245">
        <f t="shared" si="49"/>
        <v>0</v>
      </c>
      <c r="O352" s="245">
        <f t="shared" si="50"/>
        <v>0</v>
      </c>
      <c r="P352" t="str">
        <f t="shared" si="51"/>
        <v/>
      </c>
      <c r="Q352" t="str">
        <f>IFERROR(VLOOKUP(P352,数据库!C:M,11,0),"")</f>
        <v/>
      </c>
      <c r="R352" t="str">
        <f t="shared" si="52"/>
        <v/>
      </c>
      <c r="S352">
        <f t="shared" si="53"/>
        <v>0</v>
      </c>
    </row>
    <row r="353" spans="1:19">
      <c r="A353" t="str">
        <f>IF(B353=0,"",发货清单!A353*10^6+COUNTIF($D$2:D353,D353)*10^3+ROW(A352))</f>
        <v/>
      </c>
      <c r="B353">
        <f>IFERROR(LEFT(发货清单!H353,SEARCH("-",发货清单!H353)-1),发货清单!H353)</f>
        <v>0</v>
      </c>
      <c r="C353" t="str">
        <f>IFERROR(VLOOKUP(发货清单!A353,数据库!A:D,4,0),"")</f>
        <v/>
      </c>
      <c r="D353" t="str">
        <f>IFERROR(VLOOKUP(发货清单!A353,数据库!A:C,3,0),"")</f>
        <v/>
      </c>
      <c r="E353">
        <f>发货清单!M353</f>
        <v>0</v>
      </c>
      <c r="F353">
        <f>发货清单!U353</f>
        <v>0</v>
      </c>
      <c r="G353" t="str">
        <f>IFERROR(VLOOKUP(发货清单!A353,数据库!A:B,2,0),"")</f>
        <v/>
      </c>
      <c r="H353">
        <f>发货清单!N353</f>
        <v>0</v>
      </c>
      <c r="I353" t="str">
        <f t="shared" si="45"/>
        <v/>
      </c>
      <c r="J353" t="str">
        <f t="shared" si="46"/>
        <v xml:space="preserve"> </v>
      </c>
      <c r="K353" t="str">
        <f t="shared" si="47"/>
        <v/>
      </c>
      <c r="L353" t="str">
        <f t="shared" si="48"/>
        <v/>
      </c>
      <c r="N353" s="245">
        <f t="shared" si="49"/>
        <v>0</v>
      </c>
      <c r="O353" s="245">
        <f t="shared" si="50"/>
        <v>0</v>
      </c>
      <c r="P353" t="str">
        <f t="shared" si="51"/>
        <v/>
      </c>
      <c r="Q353" t="str">
        <f>IFERROR(VLOOKUP(P353,数据库!C:M,11,0),"")</f>
        <v/>
      </c>
      <c r="R353" t="str">
        <f t="shared" si="52"/>
        <v/>
      </c>
      <c r="S353">
        <f t="shared" si="53"/>
        <v>0</v>
      </c>
    </row>
    <row r="354" spans="1:19">
      <c r="A354" t="str">
        <f>IF(B354=0,"",发货清单!A354*10^6+COUNTIF($D$2:D354,D354)*10^3+ROW(A353))</f>
        <v/>
      </c>
      <c r="B354">
        <f>IFERROR(LEFT(发货清单!H354,SEARCH("-",发货清单!H354)-1),发货清单!H354)</f>
        <v>0</v>
      </c>
      <c r="C354" t="str">
        <f>IFERROR(VLOOKUP(发货清单!A354,数据库!A:D,4,0),"")</f>
        <v/>
      </c>
      <c r="D354" t="str">
        <f>IFERROR(VLOOKUP(发货清单!A354,数据库!A:C,3,0),"")</f>
        <v/>
      </c>
      <c r="E354">
        <f>发货清单!M354</f>
        <v>0</v>
      </c>
      <c r="F354">
        <f>发货清单!U354</f>
        <v>0</v>
      </c>
      <c r="G354" t="str">
        <f>IFERROR(VLOOKUP(发货清单!A354,数据库!A:B,2,0),"")</f>
        <v/>
      </c>
      <c r="H354">
        <f>发货清单!N354</f>
        <v>0</v>
      </c>
      <c r="I354" t="str">
        <f t="shared" si="45"/>
        <v/>
      </c>
      <c r="J354" t="str">
        <f t="shared" si="46"/>
        <v xml:space="preserve"> </v>
      </c>
      <c r="K354" t="str">
        <f t="shared" si="47"/>
        <v/>
      </c>
      <c r="L354" t="str">
        <f t="shared" si="48"/>
        <v/>
      </c>
      <c r="N354" s="245">
        <f t="shared" si="49"/>
        <v>0</v>
      </c>
      <c r="O354" s="245">
        <f t="shared" si="50"/>
        <v>0</v>
      </c>
      <c r="P354" t="str">
        <f t="shared" si="51"/>
        <v/>
      </c>
      <c r="Q354" t="str">
        <f>IFERROR(VLOOKUP(P354,数据库!C:M,11,0),"")</f>
        <v/>
      </c>
      <c r="R354" t="str">
        <f t="shared" si="52"/>
        <v/>
      </c>
      <c r="S354">
        <f t="shared" si="53"/>
        <v>0</v>
      </c>
    </row>
    <row r="355" spans="1:19">
      <c r="A355" t="str">
        <f>IF(B355=0,"",发货清单!A355*10^6+COUNTIF($D$2:D355,D355)*10^3+ROW(A354))</f>
        <v/>
      </c>
      <c r="B355">
        <f>IFERROR(LEFT(发货清单!H355,SEARCH("-",发货清单!H355)-1),发货清单!H355)</f>
        <v>0</v>
      </c>
      <c r="C355" t="str">
        <f>IFERROR(VLOOKUP(发货清单!A355,数据库!A:D,4,0),"")</f>
        <v/>
      </c>
      <c r="D355" t="str">
        <f>IFERROR(VLOOKUP(发货清单!A355,数据库!A:C,3,0),"")</f>
        <v/>
      </c>
      <c r="E355">
        <f>发货清单!M355</f>
        <v>0</v>
      </c>
      <c r="F355">
        <f>发货清单!U355</f>
        <v>0</v>
      </c>
      <c r="G355" t="str">
        <f>IFERROR(VLOOKUP(发货清单!A355,数据库!A:B,2,0),"")</f>
        <v/>
      </c>
      <c r="H355">
        <f>发货清单!N355</f>
        <v>0</v>
      </c>
      <c r="I355" t="str">
        <f t="shared" si="45"/>
        <v/>
      </c>
      <c r="J355" t="str">
        <f t="shared" si="46"/>
        <v xml:space="preserve"> </v>
      </c>
      <c r="K355" t="str">
        <f t="shared" si="47"/>
        <v/>
      </c>
      <c r="L355" t="str">
        <f t="shared" si="48"/>
        <v/>
      </c>
      <c r="N355" s="245">
        <f t="shared" si="49"/>
        <v>0</v>
      </c>
      <c r="O355" s="245">
        <f t="shared" si="50"/>
        <v>0</v>
      </c>
      <c r="P355" t="str">
        <f t="shared" si="51"/>
        <v/>
      </c>
      <c r="Q355" t="str">
        <f>IFERROR(VLOOKUP(P355,数据库!C:M,11,0),"")</f>
        <v/>
      </c>
      <c r="R355" t="str">
        <f t="shared" si="52"/>
        <v/>
      </c>
      <c r="S355">
        <f t="shared" si="53"/>
        <v>0</v>
      </c>
    </row>
    <row r="356" spans="1:19">
      <c r="A356" t="str">
        <f>IF(B356=0,"",发货清单!A356*10^6+COUNTIF($D$2:D356,D356)*10^3+ROW(A355))</f>
        <v/>
      </c>
      <c r="B356">
        <f>IFERROR(LEFT(发货清单!H356,SEARCH("-",发货清单!H356)-1),发货清单!H356)</f>
        <v>0</v>
      </c>
      <c r="C356" t="str">
        <f>IFERROR(VLOOKUP(发货清单!A356,数据库!A:D,4,0),"")</f>
        <v/>
      </c>
      <c r="D356" t="str">
        <f>IFERROR(VLOOKUP(发货清单!A356,数据库!A:C,3,0),"")</f>
        <v/>
      </c>
      <c r="E356">
        <f>发货清单!M356</f>
        <v>0</v>
      </c>
      <c r="F356">
        <f>发货清单!U356</f>
        <v>0</v>
      </c>
      <c r="G356" t="str">
        <f>IFERROR(VLOOKUP(发货清单!A356,数据库!A:B,2,0),"")</f>
        <v/>
      </c>
      <c r="H356">
        <f>发货清单!N356</f>
        <v>0</v>
      </c>
      <c r="I356" t="str">
        <f t="shared" si="45"/>
        <v/>
      </c>
      <c r="J356" t="str">
        <f t="shared" si="46"/>
        <v xml:space="preserve"> </v>
      </c>
      <c r="K356" t="str">
        <f t="shared" si="47"/>
        <v/>
      </c>
      <c r="L356" t="str">
        <f t="shared" si="48"/>
        <v/>
      </c>
      <c r="N356" s="245">
        <f t="shared" si="49"/>
        <v>0</v>
      </c>
      <c r="O356" s="245">
        <f t="shared" si="50"/>
        <v>0</v>
      </c>
      <c r="P356" t="str">
        <f t="shared" si="51"/>
        <v/>
      </c>
      <c r="Q356" t="str">
        <f>IFERROR(VLOOKUP(P356,数据库!C:M,11,0),"")</f>
        <v/>
      </c>
      <c r="R356" t="str">
        <f t="shared" si="52"/>
        <v/>
      </c>
      <c r="S356">
        <f t="shared" si="53"/>
        <v>0</v>
      </c>
    </row>
    <row r="357" spans="1:19">
      <c r="A357" t="str">
        <f>IF(B357=0,"",发货清单!A357*10^6+COUNTIF($D$2:D357,D357)*10^3+ROW(A356))</f>
        <v/>
      </c>
      <c r="B357">
        <f>IFERROR(LEFT(发货清单!H357,SEARCH("-",发货清单!H357)-1),发货清单!H357)</f>
        <v>0</v>
      </c>
      <c r="C357" t="str">
        <f>IFERROR(VLOOKUP(发货清单!A357,数据库!A:D,4,0),"")</f>
        <v/>
      </c>
      <c r="D357" t="str">
        <f>IFERROR(VLOOKUP(发货清单!A357,数据库!A:C,3,0),"")</f>
        <v/>
      </c>
      <c r="E357">
        <f>发货清单!M357</f>
        <v>0</v>
      </c>
      <c r="F357">
        <f>发货清单!U357</f>
        <v>0</v>
      </c>
      <c r="G357" t="str">
        <f>IFERROR(VLOOKUP(发货清单!A357,数据库!A:B,2,0),"")</f>
        <v/>
      </c>
      <c r="H357">
        <f>发货清单!N357</f>
        <v>0</v>
      </c>
      <c r="I357" t="str">
        <f t="shared" si="45"/>
        <v/>
      </c>
      <c r="J357" t="str">
        <f t="shared" si="46"/>
        <v xml:space="preserve"> </v>
      </c>
      <c r="K357" t="str">
        <f t="shared" si="47"/>
        <v/>
      </c>
      <c r="L357" t="str">
        <f t="shared" si="48"/>
        <v/>
      </c>
      <c r="N357" s="245">
        <f t="shared" si="49"/>
        <v>0</v>
      </c>
      <c r="O357" s="245">
        <f t="shared" si="50"/>
        <v>0</v>
      </c>
      <c r="P357" t="str">
        <f t="shared" si="51"/>
        <v/>
      </c>
      <c r="Q357" t="str">
        <f>IFERROR(VLOOKUP(P357,数据库!C:M,11,0),"")</f>
        <v/>
      </c>
      <c r="R357" t="str">
        <f t="shared" si="52"/>
        <v/>
      </c>
      <c r="S357">
        <f t="shared" si="53"/>
        <v>0</v>
      </c>
    </row>
    <row r="358" spans="1:19">
      <c r="A358" t="str">
        <f>IF(B358=0,"",发货清单!A358*10^6+COUNTIF($D$2:D358,D358)*10^3+ROW(A357))</f>
        <v/>
      </c>
      <c r="B358">
        <f>IFERROR(LEFT(发货清单!H358,SEARCH("-",发货清单!H358)-1),发货清单!H358)</f>
        <v>0</v>
      </c>
      <c r="C358" t="str">
        <f>IFERROR(VLOOKUP(发货清单!A358,数据库!A:D,4,0),"")</f>
        <v/>
      </c>
      <c r="D358" t="str">
        <f>IFERROR(VLOOKUP(发货清单!A358,数据库!A:C,3,0),"")</f>
        <v/>
      </c>
      <c r="E358">
        <f>发货清单!M358</f>
        <v>0</v>
      </c>
      <c r="F358">
        <f>发货清单!U358</f>
        <v>0</v>
      </c>
      <c r="G358" t="str">
        <f>IFERROR(VLOOKUP(发货清单!A358,数据库!A:B,2,0),"")</f>
        <v/>
      </c>
      <c r="H358">
        <f>发货清单!N358</f>
        <v>0</v>
      </c>
      <c r="I358" t="str">
        <f t="shared" si="45"/>
        <v/>
      </c>
      <c r="J358" t="str">
        <f t="shared" si="46"/>
        <v xml:space="preserve"> </v>
      </c>
      <c r="K358" t="str">
        <f t="shared" si="47"/>
        <v/>
      </c>
      <c r="L358" t="str">
        <f t="shared" si="48"/>
        <v/>
      </c>
      <c r="N358" s="245">
        <f t="shared" si="49"/>
        <v>0</v>
      </c>
      <c r="O358" s="245">
        <f t="shared" si="50"/>
        <v>0</v>
      </c>
      <c r="P358" t="str">
        <f t="shared" si="51"/>
        <v/>
      </c>
      <c r="Q358" t="str">
        <f>IFERROR(VLOOKUP(P358,数据库!C:M,11,0),"")</f>
        <v/>
      </c>
      <c r="R358" t="str">
        <f t="shared" si="52"/>
        <v/>
      </c>
      <c r="S358">
        <f t="shared" si="53"/>
        <v>0</v>
      </c>
    </row>
    <row r="359" spans="1:19">
      <c r="A359" t="str">
        <f>IF(B359=0,"",发货清单!A359*10^6+COUNTIF($D$2:D359,D359)*10^3+ROW(A358))</f>
        <v/>
      </c>
      <c r="B359">
        <f>IFERROR(LEFT(发货清单!H359,SEARCH("-",发货清单!H359)-1),发货清单!H359)</f>
        <v>0</v>
      </c>
      <c r="C359" t="str">
        <f>IFERROR(VLOOKUP(发货清单!A359,数据库!A:D,4,0),"")</f>
        <v/>
      </c>
      <c r="D359" t="str">
        <f>IFERROR(VLOOKUP(发货清单!A359,数据库!A:C,3,0),"")</f>
        <v/>
      </c>
      <c r="E359">
        <f>发货清单!M359</f>
        <v>0</v>
      </c>
      <c r="F359">
        <f>发货清单!U359</f>
        <v>0</v>
      </c>
      <c r="G359" t="str">
        <f>IFERROR(VLOOKUP(发货清单!A359,数据库!A:B,2,0),"")</f>
        <v/>
      </c>
      <c r="H359">
        <f>发货清单!N359</f>
        <v>0</v>
      </c>
      <c r="I359" t="str">
        <f t="shared" si="45"/>
        <v/>
      </c>
      <c r="J359" t="str">
        <f t="shared" si="46"/>
        <v xml:space="preserve"> </v>
      </c>
      <c r="K359" t="str">
        <f t="shared" si="47"/>
        <v/>
      </c>
      <c r="L359" t="str">
        <f t="shared" si="48"/>
        <v/>
      </c>
      <c r="N359" s="245">
        <f t="shared" si="49"/>
        <v>0</v>
      </c>
      <c r="O359" s="245">
        <f t="shared" si="50"/>
        <v>0</v>
      </c>
      <c r="P359" t="str">
        <f t="shared" si="51"/>
        <v/>
      </c>
      <c r="Q359" t="str">
        <f>IFERROR(VLOOKUP(P359,数据库!C:M,11,0),"")</f>
        <v/>
      </c>
      <c r="R359" t="str">
        <f t="shared" si="52"/>
        <v/>
      </c>
      <c r="S359">
        <f t="shared" si="53"/>
        <v>0</v>
      </c>
    </row>
    <row r="360" spans="1:19">
      <c r="A360" t="str">
        <f>IF(B360=0,"",发货清单!A360*10^6+COUNTIF($D$2:D360,D360)*10^3+ROW(A359))</f>
        <v/>
      </c>
      <c r="B360">
        <f>IFERROR(LEFT(发货清单!H360,SEARCH("-",发货清单!H360)-1),发货清单!H360)</f>
        <v>0</v>
      </c>
      <c r="C360" t="str">
        <f>IFERROR(VLOOKUP(发货清单!A360,数据库!A:D,4,0),"")</f>
        <v/>
      </c>
      <c r="D360" t="str">
        <f>IFERROR(VLOOKUP(发货清单!A360,数据库!A:C,3,0),"")</f>
        <v/>
      </c>
      <c r="E360">
        <f>发货清单!M360</f>
        <v>0</v>
      </c>
      <c r="F360">
        <f>发货清单!U360</f>
        <v>0</v>
      </c>
      <c r="G360" t="str">
        <f>IFERROR(VLOOKUP(发货清单!A360,数据库!A:B,2,0),"")</f>
        <v/>
      </c>
      <c r="H360">
        <f>发货清单!N360</f>
        <v>0</v>
      </c>
      <c r="I360" t="str">
        <f t="shared" si="45"/>
        <v/>
      </c>
      <c r="J360" t="str">
        <f t="shared" si="46"/>
        <v xml:space="preserve"> </v>
      </c>
      <c r="K360" t="str">
        <f t="shared" si="47"/>
        <v/>
      </c>
      <c r="L360" t="str">
        <f t="shared" si="48"/>
        <v/>
      </c>
      <c r="N360" s="245">
        <f t="shared" si="49"/>
        <v>0</v>
      </c>
      <c r="O360" s="245">
        <f t="shared" si="50"/>
        <v>0</v>
      </c>
      <c r="P360" t="str">
        <f t="shared" si="51"/>
        <v/>
      </c>
      <c r="Q360" t="str">
        <f>IFERROR(VLOOKUP(P360,数据库!C:M,11,0),"")</f>
        <v/>
      </c>
      <c r="R360" t="str">
        <f t="shared" si="52"/>
        <v/>
      </c>
      <c r="S360">
        <f t="shared" si="53"/>
        <v>0</v>
      </c>
    </row>
    <row r="361" spans="1:19">
      <c r="A361" t="str">
        <f>IF(B361=0,"",发货清单!A361*10^6+COUNTIF($D$2:D361,D361)*10^3+ROW(A360))</f>
        <v/>
      </c>
      <c r="B361">
        <f>IFERROR(LEFT(发货清单!H361,SEARCH("-",发货清单!H361)-1),发货清单!H361)</f>
        <v>0</v>
      </c>
      <c r="C361" t="str">
        <f>IFERROR(VLOOKUP(发货清单!A361,数据库!A:D,4,0),"")</f>
        <v/>
      </c>
      <c r="D361" t="str">
        <f>IFERROR(VLOOKUP(发货清单!A361,数据库!A:C,3,0),"")</f>
        <v/>
      </c>
      <c r="E361">
        <f>发货清单!M361</f>
        <v>0</v>
      </c>
      <c r="F361">
        <f>发货清单!U361</f>
        <v>0</v>
      </c>
      <c r="G361" t="str">
        <f>IFERROR(VLOOKUP(发货清单!A361,数据库!A:B,2,0),"")</f>
        <v/>
      </c>
      <c r="H361">
        <f>发货清单!N361</f>
        <v>0</v>
      </c>
      <c r="I361" t="str">
        <f t="shared" si="45"/>
        <v/>
      </c>
      <c r="J361" t="str">
        <f t="shared" si="46"/>
        <v xml:space="preserve"> </v>
      </c>
      <c r="K361" t="str">
        <f t="shared" si="47"/>
        <v/>
      </c>
      <c r="L361" t="str">
        <f t="shared" si="48"/>
        <v/>
      </c>
      <c r="N361" s="245">
        <f t="shared" si="49"/>
        <v>0</v>
      </c>
      <c r="O361" s="245">
        <f t="shared" si="50"/>
        <v>0</v>
      </c>
      <c r="P361" t="str">
        <f t="shared" si="51"/>
        <v/>
      </c>
      <c r="Q361" t="str">
        <f>IFERROR(VLOOKUP(P361,数据库!C:M,11,0),"")</f>
        <v/>
      </c>
      <c r="R361" t="str">
        <f t="shared" si="52"/>
        <v/>
      </c>
      <c r="S361">
        <f t="shared" si="53"/>
        <v>0</v>
      </c>
    </row>
    <row r="362" spans="1:19">
      <c r="A362" t="str">
        <f>IF(B362=0,"",发货清单!A362*10^6+COUNTIF($D$2:D362,D362)*10^3+ROW(A361))</f>
        <v/>
      </c>
      <c r="B362">
        <f>IFERROR(LEFT(发货清单!H362,SEARCH("-",发货清单!H362)-1),发货清单!H362)</f>
        <v>0</v>
      </c>
      <c r="C362" t="str">
        <f>IFERROR(VLOOKUP(发货清单!A362,数据库!A:D,4,0),"")</f>
        <v/>
      </c>
      <c r="D362" t="str">
        <f>IFERROR(VLOOKUP(发货清单!A362,数据库!A:C,3,0),"")</f>
        <v/>
      </c>
      <c r="E362">
        <f>发货清单!M362</f>
        <v>0</v>
      </c>
      <c r="F362">
        <f>发货清单!U362</f>
        <v>0</v>
      </c>
      <c r="G362" t="str">
        <f>IFERROR(VLOOKUP(发货清单!A362,数据库!A:B,2,0),"")</f>
        <v/>
      </c>
      <c r="H362">
        <f>发货清单!N362</f>
        <v>0</v>
      </c>
      <c r="I362" t="str">
        <f t="shared" si="45"/>
        <v/>
      </c>
      <c r="J362" t="str">
        <f t="shared" si="46"/>
        <v xml:space="preserve"> </v>
      </c>
      <c r="K362" t="str">
        <f t="shared" si="47"/>
        <v/>
      </c>
      <c r="L362" t="str">
        <f t="shared" si="48"/>
        <v/>
      </c>
      <c r="N362" s="245">
        <f t="shared" si="49"/>
        <v>0</v>
      </c>
      <c r="O362" s="245">
        <f t="shared" si="50"/>
        <v>0</v>
      </c>
      <c r="P362" t="str">
        <f t="shared" si="51"/>
        <v/>
      </c>
      <c r="Q362" t="str">
        <f>IFERROR(VLOOKUP(P362,数据库!C:M,11,0),"")</f>
        <v/>
      </c>
      <c r="R362" t="str">
        <f t="shared" si="52"/>
        <v/>
      </c>
      <c r="S362">
        <f t="shared" si="53"/>
        <v>0</v>
      </c>
    </row>
    <row r="363" spans="1:19">
      <c r="A363" t="str">
        <f>IF(B363=0,"",发货清单!A363*10^6+COUNTIF($D$2:D363,D363)*10^3+ROW(A362))</f>
        <v/>
      </c>
      <c r="B363">
        <f>IFERROR(LEFT(发货清单!H363,SEARCH("-",发货清单!H363)-1),发货清单!H363)</f>
        <v>0</v>
      </c>
      <c r="C363" t="str">
        <f>IFERROR(VLOOKUP(发货清单!A363,数据库!A:D,4,0),"")</f>
        <v/>
      </c>
      <c r="D363" t="str">
        <f>IFERROR(VLOOKUP(发货清单!A363,数据库!A:C,3,0),"")</f>
        <v/>
      </c>
      <c r="E363">
        <f>发货清单!M363</f>
        <v>0</v>
      </c>
      <c r="F363">
        <f>发货清单!U363</f>
        <v>0</v>
      </c>
      <c r="G363" t="str">
        <f>IFERROR(VLOOKUP(发货清单!A363,数据库!A:B,2,0),"")</f>
        <v/>
      </c>
      <c r="H363">
        <f>发货清单!N363</f>
        <v>0</v>
      </c>
      <c r="I363" t="str">
        <f t="shared" si="45"/>
        <v/>
      </c>
      <c r="J363" t="str">
        <f t="shared" si="46"/>
        <v xml:space="preserve"> </v>
      </c>
      <c r="K363" t="str">
        <f t="shared" si="47"/>
        <v/>
      </c>
      <c r="L363" t="str">
        <f t="shared" si="48"/>
        <v/>
      </c>
      <c r="N363" s="245">
        <f t="shared" si="49"/>
        <v>0</v>
      </c>
      <c r="O363" s="245">
        <f t="shared" si="50"/>
        <v>0</v>
      </c>
      <c r="P363" t="str">
        <f t="shared" si="51"/>
        <v/>
      </c>
      <c r="Q363" t="str">
        <f>IFERROR(VLOOKUP(P363,数据库!C:M,11,0),"")</f>
        <v/>
      </c>
      <c r="R363" t="str">
        <f t="shared" si="52"/>
        <v/>
      </c>
      <c r="S363">
        <f t="shared" si="53"/>
        <v>0</v>
      </c>
    </row>
    <row r="364" spans="1:19">
      <c r="A364" t="str">
        <f>IF(B364=0,"",发货清单!A364*10^6+COUNTIF($D$2:D364,D364)*10^3+ROW(A363))</f>
        <v/>
      </c>
      <c r="B364">
        <f>IFERROR(LEFT(发货清单!H364,SEARCH("-",发货清单!H364)-1),发货清单!H364)</f>
        <v>0</v>
      </c>
      <c r="C364" t="str">
        <f>IFERROR(VLOOKUP(发货清单!A364,数据库!A:D,4,0),"")</f>
        <v/>
      </c>
      <c r="D364" t="str">
        <f>IFERROR(VLOOKUP(发货清单!A364,数据库!A:C,3,0),"")</f>
        <v/>
      </c>
      <c r="E364">
        <f>发货清单!M364</f>
        <v>0</v>
      </c>
      <c r="F364">
        <f>发货清单!U364</f>
        <v>0</v>
      </c>
      <c r="G364" t="str">
        <f>IFERROR(VLOOKUP(发货清单!A364,数据库!A:B,2,0),"")</f>
        <v/>
      </c>
      <c r="H364">
        <f>发货清单!N364</f>
        <v>0</v>
      </c>
      <c r="I364" t="str">
        <f t="shared" si="45"/>
        <v/>
      </c>
      <c r="J364" t="str">
        <f t="shared" si="46"/>
        <v xml:space="preserve"> </v>
      </c>
      <c r="K364" t="str">
        <f t="shared" si="47"/>
        <v/>
      </c>
      <c r="L364" t="str">
        <f t="shared" si="48"/>
        <v/>
      </c>
      <c r="N364" s="245">
        <f t="shared" si="49"/>
        <v>0</v>
      </c>
      <c r="O364" s="245">
        <f t="shared" si="50"/>
        <v>0</v>
      </c>
      <c r="P364" t="str">
        <f t="shared" si="51"/>
        <v/>
      </c>
      <c r="Q364" t="str">
        <f>IFERROR(VLOOKUP(P364,数据库!C:M,11,0),"")</f>
        <v/>
      </c>
      <c r="R364" t="str">
        <f t="shared" si="52"/>
        <v/>
      </c>
      <c r="S364">
        <f t="shared" si="53"/>
        <v>0</v>
      </c>
    </row>
    <row r="365" spans="1:19">
      <c r="A365" t="str">
        <f>IF(B365=0,"",发货清单!A365*10^6+COUNTIF($D$2:D365,D365)*10^3+ROW(A364))</f>
        <v/>
      </c>
      <c r="B365">
        <f>IFERROR(LEFT(发货清单!H365,SEARCH("-",发货清单!H365)-1),发货清单!H365)</f>
        <v>0</v>
      </c>
      <c r="C365" t="str">
        <f>IFERROR(VLOOKUP(发货清单!A365,数据库!A:D,4,0),"")</f>
        <v/>
      </c>
      <c r="D365" t="str">
        <f>IFERROR(VLOOKUP(发货清单!A365,数据库!A:C,3,0),"")</f>
        <v/>
      </c>
      <c r="E365">
        <f>发货清单!M365</f>
        <v>0</v>
      </c>
      <c r="F365">
        <f>发货清单!U365</f>
        <v>0</v>
      </c>
      <c r="G365" t="str">
        <f>IFERROR(VLOOKUP(发货清单!A365,数据库!A:B,2,0),"")</f>
        <v/>
      </c>
      <c r="H365">
        <f>发货清单!N365</f>
        <v>0</v>
      </c>
      <c r="I365" t="str">
        <f t="shared" si="45"/>
        <v/>
      </c>
      <c r="J365" t="str">
        <f t="shared" si="46"/>
        <v xml:space="preserve"> </v>
      </c>
      <c r="K365" t="str">
        <f t="shared" si="47"/>
        <v/>
      </c>
      <c r="L365" t="str">
        <f t="shared" si="48"/>
        <v/>
      </c>
      <c r="N365" s="245">
        <f t="shared" si="49"/>
        <v>0</v>
      </c>
      <c r="O365" s="245">
        <f t="shared" si="50"/>
        <v>0</v>
      </c>
      <c r="P365" t="str">
        <f t="shared" si="51"/>
        <v/>
      </c>
      <c r="Q365" t="str">
        <f>IFERROR(VLOOKUP(P365,数据库!C:M,11,0),"")</f>
        <v/>
      </c>
      <c r="R365" t="str">
        <f t="shared" si="52"/>
        <v/>
      </c>
      <c r="S365">
        <f t="shared" si="53"/>
        <v>0</v>
      </c>
    </row>
    <row r="366" spans="1:19">
      <c r="A366" t="str">
        <f>IF(B366=0,"",发货清单!A366*10^6+COUNTIF($D$2:D366,D366)*10^3+ROW(A365))</f>
        <v/>
      </c>
      <c r="B366">
        <f>IFERROR(LEFT(发货清单!H366,SEARCH("-",发货清单!H366)-1),发货清单!H366)</f>
        <v>0</v>
      </c>
      <c r="C366" t="str">
        <f>IFERROR(VLOOKUP(发货清单!A366,数据库!A:D,4,0),"")</f>
        <v/>
      </c>
      <c r="D366" t="str">
        <f>IFERROR(VLOOKUP(发货清单!A366,数据库!A:C,3,0),"")</f>
        <v/>
      </c>
      <c r="E366">
        <f>发货清单!M366</f>
        <v>0</v>
      </c>
      <c r="F366">
        <f>发货清单!U366</f>
        <v>0</v>
      </c>
      <c r="G366" t="str">
        <f>IFERROR(VLOOKUP(发货清单!A366,数据库!A:B,2,0),"")</f>
        <v/>
      </c>
      <c r="H366">
        <f>发货清单!N366</f>
        <v>0</v>
      </c>
      <c r="I366" t="str">
        <f t="shared" si="45"/>
        <v/>
      </c>
      <c r="J366" t="str">
        <f t="shared" si="46"/>
        <v xml:space="preserve"> </v>
      </c>
      <c r="K366" t="str">
        <f t="shared" si="47"/>
        <v/>
      </c>
      <c r="L366" t="str">
        <f t="shared" si="48"/>
        <v/>
      </c>
      <c r="N366" s="245">
        <f t="shared" si="49"/>
        <v>0</v>
      </c>
      <c r="O366" s="245">
        <f t="shared" si="50"/>
        <v>0</v>
      </c>
      <c r="P366" t="str">
        <f t="shared" si="51"/>
        <v/>
      </c>
      <c r="Q366" t="str">
        <f>IFERROR(VLOOKUP(P366,数据库!C:M,11,0),"")</f>
        <v/>
      </c>
      <c r="R366" t="str">
        <f t="shared" si="52"/>
        <v/>
      </c>
      <c r="S366">
        <f t="shared" si="53"/>
        <v>0</v>
      </c>
    </row>
    <row r="367" spans="1:19">
      <c r="A367" t="str">
        <f>IF(B367=0,"",发货清单!A367*10^6+COUNTIF($D$2:D367,D367)*10^3+ROW(A366))</f>
        <v/>
      </c>
      <c r="B367">
        <f>IFERROR(LEFT(发货清单!H367,SEARCH("-",发货清单!H367)-1),发货清单!H367)</f>
        <v>0</v>
      </c>
      <c r="C367" t="str">
        <f>IFERROR(VLOOKUP(发货清单!A367,数据库!A:D,4,0),"")</f>
        <v/>
      </c>
      <c r="D367" t="str">
        <f>IFERROR(VLOOKUP(发货清单!A367,数据库!A:C,3,0),"")</f>
        <v/>
      </c>
      <c r="E367">
        <f>发货清单!M367</f>
        <v>0</v>
      </c>
      <c r="F367">
        <f>发货清单!U367</f>
        <v>0</v>
      </c>
      <c r="G367" t="str">
        <f>IFERROR(VLOOKUP(发货清单!A367,数据库!A:B,2,0),"")</f>
        <v/>
      </c>
      <c r="H367">
        <f>发货清单!N367</f>
        <v>0</v>
      </c>
      <c r="I367" t="str">
        <f t="shared" si="45"/>
        <v/>
      </c>
      <c r="J367" t="str">
        <f t="shared" si="46"/>
        <v xml:space="preserve"> </v>
      </c>
      <c r="K367" t="str">
        <f t="shared" si="47"/>
        <v/>
      </c>
      <c r="L367" t="str">
        <f t="shared" si="48"/>
        <v/>
      </c>
      <c r="N367" s="245">
        <f t="shared" si="49"/>
        <v>0</v>
      </c>
      <c r="O367" s="245">
        <f t="shared" si="50"/>
        <v>0</v>
      </c>
      <c r="P367" t="str">
        <f t="shared" si="51"/>
        <v/>
      </c>
      <c r="Q367" t="str">
        <f>IFERROR(VLOOKUP(P367,数据库!C:M,11,0),"")</f>
        <v/>
      </c>
      <c r="R367" t="str">
        <f t="shared" si="52"/>
        <v/>
      </c>
      <c r="S367">
        <f t="shared" si="53"/>
        <v>0</v>
      </c>
    </row>
    <row r="368" spans="1:19">
      <c r="A368" t="str">
        <f>IF(B368=0,"",发货清单!A368*10^6+COUNTIF($D$2:D368,D368)*10^3+ROW(A367))</f>
        <v/>
      </c>
      <c r="B368">
        <f>IFERROR(LEFT(发货清单!H368,SEARCH("-",发货清单!H368)-1),发货清单!H368)</f>
        <v>0</v>
      </c>
      <c r="C368" t="str">
        <f>IFERROR(VLOOKUP(发货清单!A368,数据库!A:D,4,0),"")</f>
        <v/>
      </c>
      <c r="D368" t="str">
        <f>IFERROR(VLOOKUP(发货清单!A368,数据库!A:C,3,0),"")</f>
        <v/>
      </c>
      <c r="E368">
        <f>发货清单!M368</f>
        <v>0</v>
      </c>
      <c r="F368">
        <f>发货清单!U368</f>
        <v>0</v>
      </c>
      <c r="G368" t="str">
        <f>IFERROR(VLOOKUP(发货清单!A368,数据库!A:B,2,0),"")</f>
        <v/>
      </c>
      <c r="H368">
        <f>发货清单!N368</f>
        <v>0</v>
      </c>
      <c r="I368" t="str">
        <f t="shared" si="45"/>
        <v/>
      </c>
      <c r="J368" t="str">
        <f t="shared" si="46"/>
        <v xml:space="preserve"> </v>
      </c>
      <c r="K368" t="str">
        <f t="shared" si="47"/>
        <v/>
      </c>
      <c r="L368" t="str">
        <f t="shared" si="48"/>
        <v/>
      </c>
      <c r="N368" s="245">
        <f t="shared" si="49"/>
        <v>0</v>
      </c>
      <c r="O368" s="245">
        <f t="shared" si="50"/>
        <v>0</v>
      </c>
      <c r="P368" t="str">
        <f t="shared" si="51"/>
        <v/>
      </c>
      <c r="Q368" t="str">
        <f>IFERROR(VLOOKUP(P368,数据库!C:M,11,0),"")</f>
        <v/>
      </c>
      <c r="R368" t="str">
        <f t="shared" si="52"/>
        <v/>
      </c>
      <c r="S368">
        <f t="shared" si="53"/>
        <v>0</v>
      </c>
    </row>
    <row r="369" spans="1:19">
      <c r="A369" t="str">
        <f>IF(B369=0,"",发货清单!A369*10^6+COUNTIF($D$2:D369,D369)*10^3+ROW(A368))</f>
        <v/>
      </c>
      <c r="B369">
        <f>IFERROR(LEFT(发货清单!H369,SEARCH("-",发货清单!H369)-1),发货清单!H369)</f>
        <v>0</v>
      </c>
      <c r="C369" t="str">
        <f>IFERROR(VLOOKUP(发货清单!A369,数据库!A:D,4,0),"")</f>
        <v/>
      </c>
      <c r="D369" t="str">
        <f>IFERROR(VLOOKUP(发货清单!A369,数据库!A:C,3,0),"")</f>
        <v/>
      </c>
      <c r="E369">
        <f>发货清单!M369</f>
        <v>0</v>
      </c>
      <c r="F369">
        <f>发货清单!U369</f>
        <v>0</v>
      </c>
      <c r="G369" t="str">
        <f>IFERROR(VLOOKUP(发货清单!A369,数据库!A:B,2,0),"")</f>
        <v/>
      </c>
      <c r="H369">
        <f>发货清单!N369</f>
        <v>0</v>
      </c>
      <c r="I369" t="str">
        <f t="shared" si="45"/>
        <v/>
      </c>
      <c r="J369" t="str">
        <f t="shared" si="46"/>
        <v xml:space="preserve"> </v>
      </c>
      <c r="K369" t="str">
        <f t="shared" si="47"/>
        <v/>
      </c>
      <c r="L369" t="str">
        <f t="shared" si="48"/>
        <v/>
      </c>
      <c r="N369" s="245">
        <f t="shared" si="49"/>
        <v>0</v>
      </c>
      <c r="O369" s="245">
        <f t="shared" si="50"/>
        <v>0</v>
      </c>
      <c r="P369" t="str">
        <f t="shared" si="51"/>
        <v/>
      </c>
      <c r="Q369" t="str">
        <f>IFERROR(VLOOKUP(P369,数据库!C:M,11,0),"")</f>
        <v/>
      </c>
      <c r="R369" t="str">
        <f t="shared" si="52"/>
        <v/>
      </c>
      <c r="S369">
        <f t="shared" si="53"/>
        <v>0</v>
      </c>
    </row>
    <row r="370" spans="1:19">
      <c r="A370" t="str">
        <f>IF(B370=0,"",发货清单!A370*10^6+COUNTIF($D$2:D370,D370)*10^3+ROW(A369))</f>
        <v/>
      </c>
      <c r="B370">
        <f>IFERROR(LEFT(发货清单!H370,SEARCH("-",发货清单!H370)-1),发货清单!H370)</f>
        <v>0</v>
      </c>
      <c r="C370" t="str">
        <f>IFERROR(VLOOKUP(发货清单!A370,数据库!A:D,4,0),"")</f>
        <v/>
      </c>
      <c r="D370" t="str">
        <f>IFERROR(VLOOKUP(发货清单!A370,数据库!A:C,3,0),"")</f>
        <v/>
      </c>
      <c r="E370">
        <f>发货清单!M370</f>
        <v>0</v>
      </c>
      <c r="F370">
        <f>发货清单!U370</f>
        <v>0</v>
      </c>
      <c r="G370" t="str">
        <f>IFERROR(VLOOKUP(发货清单!A370,数据库!A:B,2,0),"")</f>
        <v/>
      </c>
      <c r="H370">
        <f>发货清单!N370</f>
        <v>0</v>
      </c>
      <c r="I370" t="str">
        <f t="shared" si="45"/>
        <v/>
      </c>
      <c r="J370" t="str">
        <f t="shared" si="46"/>
        <v xml:space="preserve"> </v>
      </c>
      <c r="K370" t="str">
        <f t="shared" si="47"/>
        <v/>
      </c>
      <c r="L370" t="str">
        <f t="shared" si="48"/>
        <v/>
      </c>
      <c r="N370" s="245">
        <f t="shared" si="49"/>
        <v>0</v>
      </c>
      <c r="O370" s="245">
        <f t="shared" si="50"/>
        <v>0</v>
      </c>
      <c r="P370" t="str">
        <f t="shared" si="51"/>
        <v/>
      </c>
      <c r="Q370" t="str">
        <f>IFERROR(VLOOKUP(P370,数据库!C:M,11,0),"")</f>
        <v/>
      </c>
      <c r="R370" t="str">
        <f t="shared" si="52"/>
        <v/>
      </c>
      <c r="S370">
        <f t="shared" si="53"/>
        <v>0</v>
      </c>
    </row>
    <row r="371" spans="1:19">
      <c r="A371" t="str">
        <f>IF(B371=0,"",发货清单!A371*10^6+COUNTIF($D$2:D371,D371)*10^3+ROW(A370))</f>
        <v/>
      </c>
      <c r="B371">
        <f>IFERROR(LEFT(发货清单!H371,SEARCH("-",发货清单!H371)-1),发货清单!H371)</f>
        <v>0</v>
      </c>
      <c r="C371" t="str">
        <f>IFERROR(VLOOKUP(发货清单!A371,数据库!A:D,4,0),"")</f>
        <v/>
      </c>
      <c r="D371" t="str">
        <f>IFERROR(VLOOKUP(发货清单!A371,数据库!A:C,3,0),"")</f>
        <v/>
      </c>
      <c r="E371">
        <f>发货清单!M371</f>
        <v>0</v>
      </c>
      <c r="F371">
        <f>发货清单!U371</f>
        <v>0</v>
      </c>
      <c r="G371" t="str">
        <f>IFERROR(VLOOKUP(发货清单!A371,数据库!A:B,2,0),"")</f>
        <v/>
      </c>
      <c r="H371">
        <f>发货清单!N371</f>
        <v>0</v>
      </c>
      <c r="I371" t="str">
        <f t="shared" si="45"/>
        <v/>
      </c>
      <c r="J371" t="str">
        <f t="shared" si="46"/>
        <v xml:space="preserve"> </v>
      </c>
      <c r="K371" t="str">
        <f t="shared" si="47"/>
        <v/>
      </c>
      <c r="L371" t="str">
        <f t="shared" si="48"/>
        <v/>
      </c>
      <c r="N371" s="245">
        <f t="shared" si="49"/>
        <v>0</v>
      </c>
      <c r="O371" s="245">
        <f t="shared" si="50"/>
        <v>0</v>
      </c>
      <c r="P371" t="str">
        <f t="shared" si="51"/>
        <v/>
      </c>
      <c r="Q371" t="str">
        <f>IFERROR(VLOOKUP(P371,数据库!C:M,11,0),"")</f>
        <v/>
      </c>
      <c r="R371" t="str">
        <f t="shared" si="52"/>
        <v/>
      </c>
      <c r="S371">
        <f t="shared" si="53"/>
        <v>0</v>
      </c>
    </row>
    <row r="372" spans="1:19">
      <c r="A372" t="str">
        <f>IF(B372=0,"",发货清单!A372*10^6+COUNTIF($D$2:D372,D372)*10^3+ROW(A371))</f>
        <v/>
      </c>
      <c r="B372">
        <f>IFERROR(LEFT(发货清单!H372,SEARCH("-",发货清单!H372)-1),发货清单!H372)</f>
        <v>0</v>
      </c>
      <c r="C372" t="str">
        <f>IFERROR(VLOOKUP(发货清单!A372,数据库!A:D,4,0),"")</f>
        <v/>
      </c>
      <c r="D372" t="str">
        <f>IFERROR(VLOOKUP(发货清单!A372,数据库!A:C,3,0),"")</f>
        <v/>
      </c>
      <c r="E372">
        <f>发货清单!M372</f>
        <v>0</v>
      </c>
      <c r="F372">
        <f>发货清单!U372</f>
        <v>0</v>
      </c>
      <c r="G372" t="str">
        <f>IFERROR(VLOOKUP(发货清单!A372,数据库!A:B,2,0),"")</f>
        <v/>
      </c>
      <c r="H372">
        <f>发货清单!N372</f>
        <v>0</v>
      </c>
      <c r="I372" t="str">
        <f t="shared" si="45"/>
        <v/>
      </c>
      <c r="J372" t="str">
        <f t="shared" si="46"/>
        <v xml:space="preserve"> </v>
      </c>
      <c r="K372" t="str">
        <f t="shared" si="47"/>
        <v/>
      </c>
      <c r="L372" t="str">
        <f t="shared" si="48"/>
        <v/>
      </c>
      <c r="N372" s="245">
        <f t="shared" si="49"/>
        <v>0</v>
      </c>
      <c r="O372" s="245">
        <f t="shared" si="50"/>
        <v>0</v>
      </c>
      <c r="P372" t="str">
        <f t="shared" si="51"/>
        <v/>
      </c>
      <c r="Q372" t="str">
        <f>IFERROR(VLOOKUP(P372,数据库!C:M,11,0),"")</f>
        <v/>
      </c>
      <c r="R372" t="str">
        <f t="shared" si="52"/>
        <v/>
      </c>
      <c r="S372">
        <f t="shared" si="53"/>
        <v>0</v>
      </c>
    </row>
    <row r="373" spans="1:19">
      <c r="A373" t="str">
        <f>IF(B373=0,"",发货清单!A373*10^6+COUNTIF($D$2:D373,D373)*10^3+ROW(A372))</f>
        <v/>
      </c>
      <c r="B373">
        <f>IFERROR(LEFT(发货清单!H373,SEARCH("-",发货清单!H373)-1),发货清单!H373)</f>
        <v>0</v>
      </c>
      <c r="C373" t="str">
        <f>IFERROR(VLOOKUP(发货清单!A373,数据库!A:D,4,0),"")</f>
        <v/>
      </c>
      <c r="D373" t="str">
        <f>IFERROR(VLOOKUP(发货清单!A373,数据库!A:C,3,0),"")</f>
        <v/>
      </c>
      <c r="E373">
        <f>发货清单!M373</f>
        <v>0</v>
      </c>
      <c r="F373">
        <f>发货清单!U373</f>
        <v>0</v>
      </c>
      <c r="G373" t="str">
        <f>IFERROR(VLOOKUP(发货清单!A373,数据库!A:B,2,0),"")</f>
        <v/>
      </c>
      <c r="H373">
        <f>发货清单!N373</f>
        <v>0</v>
      </c>
      <c r="I373" t="str">
        <f t="shared" si="45"/>
        <v/>
      </c>
      <c r="J373" t="str">
        <f t="shared" si="46"/>
        <v xml:space="preserve"> </v>
      </c>
      <c r="K373" t="str">
        <f t="shared" si="47"/>
        <v/>
      </c>
      <c r="L373" t="str">
        <f t="shared" si="48"/>
        <v/>
      </c>
      <c r="N373" s="245">
        <f t="shared" si="49"/>
        <v>0</v>
      </c>
      <c r="O373" s="245">
        <f t="shared" si="50"/>
        <v>0</v>
      </c>
      <c r="P373" t="str">
        <f t="shared" si="51"/>
        <v/>
      </c>
      <c r="Q373" t="str">
        <f>IFERROR(VLOOKUP(P373,数据库!C:M,11,0),"")</f>
        <v/>
      </c>
      <c r="R373" t="str">
        <f t="shared" si="52"/>
        <v/>
      </c>
      <c r="S373">
        <f t="shared" si="53"/>
        <v>0</v>
      </c>
    </row>
    <row r="374" spans="1:19">
      <c r="A374" t="str">
        <f>IF(B374=0,"",发货清单!A374*10^6+COUNTIF($D$2:D374,D374)*10^3+ROW(A373))</f>
        <v/>
      </c>
      <c r="B374">
        <f>IFERROR(LEFT(发货清单!H374,SEARCH("-",发货清单!H374)-1),发货清单!H374)</f>
        <v>0</v>
      </c>
      <c r="C374" t="str">
        <f>IFERROR(VLOOKUP(发货清单!A374,数据库!A:D,4,0),"")</f>
        <v/>
      </c>
      <c r="D374" t="str">
        <f>IFERROR(VLOOKUP(发货清单!A374,数据库!A:C,3,0),"")</f>
        <v/>
      </c>
      <c r="E374">
        <f>发货清单!M374</f>
        <v>0</v>
      </c>
      <c r="F374">
        <f>发货清单!U374</f>
        <v>0</v>
      </c>
      <c r="G374" t="str">
        <f>IFERROR(VLOOKUP(发货清单!A374,数据库!A:B,2,0),"")</f>
        <v/>
      </c>
      <c r="H374">
        <f>发货清单!N374</f>
        <v>0</v>
      </c>
      <c r="I374" t="str">
        <f t="shared" si="45"/>
        <v/>
      </c>
      <c r="J374" t="str">
        <f t="shared" si="46"/>
        <v xml:space="preserve"> </v>
      </c>
      <c r="K374" t="str">
        <f t="shared" si="47"/>
        <v/>
      </c>
      <c r="L374" t="str">
        <f t="shared" si="48"/>
        <v/>
      </c>
      <c r="N374" s="245">
        <f t="shared" si="49"/>
        <v>0</v>
      </c>
      <c r="O374" s="245">
        <f t="shared" si="50"/>
        <v>0</v>
      </c>
      <c r="P374" t="str">
        <f t="shared" si="51"/>
        <v/>
      </c>
      <c r="Q374" t="str">
        <f>IFERROR(VLOOKUP(P374,数据库!C:M,11,0),"")</f>
        <v/>
      </c>
      <c r="R374" t="str">
        <f t="shared" si="52"/>
        <v/>
      </c>
      <c r="S374">
        <f t="shared" si="53"/>
        <v>0</v>
      </c>
    </row>
    <row r="375" spans="1:19">
      <c r="A375" t="str">
        <f>IF(B375=0,"",发货清单!A375*10^6+COUNTIF($D$2:D375,D375)*10^3+ROW(A374))</f>
        <v/>
      </c>
      <c r="B375">
        <f>IFERROR(LEFT(发货清单!H375,SEARCH("-",发货清单!H375)-1),发货清单!H375)</f>
        <v>0</v>
      </c>
      <c r="C375" t="str">
        <f>IFERROR(VLOOKUP(发货清单!A375,数据库!A:D,4,0),"")</f>
        <v/>
      </c>
      <c r="D375" t="str">
        <f>IFERROR(VLOOKUP(发货清单!A375,数据库!A:C,3,0),"")</f>
        <v/>
      </c>
      <c r="E375">
        <f>发货清单!M375</f>
        <v>0</v>
      </c>
      <c r="F375">
        <f>发货清单!U375</f>
        <v>0</v>
      </c>
      <c r="G375" t="str">
        <f>IFERROR(VLOOKUP(发货清单!A375,数据库!A:B,2,0),"")</f>
        <v/>
      </c>
      <c r="H375">
        <f>发货清单!N375</f>
        <v>0</v>
      </c>
      <c r="I375" t="str">
        <f t="shared" si="45"/>
        <v/>
      </c>
      <c r="J375" t="str">
        <f t="shared" si="46"/>
        <v xml:space="preserve"> </v>
      </c>
      <c r="K375" t="str">
        <f t="shared" si="47"/>
        <v/>
      </c>
      <c r="L375" t="str">
        <f t="shared" si="48"/>
        <v/>
      </c>
      <c r="N375" s="245">
        <f t="shared" si="49"/>
        <v>0</v>
      </c>
      <c r="O375" s="245">
        <f t="shared" si="50"/>
        <v>0</v>
      </c>
      <c r="P375" t="str">
        <f t="shared" si="51"/>
        <v/>
      </c>
      <c r="Q375" t="str">
        <f>IFERROR(VLOOKUP(P375,数据库!C:M,11,0),"")</f>
        <v/>
      </c>
      <c r="R375" t="str">
        <f t="shared" si="52"/>
        <v/>
      </c>
      <c r="S375">
        <f t="shared" si="53"/>
        <v>0</v>
      </c>
    </row>
    <row r="376" spans="1:19">
      <c r="A376" t="str">
        <f>IF(B376=0,"",发货清单!A376*10^6+COUNTIF($D$2:D376,D376)*10^3+ROW(A375))</f>
        <v/>
      </c>
      <c r="B376">
        <f>IFERROR(LEFT(发货清单!H376,SEARCH("-",发货清单!H376)-1),发货清单!H376)</f>
        <v>0</v>
      </c>
      <c r="C376" t="str">
        <f>IFERROR(VLOOKUP(发货清单!A376,数据库!A:D,4,0),"")</f>
        <v/>
      </c>
      <c r="D376" t="str">
        <f>IFERROR(VLOOKUP(发货清单!A376,数据库!A:C,3,0),"")</f>
        <v/>
      </c>
      <c r="E376">
        <f>发货清单!M376</f>
        <v>0</v>
      </c>
      <c r="F376">
        <f>发货清单!U376</f>
        <v>0</v>
      </c>
      <c r="G376" t="str">
        <f>IFERROR(VLOOKUP(发货清单!A376,数据库!A:B,2,0),"")</f>
        <v/>
      </c>
      <c r="H376">
        <f>发货清单!N376</f>
        <v>0</v>
      </c>
      <c r="I376" t="str">
        <f t="shared" si="45"/>
        <v/>
      </c>
      <c r="J376" t="str">
        <f t="shared" si="46"/>
        <v xml:space="preserve"> </v>
      </c>
      <c r="K376" t="str">
        <f t="shared" si="47"/>
        <v/>
      </c>
      <c r="L376" t="str">
        <f t="shared" si="48"/>
        <v/>
      </c>
      <c r="N376" s="245">
        <f t="shared" si="49"/>
        <v>0</v>
      </c>
      <c r="O376" s="245">
        <f t="shared" si="50"/>
        <v>0</v>
      </c>
      <c r="P376" t="str">
        <f t="shared" si="51"/>
        <v/>
      </c>
      <c r="Q376" t="str">
        <f>IFERROR(VLOOKUP(P376,数据库!C:M,11,0),"")</f>
        <v/>
      </c>
      <c r="R376" t="str">
        <f t="shared" si="52"/>
        <v/>
      </c>
      <c r="S376">
        <f t="shared" si="53"/>
        <v>0</v>
      </c>
    </row>
    <row r="377" spans="1:19">
      <c r="A377" t="str">
        <f>IF(B377=0,"",发货清单!A377*10^6+COUNTIF($D$2:D377,D377)*10^3+ROW(A376))</f>
        <v/>
      </c>
      <c r="B377">
        <f>IFERROR(LEFT(发货清单!H377,SEARCH("-",发货清单!H377)-1),发货清单!H377)</f>
        <v>0</v>
      </c>
      <c r="C377" t="str">
        <f>IFERROR(VLOOKUP(发货清单!A377,数据库!A:D,4,0),"")</f>
        <v/>
      </c>
      <c r="D377" t="str">
        <f>IFERROR(VLOOKUP(发货清单!A377,数据库!A:C,3,0),"")</f>
        <v/>
      </c>
      <c r="E377">
        <f>发货清单!M377</f>
        <v>0</v>
      </c>
      <c r="F377">
        <f>发货清单!U377</f>
        <v>0</v>
      </c>
      <c r="G377" t="str">
        <f>IFERROR(VLOOKUP(发货清单!A377,数据库!A:B,2,0),"")</f>
        <v/>
      </c>
      <c r="H377">
        <f>发货清单!N377</f>
        <v>0</v>
      </c>
      <c r="I377" t="str">
        <f t="shared" si="45"/>
        <v/>
      </c>
      <c r="J377" t="str">
        <f t="shared" si="46"/>
        <v xml:space="preserve"> </v>
      </c>
      <c r="K377" t="str">
        <f t="shared" si="47"/>
        <v/>
      </c>
      <c r="L377" t="str">
        <f t="shared" si="48"/>
        <v/>
      </c>
      <c r="N377" s="245">
        <f t="shared" si="49"/>
        <v>0</v>
      </c>
      <c r="O377" s="245">
        <f t="shared" si="50"/>
        <v>0</v>
      </c>
      <c r="P377" t="str">
        <f t="shared" si="51"/>
        <v/>
      </c>
      <c r="Q377" t="str">
        <f>IFERROR(VLOOKUP(P377,数据库!C:M,11,0),"")</f>
        <v/>
      </c>
      <c r="R377" t="str">
        <f t="shared" si="52"/>
        <v/>
      </c>
      <c r="S377">
        <f t="shared" si="53"/>
        <v>0</v>
      </c>
    </row>
    <row r="378" spans="1:19">
      <c r="A378" t="str">
        <f>IF(B378=0,"",发货清单!A378*10^6+COUNTIF($D$2:D378,D378)*10^3+ROW(A377))</f>
        <v/>
      </c>
      <c r="B378">
        <f>IFERROR(LEFT(发货清单!H378,SEARCH("-",发货清单!H378)-1),发货清单!H378)</f>
        <v>0</v>
      </c>
      <c r="C378" t="str">
        <f>IFERROR(VLOOKUP(发货清单!A378,数据库!A:D,4,0),"")</f>
        <v/>
      </c>
      <c r="D378" t="str">
        <f>IFERROR(VLOOKUP(发货清单!A378,数据库!A:C,3,0),"")</f>
        <v/>
      </c>
      <c r="E378">
        <f>发货清单!M378</f>
        <v>0</v>
      </c>
      <c r="F378">
        <f>发货清单!U378</f>
        <v>0</v>
      </c>
      <c r="G378" t="str">
        <f>IFERROR(VLOOKUP(发货清单!A378,数据库!A:B,2,0),"")</f>
        <v/>
      </c>
      <c r="H378">
        <f>发货清单!N378</f>
        <v>0</v>
      </c>
      <c r="I378" t="str">
        <f t="shared" si="45"/>
        <v/>
      </c>
      <c r="J378" t="str">
        <f t="shared" si="46"/>
        <v xml:space="preserve"> </v>
      </c>
      <c r="K378" t="str">
        <f t="shared" si="47"/>
        <v/>
      </c>
      <c r="L378" t="str">
        <f t="shared" si="48"/>
        <v/>
      </c>
      <c r="N378" s="245">
        <f t="shared" si="49"/>
        <v>0</v>
      </c>
      <c r="O378" s="245">
        <f t="shared" si="50"/>
        <v>0</v>
      </c>
      <c r="P378" t="str">
        <f t="shared" si="51"/>
        <v/>
      </c>
      <c r="Q378" t="str">
        <f>IFERROR(VLOOKUP(P378,数据库!C:M,11,0),"")</f>
        <v/>
      </c>
      <c r="R378" t="str">
        <f t="shared" si="52"/>
        <v/>
      </c>
      <c r="S378">
        <f t="shared" si="53"/>
        <v>0</v>
      </c>
    </row>
    <row r="379" spans="1:19">
      <c r="A379" t="str">
        <f>IF(B379=0,"",发货清单!A379*10^6+COUNTIF($D$2:D379,D379)*10^3+ROW(A378))</f>
        <v/>
      </c>
      <c r="B379">
        <f>IFERROR(LEFT(发货清单!H379,SEARCH("-",发货清单!H379)-1),发货清单!H379)</f>
        <v>0</v>
      </c>
      <c r="C379" t="str">
        <f>IFERROR(VLOOKUP(发货清单!A379,数据库!A:D,4,0),"")</f>
        <v/>
      </c>
      <c r="D379" t="str">
        <f>IFERROR(VLOOKUP(发货清单!A379,数据库!A:C,3,0),"")</f>
        <v/>
      </c>
      <c r="E379">
        <f>发货清单!M379</f>
        <v>0</v>
      </c>
      <c r="F379">
        <f>发货清单!U379</f>
        <v>0</v>
      </c>
      <c r="G379" t="str">
        <f>IFERROR(VLOOKUP(发货清单!A379,数据库!A:B,2,0),"")</f>
        <v/>
      </c>
      <c r="H379">
        <f>发货清单!N379</f>
        <v>0</v>
      </c>
      <c r="I379" t="str">
        <f t="shared" si="45"/>
        <v/>
      </c>
      <c r="J379" t="str">
        <f t="shared" si="46"/>
        <v xml:space="preserve"> </v>
      </c>
      <c r="K379" t="str">
        <f t="shared" si="47"/>
        <v/>
      </c>
      <c r="L379" t="str">
        <f t="shared" si="48"/>
        <v/>
      </c>
      <c r="N379" s="245">
        <f t="shared" si="49"/>
        <v>0</v>
      </c>
      <c r="O379" s="245">
        <f t="shared" si="50"/>
        <v>0</v>
      </c>
      <c r="P379" t="str">
        <f t="shared" si="51"/>
        <v/>
      </c>
      <c r="Q379" t="str">
        <f>IFERROR(VLOOKUP(P379,数据库!C:M,11,0),"")</f>
        <v/>
      </c>
      <c r="R379" t="str">
        <f t="shared" si="52"/>
        <v/>
      </c>
      <c r="S379">
        <f t="shared" si="53"/>
        <v>0</v>
      </c>
    </row>
    <row r="380" spans="1:19">
      <c r="A380" t="str">
        <f>IF(B380=0,"",发货清单!A380*10^6+COUNTIF($D$2:D380,D380)*10^3+ROW(A379))</f>
        <v/>
      </c>
      <c r="B380">
        <f>IFERROR(LEFT(发货清单!H380,SEARCH("-",发货清单!H380)-1),发货清单!H380)</f>
        <v>0</v>
      </c>
      <c r="C380" t="str">
        <f>IFERROR(VLOOKUP(发货清单!A380,数据库!A:D,4,0),"")</f>
        <v/>
      </c>
      <c r="D380" t="str">
        <f>IFERROR(VLOOKUP(发货清单!A380,数据库!A:C,3,0),"")</f>
        <v/>
      </c>
      <c r="E380">
        <f>发货清单!M380</f>
        <v>0</v>
      </c>
      <c r="F380">
        <f>发货清单!U380</f>
        <v>0</v>
      </c>
      <c r="G380" t="str">
        <f>IFERROR(VLOOKUP(发货清单!A380,数据库!A:B,2,0),"")</f>
        <v/>
      </c>
      <c r="H380">
        <f>发货清单!N380</f>
        <v>0</v>
      </c>
      <c r="I380" t="str">
        <f t="shared" si="45"/>
        <v/>
      </c>
      <c r="J380" t="str">
        <f t="shared" si="46"/>
        <v xml:space="preserve"> </v>
      </c>
      <c r="K380" t="str">
        <f t="shared" si="47"/>
        <v/>
      </c>
      <c r="L380" t="str">
        <f t="shared" si="48"/>
        <v/>
      </c>
      <c r="N380" s="245">
        <f t="shared" si="49"/>
        <v>0</v>
      </c>
      <c r="O380" s="245">
        <f t="shared" si="50"/>
        <v>0</v>
      </c>
      <c r="P380" t="str">
        <f t="shared" si="51"/>
        <v/>
      </c>
      <c r="Q380" t="str">
        <f>IFERROR(VLOOKUP(P380,数据库!C:M,11,0),"")</f>
        <v/>
      </c>
      <c r="R380" t="str">
        <f t="shared" si="52"/>
        <v/>
      </c>
      <c r="S380">
        <f t="shared" si="53"/>
        <v>0</v>
      </c>
    </row>
    <row r="381" spans="1:19">
      <c r="A381" t="str">
        <f>IF(B381=0,"",发货清单!A381*10^6+COUNTIF($D$2:D381,D381)*10^3+ROW(A380))</f>
        <v/>
      </c>
      <c r="B381">
        <f>IFERROR(LEFT(发货清单!H381,SEARCH("-",发货清单!H381)-1),发货清单!H381)</f>
        <v>0</v>
      </c>
      <c r="C381" t="str">
        <f>IFERROR(VLOOKUP(发货清单!A381,数据库!A:D,4,0),"")</f>
        <v/>
      </c>
      <c r="D381" t="str">
        <f>IFERROR(VLOOKUP(发货清单!A381,数据库!A:C,3,0),"")</f>
        <v/>
      </c>
      <c r="E381">
        <f>发货清单!M381</f>
        <v>0</v>
      </c>
      <c r="F381">
        <f>发货清单!U381</f>
        <v>0</v>
      </c>
      <c r="G381" t="str">
        <f>IFERROR(VLOOKUP(发货清单!A381,数据库!A:B,2,0),"")</f>
        <v/>
      </c>
      <c r="H381">
        <f>发货清单!N381</f>
        <v>0</v>
      </c>
      <c r="I381" t="str">
        <f t="shared" si="45"/>
        <v/>
      </c>
      <c r="J381" t="str">
        <f t="shared" si="46"/>
        <v xml:space="preserve"> </v>
      </c>
      <c r="K381" t="str">
        <f t="shared" si="47"/>
        <v/>
      </c>
      <c r="L381" t="str">
        <f t="shared" si="48"/>
        <v/>
      </c>
      <c r="N381" s="245">
        <f t="shared" si="49"/>
        <v>0</v>
      </c>
      <c r="O381" s="245">
        <f t="shared" si="50"/>
        <v>0</v>
      </c>
      <c r="P381" t="str">
        <f t="shared" si="51"/>
        <v/>
      </c>
      <c r="Q381" t="str">
        <f>IFERROR(VLOOKUP(P381,数据库!C:M,11,0),"")</f>
        <v/>
      </c>
      <c r="R381" t="str">
        <f t="shared" si="52"/>
        <v/>
      </c>
      <c r="S381">
        <f t="shared" si="53"/>
        <v>0</v>
      </c>
    </row>
    <row r="382" spans="1:19">
      <c r="A382" t="str">
        <f>IF(B382=0,"",发货清单!A382*10^6+COUNTIF($D$2:D382,D382)*10^3+ROW(A381))</f>
        <v/>
      </c>
      <c r="B382">
        <f>IFERROR(LEFT(发货清单!H382,SEARCH("-",发货清单!H382)-1),发货清单!H382)</f>
        <v>0</v>
      </c>
      <c r="C382" t="str">
        <f>IFERROR(VLOOKUP(发货清单!A382,数据库!A:D,4,0),"")</f>
        <v/>
      </c>
      <c r="D382" t="str">
        <f>IFERROR(VLOOKUP(发货清单!A382,数据库!A:C,3,0),"")</f>
        <v/>
      </c>
      <c r="E382">
        <f>发货清单!M382</f>
        <v>0</v>
      </c>
      <c r="F382">
        <f>发货清单!U382</f>
        <v>0</v>
      </c>
      <c r="G382" t="str">
        <f>IFERROR(VLOOKUP(发货清单!A382,数据库!A:B,2,0),"")</f>
        <v/>
      </c>
      <c r="H382">
        <f>发货清单!N382</f>
        <v>0</v>
      </c>
      <c r="I382" t="str">
        <f t="shared" si="45"/>
        <v/>
      </c>
      <c r="J382" t="str">
        <f t="shared" si="46"/>
        <v xml:space="preserve"> </v>
      </c>
      <c r="K382" t="str">
        <f t="shared" si="47"/>
        <v/>
      </c>
      <c r="L382" t="str">
        <f t="shared" si="48"/>
        <v/>
      </c>
      <c r="N382" s="245">
        <f t="shared" si="49"/>
        <v>0</v>
      </c>
      <c r="O382" s="245">
        <f t="shared" si="50"/>
        <v>0</v>
      </c>
      <c r="P382" t="str">
        <f t="shared" si="51"/>
        <v/>
      </c>
      <c r="Q382" t="str">
        <f>IFERROR(VLOOKUP(P382,数据库!C:M,11,0),"")</f>
        <v/>
      </c>
      <c r="R382" t="str">
        <f t="shared" si="52"/>
        <v/>
      </c>
      <c r="S382">
        <f t="shared" si="53"/>
        <v>0</v>
      </c>
    </row>
    <row r="383" spans="1:19">
      <c r="A383" t="str">
        <f>IF(B383=0,"",发货清单!A383*10^6+COUNTIF($D$2:D383,D383)*10^3+ROW(A382))</f>
        <v/>
      </c>
      <c r="B383">
        <f>IFERROR(LEFT(发货清单!H383,SEARCH("-",发货清单!H383)-1),发货清单!H383)</f>
        <v>0</v>
      </c>
      <c r="C383" t="str">
        <f>IFERROR(VLOOKUP(发货清单!A383,数据库!A:D,4,0),"")</f>
        <v/>
      </c>
      <c r="D383" t="str">
        <f>IFERROR(VLOOKUP(发货清单!A383,数据库!A:C,3,0),"")</f>
        <v/>
      </c>
      <c r="E383">
        <f>发货清单!M383</f>
        <v>0</v>
      </c>
      <c r="F383">
        <f>发货清单!U383</f>
        <v>0</v>
      </c>
      <c r="G383" t="str">
        <f>IFERROR(VLOOKUP(发货清单!A383,数据库!A:B,2,0),"")</f>
        <v/>
      </c>
      <c r="H383">
        <f>发货清单!N383</f>
        <v>0</v>
      </c>
      <c r="I383" t="str">
        <f t="shared" si="45"/>
        <v/>
      </c>
      <c r="J383" t="str">
        <f t="shared" si="46"/>
        <v xml:space="preserve"> </v>
      </c>
      <c r="K383" t="str">
        <f t="shared" si="47"/>
        <v/>
      </c>
      <c r="L383" t="str">
        <f t="shared" si="48"/>
        <v/>
      </c>
      <c r="N383" s="245">
        <f t="shared" si="49"/>
        <v>0</v>
      </c>
      <c r="O383" s="245">
        <f t="shared" si="50"/>
        <v>0</v>
      </c>
      <c r="P383" t="str">
        <f t="shared" si="51"/>
        <v/>
      </c>
      <c r="Q383" t="str">
        <f>IFERROR(VLOOKUP(P383,数据库!C:M,11,0),"")</f>
        <v/>
      </c>
      <c r="R383" t="str">
        <f t="shared" si="52"/>
        <v/>
      </c>
      <c r="S383">
        <f t="shared" si="53"/>
        <v>0</v>
      </c>
    </row>
    <row r="384" spans="1:19">
      <c r="A384" t="str">
        <f>IF(B384=0,"",发货清单!A384*10^6+COUNTIF($D$2:D384,D384)*10^3+ROW(A383))</f>
        <v/>
      </c>
      <c r="B384">
        <f>IFERROR(LEFT(发货清单!H384,SEARCH("-",发货清单!H384)-1),发货清单!H384)</f>
        <v>0</v>
      </c>
      <c r="C384" t="str">
        <f>IFERROR(VLOOKUP(发货清单!A384,数据库!A:D,4,0),"")</f>
        <v/>
      </c>
      <c r="D384" t="str">
        <f>IFERROR(VLOOKUP(发货清单!A384,数据库!A:C,3,0),"")</f>
        <v/>
      </c>
      <c r="E384">
        <f>发货清单!M384</f>
        <v>0</v>
      </c>
      <c r="F384">
        <f>发货清单!U384</f>
        <v>0</v>
      </c>
      <c r="G384" t="str">
        <f>IFERROR(VLOOKUP(发货清单!A384,数据库!A:B,2,0),"")</f>
        <v/>
      </c>
      <c r="H384">
        <f>发货清单!N384</f>
        <v>0</v>
      </c>
      <c r="I384" t="str">
        <f t="shared" si="45"/>
        <v/>
      </c>
      <c r="J384" t="str">
        <f t="shared" si="46"/>
        <v xml:space="preserve"> </v>
      </c>
      <c r="K384" t="str">
        <f t="shared" si="47"/>
        <v/>
      </c>
      <c r="L384" t="str">
        <f t="shared" si="48"/>
        <v/>
      </c>
      <c r="N384" s="245">
        <f t="shared" si="49"/>
        <v>0</v>
      </c>
      <c r="O384" s="245">
        <f t="shared" si="50"/>
        <v>0</v>
      </c>
      <c r="P384" t="str">
        <f t="shared" si="51"/>
        <v/>
      </c>
      <c r="Q384" t="str">
        <f>IFERROR(VLOOKUP(P384,数据库!C:M,11,0),"")</f>
        <v/>
      </c>
      <c r="R384" t="str">
        <f t="shared" si="52"/>
        <v/>
      </c>
      <c r="S384">
        <f t="shared" si="53"/>
        <v>0</v>
      </c>
    </row>
    <row r="385" spans="1:19">
      <c r="A385" t="str">
        <f>IF(B385=0,"",发货清单!A385*10^6+COUNTIF($D$2:D385,D385)*10^3+ROW(A384))</f>
        <v/>
      </c>
      <c r="B385">
        <f>IFERROR(LEFT(发货清单!H385,SEARCH("-",发货清单!H385)-1),发货清单!H385)</f>
        <v>0</v>
      </c>
      <c r="C385" t="str">
        <f>IFERROR(VLOOKUP(发货清单!A385,数据库!A:D,4,0),"")</f>
        <v/>
      </c>
      <c r="D385" t="str">
        <f>IFERROR(VLOOKUP(发货清单!A385,数据库!A:C,3,0),"")</f>
        <v/>
      </c>
      <c r="E385">
        <f>发货清单!M385</f>
        <v>0</v>
      </c>
      <c r="F385">
        <f>发货清单!U385</f>
        <v>0</v>
      </c>
      <c r="G385" t="str">
        <f>IFERROR(VLOOKUP(发货清单!A385,数据库!A:B,2,0),"")</f>
        <v/>
      </c>
      <c r="H385">
        <f>发货清单!N385</f>
        <v>0</v>
      </c>
      <c r="I385" t="str">
        <f t="shared" si="45"/>
        <v/>
      </c>
      <c r="J385" t="str">
        <f t="shared" si="46"/>
        <v xml:space="preserve"> </v>
      </c>
      <c r="K385" t="str">
        <f t="shared" si="47"/>
        <v/>
      </c>
      <c r="L385" t="str">
        <f t="shared" si="48"/>
        <v/>
      </c>
      <c r="N385" s="245">
        <f t="shared" si="49"/>
        <v>0</v>
      </c>
      <c r="O385" s="245">
        <f t="shared" si="50"/>
        <v>0</v>
      </c>
      <c r="P385" t="str">
        <f t="shared" si="51"/>
        <v/>
      </c>
      <c r="Q385" t="str">
        <f>IFERROR(VLOOKUP(P385,数据库!C:M,11,0),"")</f>
        <v/>
      </c>
      <c r="R385" t="str">
        <f t="shared" si="52"/>
        <v/>
      </c>
      <c r="S385">
        <f t="shared" si="53"/>
        <v>0</v>
      </c>
    </row>
    <row r="386" spans="1:19">
      <c r="A386" t="str">
        <f>IF(B386=0,"",发货清单!A386*10^6+COUNTIF($D$2:D386,D386)*10^3+ROW(A385))</f>
        <v/>
      </c>
      <c r="B386">
        <f>IFERROR(LEFT(发货清单!H386,SEARCH("-",发货清单!H386)-1),发货清单!H386)</f>
        <v>0</v>
      </c>
      <c r="C386" t="str">
        <f>IFERROR(VLOOKUP(发货清单!A386,数据库!A:D,4,0),"")</f>
        <v/>
      </c>
      <c r="D386" t="str">
        <f>IFERROR(VLOOKUP(发货清单!A386,数据库!A:C,3,0),"")</f>
        <v/>
      </c>
      <c r="E386">
        <f>发货清单!M386</f>
        <v>0</v>
      </c>
      <c r="F386">
        <f>发货清单!U386</f>
        <v>0</v>
      </c>
      <c r="G386" t="str">
        <f>IFERROR(VLOOKUP(发货清单!A386,数据库!A:B,2,0),"")</f>
        <v/>
      </c>
      <c r="H386">
        <f>发货清单!N386</f>
        <v>0</v>
      </c>
      <c r="I386" t="str">
        <f t="shared" si="45"/>
        <v/>
      </c>
      <c r="J386" t="str">
        <f t="shared" si="46"/>
        <v xml:space="preserve"> </v>
      </c>
      <c r="K386" t="str">
        <f t="shared" si="47"/>
        <v/>
      </c>
      <c r="L386" t="str">
        <f t="shared" si="48"/>
        <v/>
      </c>
      <c r="N386" s="245">
        <f t="shared" si="49"/>
        <v>0</v>
      </c>
      <c r="O386" s="245">
        <f t="shared" si="50"/>
        <v>0</v>
      </c>
      <c r="P386" t="str">
        <f t="shared" si="51"/>
        <v/>
      </c>
      <c r="Q386" t="str">
        <f>IFERROR(VLOOKUP(P386,数据库!C:M,11,0),"")</f>
        <v/>
      </c>
      <c r="R386" t="str">
        <f t="shared" si="52"/>
        <v/>
      </c>
      <c r="S386">
        <f t="shared" si="53"/>
        <v>0</v>
      </c>
    </row>
    <row r="387" spans="1:19">
      <c r="A387" t="str">
        <f>IF(B387=0,"",发货清单!A387*10^6+COUNTIF($D$2:D387,D387)*10^3+ROW(A386))</f>
        <v/>
      </c>
      <c r="B387">
        <f>IFERROR(LEFT(发货清单!H387,SEARCH("-",发货清单!H387)-1),发货清单!H387)</f>
        <v>0</v>
      </c>
      <c r="C387" t="str">
        <f>IFERROR(VLOOKUP(发货清单!A387,数据库!A:D,4,0),"")</f>
        <v/>
      </c>
      <c r="D387" t="str">
        <f>IFERROR(VLOOKUP(发货清单!A387,数据库!A:C,3,0),"")</f>
        <v/>
      </c>
      <c r="E387">
        <f>发货清单!M387</f>
        <v>0</v>
      </c>
      <c r="F387">
        <f>发货清单!U387</f>
        <v>0</v>
      </c>
      <c r="G387" t="str">
        <f>IFERROR(VLOOKUP(发货清单!A387,数据库!A:B,2,0),"")</f>
        <v/>
      </c>
      <c r="H387">
        <f>发货清单!N387</f>
        <v>0</v>
      </c>
      <c r="I387" t="str">
        <f t="shared" ref="I387:I450" si="54">IFERROR(SMALL(A:A,ROW(A386)),"")</f>
        <v/>
      </c>
      <c r="J387" t="str">
        <f t="shared" ref="J387:J450" si="55">IFERROR(IF(RIGHT(I387,6)-2000&gt;0," ",I387)," ")</f>
        <v xml:space="preserve"> </v>
      </c>
      <c r="K387" t="str">
        <f t="shared" ref="K387:K450" si="56">IFERROR(SMALL(J:J,ROW(A386)),"")</f>
        <v/>
      </c>
      <c r="L387" t="str">
        <f t="shared" ref="L387:L450" si="57">IFERROR(VLOOKUP(K387,A:G,7,0)," ")</f>
        <v/>
      </c>
      <c r="N387" s="245">
        <f t="shared" ref="N387:N450" si="58">IF(P387=" ",0,SUMIF(D:D,P387,E:E))</f>
        <v>0</v>
      </c>
      <c r="O387" s="245">
        <f t="shared" ref="O387:O450" si="59">SUMIF(D:D,P387,F:F)</f>
        <v>0</v>
      </c>
      <c r="P387" t="str">
        <f t="shared" ref="P387:P450" si="60">IFERROR(VLOOKUP(K387,A:D,4,0)," ")</f>
        <v/>
      </c>
      <c r="Q387" t="str">
        <f>IFERROR(VLOOKUP(P387,数据库!C:M,11,0),"")</f>
        <v/>
      </c>
      <c r="R387" t="str">
        <f t="shared" ref="R387:R450" si="61">IFERROR(VLOOKUP(K387,A:C,3,0)," ")</f>
        <v/>
      </c>
      <c r="S387">
        <f t="shared" ref="S387:S450" si="62">IFERROR(VLOOKUP(K387,A:H,8,0)," ")</f>
        <v>0</v>
      </c>
    </row>
    <row r="388" spans="1:19">
      <c r="A388" t="str">
        <f>IF(B388=0,"",发货清单!A388*10^6+COUNTIF($D$2:D388,D388)*10^3+ROW(A387))</f>
        <v/>
      </c>
      <c r="B388">
        <f>IFERROR(LEFT(发货清单!H388,SEARCH("-",发货清单!H388)-1),发货清单!H388)</f>
        <v>0</v>
      </c>
      <c r="C388" t="str">
        <f>IFERROR(VLOOKUP(发货清单!A388,数据库!A:D,4,0),"")</f>
        <v/>
      </c>
      <c r="D388" t="str">
        <f>IFERROR(VLOOKUP(发货清单!A388,数据库!A:C,3,0),"")</f>
        <v/>
      </c>
      <c r="E388">
        <f>发货清单!M388</f>
        <v>0</v>
      </c>
      <c r="F388">
        <f>发货清单!U388</f>
        <v>0</v>
      </c>
      <c r="G388" t="str">
        <f>IFERROR(VLOOKUP(发货清单!A388,数据库!A:B,2,0),"")</f>
        <v/>
      </c>
      <c r="H388">
        <f>发货清单!N388</f>
        <v>0</v>
      </c>
      <c r="I388" t="str">
        <f t="shared" si="54"/>
        <v/>
      </c>
      <c r="J388" t="str">
        <f t="shared" si="55"/>
        <v xml:space="preserve"> </v>
      </c>
      <c r="K388" t="str">
        <f t="shared" si="56"/>
        <v/>
      </c>
      <c r="L388" t="str">
        <f t="shared" si="57"/>
        <v/>
      </c>
      <c r="N388" s="245">
        <f t="shared" si="58"/>
        <v>0</v>
      </c>
      <c r="O388" s="245">
        <f t="shared" si="59"/>
        <v>0</v>
      </c>
      <c r="P388" t="str">
        <f t="shared" si="60"/>
        <v/>
      </c>
      <c r="Q388" t="str">
        <f>IFERROR(VLOOKUP(P388,数据库!C:M,11,0),"")</f>
        <v/>
      </c>
      <c r="R388" t="str">
        <f t="shared" si="61"/>
        <v/>
      </c>
      <c r="S388">
        <f t="shared" si="62"/>
        <v>0</v>
      </c>
    </row>
    <row r="389" spans="1:19">
      <c r="A389" t="str">
        <f>IF(B389=0,"",发货清单!A389*10^6+COUNTIF($D$2:D389,D389)*10^3+ROW(A388))</f>
        <v/>
      </c>
      <c r="B389">
        <f>IFERROR(LEFT(发货清单!H389,SEARCH("-",发货清单!H389)-1),发货清单!H389)</f>
        <v>0</v>
      </c>
      <c r="C389" t="str">
        <f>IFERROR(VLOOKUP(发货清单!A389,数据库!A:D,4,0),"")</f>
        <v/>
      </c>
      <c r="D389" t="str">
        <f>IFERROR(VLOOKUP(发货清单!A389,数据库!A:C,3,0),"")</f>
        <v/>
      </c>
      <c r="E389">
        <f>发货清单!M389</f>
        <v>0</v>
      </c>
      <c r="F389">
        <f>发货清单!U389</f>
        <v>0</v>
      </c>
      <c r="G389" t="str">
        <f>IFERROR(VLOOKUP(发货清单!A389,数据库!A:B,2,0),"")</f>
        <v/>
      </c>
      <c r="H389">
        <f>发货清单!N389</f>
        <v>0</v>
      </c>
      <c r="I389" t="str">
        <f t="shared" si="54"/>
        <v/>
      </c>
      <c r="J389" t="str">
        <f t="shared" si="55"/>
        <v xml:space="preserve"> </v>
      </c>
      <c r="K389" t="str">
        <f t="shared" si="56"/>
        <v/>
      </c>
      <c r="L389" t="str">
        <f t="shared" si="57"/>
        <v/>
      </c>
      <c r="N389" s="245">
        <f t="shared" si="58"/>
        <v>0</v>
      </c>
      <c r="O389" s="245">
        <f t="shared" si="59"/>
        <v>0</v>
      </c>
      <c r="P389" t="str">
        <f t="shared" si="60"/>
        <v/>
      </c>
      <c r="Q389" t="str">
        <f>IFERROR(VLOOKUP(P389,数据库!C:M,11,0),"")</f>
        <v/>
      </c>
      <c r="R389" t="str">
        <f t="shared" si="61"/>
        <v/>
      </c>
      <c r="S389">
        <f t="shared" si="62"/>
        <v>0</v>
      </c>
    </row>
    <row r="390" spans="1:19">
      <c r="A390" t="str">
        <f>IF(B390=0,"",发货清单!A390*10^6+COUNTIF($D$2:D390,D390)*10^3+ROW(A389))</f>
        <v/>
      </c>
      <c r="B390">
        <f>IFERROR(LEFT(发货清单!H390,SEARCH("-",发货清单!H390)-1),发货清单!H390)</f>
        <v>0</v>
      </c>
      <c r="C390" t="str">
        <f>IFERROR(VLOOKUP(发货清单!A390,数据库!A:D,4,0),"")</f>
        <v/>
      </c>
      <c r="D390" t="str">
        <f>IFERROR(VLOOKUP(发货清单!A390,数据库!A:C,3,0),"")</f>
        <v/>
      </c>
      <c r="E390">
        <f>发货清单!M390</f>
        <v>0</v>
      </c>
      <c r="F390">
        <f>发货清单!U390</f>
        <v>0</v>
      </c>
      <c r="G390" t="str">
        <f>IFERROR(VLOOKUP(发货清单!A390,数据库!A:B,2,0),"")</f>
        <v/>
      </c>
      <c r="H390">
        <f>发货清单!N390</f>
        <v>0</v>
      </c>
      <c r="I390" t="str">
        <f t="shared" si="54"/>
        <v/>
      </c>
      <c r="J390" t="str">
        <f t="shared" si="55"/>
        <v xml:space="preserve"> </v>
      </c>
      <c r="K390" t="str">
        <f t="shared" si="56"/>
        <v/>
      </c>
      <c r="L390" t="str">
        <f t="shared" si="57"/>
        <v/>
      </c>
      <c r="N390" s="245">
        <f t="shared" si="58"/>
        <v>0</v>
      </c>
      <c r="O390" s="245">
        <f t="shared" si="59"/>
        <v>0</v>
      </c>
      <c r="P390" t="str">
        <f t="shared" si="60"/>
        <v/>
      </c>
      <c r="Q390" t="str">
        <f>IFERROR(VLOOKUP(P390,数据库!C:M,11,0),"")</f>
        <v/>
      </c>
      <c r="R390" t="str">
        <f t="shared" si="61"/>
        <v/>
      </c>
      <c r="S390">
        <f t="shared" si="62"/>
        <v>0</v>
      </c>
    </row>
    <row r="391" spans="1:19">
      <c r="A391" t="str">
        <f>IF(B391=0,"",发货清单!A391*10^6+COUNTIF($D$2:D391,D391)*10^3+ROW(A390))</f>
        <v/>
      </c>
      <c r="B391">
        <f>IFERROR(LEFT(发货清单!H391,SEARCH("-",发货清单!H391)-1),发货清单!H391)</f>
        <v>0</v>
      </c>
      <c r="C391" t="str">
        <f>IFERROR(VLOOKUP(发货清单!A391,数据库!A:D,4,0),"")</f>
        <v/>
      </c>
      <c r="D391" t="str">
        <f>IFERROR(VLOOKUP(发货清单!A391,数据库!A:C,3,0),"")</f>
        <v/>
      </c>
      <c r="E391">
        <f>发货清单!M391</f>
        <v>0</v>
      </c>
      <c r="F391">
        <f>发货清单!U391</f>
        <v>0</v>
      </c>
      <c r="G391" t="str">
        <f>IFERROR(VLOOKUP(发货清单!A391,数据库!A:B,2,0),"")</f>
        <v/>
      </c>
      <c r="H391">
        <f>发货清单!N391</f>
        <v>0</v>
      </c>
      <c r="I391" t="str">
        <f t="shared" si="54"/>
        <v/>
      </c>
      <c r="J391" t="str">
        <f t="shared" si="55"/>
        <v xml:space="preserve"> </v>
      </c>
      <c r="K391" t="str">
        <f t="shared" si="56"/>
        <v/>
      </c>
      <c r="L391" t="str">
        <f t="shared" si="57"/>
        <v/>
      </c>
      <c r="N391" s="245">
        <f t="shared" si="58"/>
        <v>0</v>
      </c>
      <c r="O391" s="245">
        <f t="shared" si="59"/>
        <v>0</v>
      </c>
      <c r="P391" t="str">
        <f t="shared" si="60"/>
        <v/>
      </c>
      <c r="Q391" t="str">
        <f>IFERROR(VLOOKUP(P391,数据库!C:M,11,0),"")</f>
        <v/>
      </c>
      <c r="R391" t="str">
        <f t="shared" si="61"/>
        <v/>
      </c>
      <c r="S391">
        <f t="shared" si="62"/>
        <v>0</v>
      </c>
    </row>
    <row r="392" spans="1:19">
      <c r="A392" t="str">
        <f>IF(B392=0,"",发货清单!A392*10^6+COUNTIF($D$2:D392,D392)*10^3+ROW(A391))</f>
        <v/>
      </c>
      <c r="B392">
        <f>IFERROR(LEFT(发货清单!H392,SEARCH("-",发货清单!H392)-1),发货清单!H392)</f>
        <v>0</v>
      </c>
      <c r="C392" t="str">
        <f>IFERROR(VLOOKUP(发货清单!A392,数据库!A:D,4,0),"")</f>
        <v/>
      </c>
      <c r="D392" t="str">
        <f>IFERROR(VLOOKUP(发货清单!A392,数据库!A:C,3,0),"")</f>
        <v/>
      </c>
      <c r="E392">
        <f>发货清单!M392</f>
        <v>0</v>
      </c>
      <c r="F392">
        <f>发货清单!U392</f>
        <v>0</v>
      </c>
      <c r="G392" t="str">
        <f>IFERROR(VLOOKUP(发货清单!A392,数据库!A:B,2,0),"")</f>
        <v/>
      </c>
      <c r="H392">
        <f>发货清单!N392</f>
        <v>0</v>
      </c>
      <c r="I392" t="str">
        <f t="shared" si="54"/>
        <v/>
      </c>
      <c r="J392" t="str">
        <f t="shared" si="55"/>
        <v xml:space="preserve"> </v>
      </c>
      <c r="K392" t="str">
        <f t="shared" si="56"/>
        <v/>
      </c>
      <c r="L392" t="str">
        <f t="shared" si="57"/>
        <v/>
      </c>
      <c r="N392" s="245">
        <f t="shared" si="58"/>
        <v>0</v>
      </c>
      <c r="O392" s="245">
        <f t="shared" si="59"/>
        <v>0</v>
      </c>
      <c r="P392" t="str">
        <f t="shared" si="60"/>
        <v/>
      </c>
      <c r="Q392" t="str">
        <f>IFERROR(VLOOKUP(P392,数据库!C:M,11,0),"")</f>
        <v/>
      </c>
      <c r="R392" t="str">
        <f t="shared" si="61"/>
        <v/>
      </c>
      <c r="S392">
        <f t="shared" si="62"/>
        <v>0</v>
      </c>
    </row>
    <row r="393" spans="1:19">
      <c r="A393" t="str">
        <f>IF(B393=0,"",发货清单!A393*10^6+COUNTIF($D$2:D393,D393)*10^3+ROW(A392))</f>
        <v/>
      </c>
      <c r="B393">
        <f>IFERROR(LEFT(发货清单!H393,SEARCH("-",发货清单!H393)-1),发货清单!H393)</f>
        <v>0</v>
      </c>
      <c r="C393" t="str">
        <f>IFERROR(VLOOKUP(发货清单!A393,数据库!A:D,4,0),"")</f>
        <v/>
      </c>
      <c r="D393" t="str">
        <f>IFERROR(VLOOKUP(发货清单!A393,数据库!A:C,3,0),"")</f>
        <v/>
      </c>
      <c r="E393">
        <f>发货清单!M393</f>
        <v>0</v>
      </c>
      <c r="F393">
        <f>发货清单!U393</f>
        <v>0</v>
      </c>
      <c r="G393" t="str">
        <f>IFERROR(VLOOKUP(发货清单!A393,数据库!A:B,2,0),"")</f>
        <v/>
      </c>
      <c r="H393">
        <f>发货清单!N393</f>
        <v>0</v>
      </c>
      <c r="I393" t="str">
        <f t="shared" si="54"/>
        <v/>
      </c>
      <c r="J393" t="str">
        <f t="shared" si="55"/>
        <v xml:space="preserve"> </v>
      </c>
      <c r="K393" t="str">
        <f t="shared" si="56"/>
        <v/>
      </c>
      <c r="L393" t="str">
        <f t="shared" si="57"/>
        <v/>
      </c>
      <c r="N393" s="245">
        <f t="shared" si="58"/>
        <v>0</v>
      </c>
      <c r="O393" s="245">
        <f t="shared" si="59"/>
        <v>0</v>
      </c>
      <c r="P393" t="str">
        <f t="shared" si="60"/>
        <v/>
      </c>
      <c r="Q393" t="str">
        <f>IFERROR(VLOOKUP(P393,数据库!C:M,11,0),"")</f>
        <v/>
      </c>
      <c r="R393" t="str">
        <f t="shared" si="61"/>
        <v/>
      </c>
      <c r="S393">
        <f t="shared" si="62"/>
        <v>0</v>
      </c>
    </row>
    <row r="394" spans="1:19">
      <c r="A394" t="str">
        <f>IF(B394=0,"",发货清单!A394*10^6+COUNTIF($D$2:D394,D394)*10^3+ROW(A393))</f>
        <v/>
      </c>
      <c r="B394">
        <f>IFERROR(LEFT(发货清单!H394,SEARCH("-",发货清单!H394)-1),发货清单!H394)</f>
        <v>0</v>
      </c>
      <c r="C394" t="str">
        <f>IFERROR(VLOOKUP(发货清单!A394,数据库!A:D,4,0),"")</f>
        <v/>
      </c>
      <c r="D394" t="str">
        <f>IFERROR(VLOOKUP(发货清单!A394,数据库!A:C,3,0),"")</f>
        <v/>
      </c>
      <c r="E394">
        <f>发货清单!M394</f>
        <v>0</v>
      </c>
      <c r="F394">
        <f>发货清单!U394</f>
        <v>0</v>
      </c>
      <c r="G394" t="str">
        <f>IFERROR(VLOOKUP(发货清单!A394,数据库!A:B,2,0),"")</f>
        <v/>
      </c>
      <c r="H394">
        <f>发货清单!N394</f>
        <v>0</v>
      </c>
      <c r="I394" t="str">
        <f t="shared" si="54"/>
        <v/>
      </c>
      <c r="J394" t="str">
        <f t="shared" si="55"/>
        <v xml:space="preserve"> </v>
      </c>
      <c r="K394" t="str">
        <f t="shared" si="56"/>
        <v/>
      </c>
      <c r="L394" t="str">
        <f t="shared" si="57"/>
        <v/>
      </c>
      <c r="N394" s="245">
        <f t="shared" si="58"/>
        <v>0</v>
      </c>
      <c r="O394" s="245">
        <f t="shared" si="59"/>
        <v>0</v>
      </c>
      <c r="P394" t="str">
        <f t="shared" si="60"/>
        <v/>
      </c>
      <c r="Q394" t="str">
        <f>IFERROR(VLOOKUP(P394,数据库!C:M,11,0),"")</f>
        <v/>
      </c>
      <c r="R394" t="str">
        <f t="shared" si="61"/>
        <v/>
      </c>
      <c r="S394">
        <f t="shared" si="62"/>
        <v>0</v>
      </c>
    </row>
    <row r="395" spans="1:19">
      <c r="A395" t="str">
        <f>IF(B395=0,"",发货清单!A395*10^6+COUNTIF($D$2:D395,D395)*10^3+ROW(A394))</f>
        <v/>
      </c>
      <c r="B395">
        <f>IFERROR(LEFT(发货清单!H395,SEARCH("-",发货清单!H395)-1),发货清单!H395)</f>
        <v>0</v>
      </c>
      <c r="C395" t="str">
        <f>IFERROR(VLOOKUP(发货清单!A395,数据库!A:D,4,0),"")</f>
        <v/>
      </c>
      <c r="D395" t="str">
        <f>IFERROR(VLOOKUP(发货清单!A395,数据库!A:C,3,0),"")</f>
        <v/>
      </c>
      <c r="E395">
        <f>发货清单!M395</f>
        <v>0</v>
      </c>
      <c r="F395">
        <f>发货清单!U395</f>
        <v>0</v>
      </c>
      <c r="G395" t="str">
        <f>IFERROR(VLOOKUP(发货清单!A395,数据库!A:B,2,0),"")</f>
        <v/>
      </c>
      <c r="H395">
        <f>发货清单!N395</f>
        <v>0</v>
      </c>
      <c r="I395" t="str">
        <f t="shared" si="54"/>
        <v/>
      </c>
      <c r="J395" t="str">
        <f t="shared" si="55"/>
        <v xml:space="preserve"> </v>
      </c>
      <c r="K395" t="str">
        <f t="shared" si="56"/>
        <v/>
      </c>
      <c r="L395" t="str">
        <f t="shared" si="57"/>
        <v/>
      </c>
      <c r="N395" s="245">
        <f t="shared" si="58"/>
        <v>0</v>
      </c>
      <c r="O395" s="245">
        <f t="shared" si="59"/>
        <v>0</v>
      </c>
      <c r="P395" t="str">
        <f t="shared" si="60"/>
        <v/>
      </c>
      <c r="Q395" t="str">
        <f>IFERROR(VLOOKUP(P395,数据库!C:M,11,0),"")</f>
        <v/>
      </c>
      <c r="R395" t="str">
        <f t="shared" si="61"/>
        <v/>
      </c>
      <c r="S395">
        <f t="shared" si="62"/>
        <v>0</v>
      </c>
    </row>
    <row r="396" spans="1:19">
      <c r="A396" t="str">
        <f>IF(B396=0,"",发货清单!A396*10^6+COUNTIF($D$2:D396,D396)*10^3+ROW(A395))</f>
        <v/>
      </c>
      <c r="B396">
        <f>IFERROR(LEFT(发货清单!H396,SEARCH("-",发货清单!H396)-1),发货清单!H396)</f>
        <v>0</v>
      </c>
      <c r="C396" t="str">
        <f>IFERROR(VLOOKUP(发货清单!A396,数据库!A:D,4,0),"")</f>
        <v/>
      </c>
      <c r="D396" t="str">
        <f>IFERROR(VLOOKUP(发货清单!A396,数据库!A:C,3,0),"")</f>
        <v/>
      </c>
      <c r="E396">
        <f>发货清单!M396</f>
        <v>0</v>
      </c>
      <c r="F396">
        <f>发货清单!U396</f>
        <v>0</v>
      </c>
      <c r="G396" t="str">
        <f>IFERROR(VLOOKUP(发货清单!A396,数据库!A:B,2,0),"")</f>
        <v/>
      </c>
      <c r="H396">
        <f>发货清单!N396</f>
        <v>0</v>
      </c>
      <c r="I396" t="str">
        <f t="shared" si="54"/>
        <v/>
      </c>
      <c r="J396" t="str">
        <f t="shared" si="55"/>
        <v xml:space="preserve"> </v>
      </c>
      <c r="K396" t="str">
        <f t="shared" si="56"/>
        <v/>
      </c>
      <c r="L396" t="str">
        <f t="shared" si="57"/>
        <v/>
      </c>
      <c r="N396" s="245">
        <f t="shared" si="58"/>
        <v>0</v>
      </c>
      <c r="O396" s="245">
        <f t="shared" si="59"/>
        <v>0</v>
      </c>
      <c r="P396" t="str">
        <f t="shared" si="60"/>
        <v/>
      </c>
      <c r="Q396" t="str">
        <f>IFERROR(VLOOKUP(P396,数据库!C:M,11,0),"")</f>
        <v/>
      </c>
      <c r="R396" t="str">
        <f t="shared" si="61"/>
        <v/>
      </c>
      <c r="S396">
        <f t="shared" si="62"/>
        <v>0</v>
      </c>
    </row>
    <row r="397" spans="1:19">
      <c r="A397" t="str">
        <f>IF(B397=0,"",发货清单!A397*10^6+COUNTIF($D$2:D397,D397)*10^3+ROW(A396))</f>
        <v/>
      </c>
      <c r="B397">
        <f>IFERROR(LEFT(发货清单!H397,SEARCH("-",发货清单!H397)-1),发货清单!H397)</f>
        <v>0</v>
      </c>
      <c r="C397" t="str">
        <f>IFERROR(VLOOKUP(发货清单!A397,数据库!A:D,4,0),"")</f>
        <v/>
      </c>
      <c r="D397" t="str">
        <f>IFERROR(VLOOKUP(发货清单!A397,数据库!A:C,3,0),"")</f>
        <v/>
      </c>
      <c r="E397">
        <f>发货清单!M397</f>
        <v>0</v>
      </c>
      <c r="F397">
        <f>发货清单!U397</f>
        <v>0</v>
      </c>
      <c r="G397" t="str">
        <f>IFERROR(VLOOKUP(发货清单!A397,数据库!A:B,2,0),"")</f>
        <v/>
      </c>
      <c r="H397">
        <f>发货清单!N397</f>
        <v>0</v>
      </c>
      <c r="I397" t="str">
        <f t="shared" si="54"/>
        <v/>
      </c>
      <c r="J397" t="str">
        <f t="shared" si="55"/>
        <v xml:space="preserve"> </v>
      </c>
      <c r="K397" t="str">
        <f t="shared" si="56"/>
        <v/>
      </c>
      <c r="L397" t="str">
        <f t="shared" si="57"/>
        <v/>
      </c>
      <c r="N397" s="245">
        <f t="shared" si="58"/>
        <v>0</v>
      </c>
      <c r="O397" s="245">
        <f t="shared" si="59"/>
        <v>0</v>
      </c>
      <c r="P397" t="str">
        <f t="shared" si="60"/>
        <v/>
      </c>
      <c r="Q397" t="str">
        <f>IFERROR(VLOOKUP(P397,数据库!C:M,11,0),"")</f>
        <v/>
      </c>
      <c r="R397" t="str">
        <f t="shared" si="61"/>
        <v/>
      </c>
      <c r="S397">
        <f t="shared" si="62"/>
        <v>0</v>
      </c>
    </row>
    <row r="398" spans="1:19">
      <c r="A398" t="str">
        <f>IF(B398=0,"",发货清单!A398*10^6+COUNTIF($D$2:D398,D398)*10^3+ROW(A397))</f>
        <v/>
      </c>
      <c r="B398">
        <f>IFERROR(LEFT(发货清单!H398,SEARCH("-",发货清单!H398)-1),发货清单!H398)</f>
        <v>0</v>
      </c>
      <c r="C398" t="str">
        <f>IFERROR(VLOOKUP(发货清单!A398,数据库!A:D,4,0),"")</f>
        <v/>
      </c>
      <c r="D398" t="str">
        <f>IFERROR(VLOOKUP(发货清单!A398,数据库!A:C,3,0),"")</f>
        <v/>
      </c>
      <c r="E398">
        <f>发货清单!M398</f>
        <v>0</v>
      </c>
      <c r="F398">
        <f>发货清单!U398</f>
        <v>0</v>
      </c>
      <c r="G398" t="str">
        <f>IFERROR(VLOOKUP(发货清单!A398,数据库!A:B,2,0),"")</f>
        <v/>
      </c>
      <c r="H398">
        <f>发货清单!N398</f>
        <v>0</v>
      </c>
      <c r="I398" t="str">
        <f t="shared" si="54"/>
        <v/>
      </c>
      <c r="J398" t="str">
        <f t="shared" si="55"/>
        <v xml:space="preserve"> </v>
      </c>
      <c r="K398" t="str">
        <f t="shared" si="56"/>
        <v/>
      </c>
      <c r="L398" t="str">
        <f t="shared" si="57"/>
        <v/>
      </c>
      <c r="N398" s="245">
        <f t="shared" si="58"/>
        <v>0</v>
      </c>
      <c r="O398" s="245">
        <f t="shared" si="59"/>
        <v>0</v>
      </c>
      <c r="P398" t="str">
        <f t="shared" si="60"/>
        <v/>
      </c>
      <c r="Q398" t="str">
        <f>IFERROR(VLOOKUP(P398,数据库!C:M,11,0),"")</f>
        <v/>
      </c>
      <c r="R398" t="str">
        <f t="shared" si="61"/>
        <v/>
      </c>
      <c r="S398">
        <f t="shared" si="62"/>
        <v>0</v>
      </c>
    </row>
    <row r="399" spans="1:19">
      <c r="A399" t="str">
        <f>IF(B399=0,"",发货清单!A399*10^6+COUNTIF($D$2:D399,D399)*10^3+ROW(A398))</f>
        <v/>
      </c>
      <c r="B399">
        <f>IFERROR(LEFT(发货清单!H399,SEARCH("-",发货清单!H399)-1),发货清单!H399)</f>
        <v>0</v>
      </c>
      <c r="C399" t="str">
        <f>IFERROR(VLOOKUP(发货清单!A399,数据库!A:D,4,0),"")</f>
        <v/>
      </c>
      <c r="D399" t="str">
        <f>IFERROR(VLOOKUP(发货清单!A399,数据库!A:C,3,0),"")</f>
        <v/>
      </c>
      <c r="E399">
        <f>发货清单!M399</f>
        <v>0</v>
      </c>
      <c r="F399">
        <f>发货清单!U399</f>
        <v>0</v>
      </c>
      <c r="G399" t="str">
        <f>IFERROR(VLOOKUP(发货清单!A399,数据库!A:B,2,0),"")</f>
        <v/>
      </c>
      <c r="H399">
        <f>发货清单!N399</f>
        <v>0</v>
      </c>
      <c r="I399" t="str">
        <f t="shared" si="54"/>
        <v/>
      </c>
      <c r="J399" t="str">
        <f t="shared" si="55"/>
        <v xml:space="preserve"> </v>
      </c>
      <c r="K399" t="str">
        <f t="shared" si="56"/>
        <v/>
      </c>
      <c r="L399" t="str">
        <f t="shared" si="57"/>
        <v/>
      </c>
      <c r="N399" s="245">
        <f t="shared" si="58"/>
        <v>0</v>
      </c>
      <c r="O399" s="245">
        <f t="shared" si="59"/>
        <v>0</v>
      </c>
      <c r="P399" t="str">
        <f t="shared" si="60"/>
        <v/>
      </c>
      <c r="Q399" t="str">
        <f>IFERROR(VLOOKUP(P399,数据库!C:M,11,0),"")</f>
        <v/>
      </c>
      <c r="R399" t="str">
        <f t="shared" si="61"/>
        <v/>
      </c>
      <c r="S399">
        <f t="shared" si="62"/>
        <v>0</v>
      </c>
    </row>
    <row r="400" spans="1:19">
      <c r="A400" t="str">
        <f>IF(B400=0,"",发货清单!A400*10^6+COUNTIF($D$2:D400,D400)*10^3+ROW(A399))</f>
        <v/>
      </c>
      <c r="B400">
        <f>IFERROR(LEFT(发货清单!H400,SEARCH("-",发货清单!H400)-1),发货清单!H400)</f>
        <v>0</v>
      </c>
      <c r="C400" t="str">
        <f>IFERROR(VLOOKUP(发货清单!A400,数据库!A:D,4,0),"")</f>
        <v/>
      </c>
      <c r="D400" t="str">
        <f>IFERROR(VLOOKUP(发货清单!A400,数据库!A:C,3,0),"")</f>
        <v/>
      </c>
      <c r="E400">
        <f>发货清单!M400</f>
        <v>0</v>
      </c>
      <c r="F400">
        <f>发货清单!U400</f>
        <v>0</v>
      </c>
      <c r="G400" t="str">
        <f>IFERROR(VLOOKUP(发货清单!A400,数据库!A:B,2,0),"")</f>
        <v/>
      </c>
      <c r="H400">
        <f>发货清单!N400</f>
        <v>0</v>
      </c>
      <c r="I400" t="str">
        <f t="shared" si="54"/>
        <v/>
      </c>
      <c r="J400" t="str">
        <f t="shared" si="55"/>
        <v xml:space="preserve"> </v>
      </c>
      <c r="K400" t="str">
        <f t="shared" si="56"/>
        <v/>
      </c>
      <c r="L400" t="str">
        <f t="shared" si="57"/>
        <v/>
      </c>
      <c r="N400" s="245">
        <f t="shared" si="58"/>
        <v>0</v>
      </c>
      <c r="O400" s="245">
        <f t="shared" si="59"/>
        <v>0</v>
      </c>
      <c r="P400" t="str">
        <f t="shared" si="60"/>
        <v/>
      </c>
      <c r="Q400" t="str">
        <f>IFERROR(VLOOKUP(P400,数据库!C:M,11,0),"")</f>
        <v/>
      </c>
      <c r="R400" t="str">
        <f t="shared" si="61"/>
        <v/>
      </c>
      <c r="S400">
        <f t="shared" si="62"/>
        <v>0</v>
      </c>
    </row>
    <row r="401" spans="1:19">
      <c r="A401" t="str">
        <f>IF(B401=0,"",发货清单!A401*10^6+COUNTIF($D$2:D401,D401)*10^3+ROW(A400))</f>
        <v/>
      </c>
      <c r="B401">
        <f>IFERROR(LEFT(发货清单!H401,SEARCH("-",发货清单!H401)-1),发货清单!H401)</f>
        <v>0</v>
      </c>
      <c r="C401" t="str">
        <f>IFERROR(VLOOKUP(发货清单!A401,数据库!A:D,4,0),"")</f>
        <v/>
      </c>
      <c r="D401" t="str">
        <f>IFERROR(VLOOKUP(发货清单!A401,数据库!A:C,3,0),"")</f>
        <v/>
      </c>
      <c r="E401">
        <f>发货清单!M401</f>
        <v>0</v>
      </c>
      <c r="F401">
        <f>发货清单!U401</f>
        <v>0</v>
      </c>
      <c r="G401" t="str">
        <f>IFERROR(VLOOKUP(发货清单!A401,数据库!A:B,2,0),"")</f>
        <v/>
      </c>
      <c r="H401">
        <f>发货清单!N401</f>
        <v>0</v>
      </c>
      <c r="I401" t="str">
        <f t="shared" si="54"/>
        <v/>
      </c>
      <c r="J401" t="str">
        <f t="shared" si="55"/>
        <v xml:space="preserve"> </v>
      </c>
      <c r="K401" t="str">
        <f t="shared" si="56"/>
        <v/>
      </c>
      <c r="L401" t="str">
        <f t="shared" si="57"/>
        <v/>
      </c>
      <c r="N401" s="245">
        <f t="shared" si="58"/>
        <v>0</v>
      </c>
      <c r="O401" s="245">
        <f t="shared" si="59"/>
        <v>0</v>
      </c>
      <c r="P401" t="str">
        <f t="shared" si="60"/>
        <v/>
      </c>
      <c r="Q401" t="str">
        <f>IFERROR(VLOOKUP(P401,数据库!C:M,11,0),"")</f>
        <v/>
      </c>
      <c r="R401" t="str">
        <f t="shared" si="61"/>
        <v/>
      </c>
      <c r="S401">
        <f t="shared" si="62"/>
        <v>0</v>
      </c>
    </row>
    <row r="402" spans="1:19">
      <c r="A402" t="str">
        <f>IF(B402=0,"",发货清单!A402*10^6+COUNTIF($D$2:D402,D402)*10^3+ROW(A401))</f>
        <v/>
      </c>
      <c r="B402">
        <f>IFERROR(LEFT(发货清单!H402,SEARCH("-",发货清单!H402)-1),发货清单!H402)</f>
        <v>0</v>
      </c>
      <c r="C402" t="str">
        <f>IFERROR(VLOOKUP(发货清单!A402,数据库!A:D,4,0),"")</f>
        <v/>
      </c>
      <c r="D402" t="str">
        <f>IFERROR(VLOOKUP(发货清单!A402,数据库!A:C,3,0),"")</f>
        <v/>
      </c>
      <c r="E402">
        <f>发货清单!M402</f>
        <v>0</v>
      </c>
      <c r="F402">
        <f>发货清单!U402</f>
        <v>0</v>
      </c>
      <c r="G402" t="str">
        <f>IFERROR(VLOOKUP(发货清单!A402,数据库!A:B,2,0),"")</f>
        <v/>
      </c>
      <c r="H402">
        <f>发货清单!N402</f>
        <v>0</v>
      </c>
      <c r="I402" t="str">
        <f t="shared" si="54"/>
        <v/>
      </c>
      <c r="J402" t="str">
        <f t="shared" si="55"/>
        <v xml:space="preserve"> </v>
      </c>
      <c r="K402" t="str">
        <f t="shared" si="56"/>
        <v/>
      </c>
      <c r="L402" t="str">
        <f t="shared" si="57"/>
        <v/>
      </c>
      <c r="N402" s="245">
        <f t="shared" si="58"/>
        <v>0</v>
      </c>
      <c r="O402" s="245">
        <f t="shared" si="59"/>
        <v>0</v>
      </c>
      <c r="P402" t="str">
        <f t="shared" si="60"/>
        <v/>
      </c>
      <c r="Q402" t="str">
        <f>IFERROR(VLOOKUP(P402,数据库!C:M,11,0),"")</f>
        <v/>
      </c>
      <c r="R402" t="str">
        <f t="shared" si="61"/>
        <v/>
      </c>
      <c r="S402">
        <f t="shared" si="62"/>
        <v>0</v>
      </c>
    </row>
    <row r="403" spans="1:19">
      <c r="A403" t="str">
        <f>IF(B403=0,"",发货清单!A403*10^6+COUNTIF($D$2:D403,D403)*10^3+ROW(A402))</f>
        <v/>
      </c>
      <c r="B403">
        <f>IFERROR(LEFT(发货清单!H403,SEARCH("-",发货清单!H403)-1),发货清单!H403)</f>
        <v>0</v>
      </c>
      <c r="C403" t="str">
        <f>IFERROR(VLOOKUP(发货清单!A403,数据库!A:D,4,0),"")</f>
        <v/>
      </c>
      <c r="D403" t="str">
        <f>IFERROR(VLOOKUP(发货清单!A403,数据库!A:C,3,0),"")</f>
        <v/>
      </c>
      <c r="E403">
        <f>发货清单!M403</f>
        <v>0</v>
      </c>
      <c r="F403">
        <f>发货清单!U403</f>
        <v>0</v>
      </c>
      <c r="G403" t="str">
        <f>IFERROR(VLOOKUP(发货清单!A403,数据库!A:B,2,0),"")</f>
        <v/>
      </c>
      <c r="H403">
        <f>发货清单!N403</f>
        <v>0</v>
      </c>
      <c r="I403" t="str">
        <f t="shared" si="54"/>
        <v/>
      </c>
      <c r="J403" t="str">
        <f t="shared" si="55"/>
        <v xml:space="preserve"> </v>
      </c>
      <c r="K403" t="str">
        <f t="shared" si="56"/>
        <v/>
      </c>
      <c r="L403" t="str">
        <f t="shared" si="57"/>
        <v/>
      </c>
      <c r="N403" s="245">
        <f t="shared" si="58"/>
        <v>0</v>
      </c>
      <c r="O403" s="245">
        <f t="shared" si="59"/>
        <v>0</v>
      </c>
      <c r="P403" t="str">
        <f t="shared" si="60"/>
        <v/>
      </c>
      <c r="Q403" t="str">
        <f>IFERROR(VLOOKUP(P403,数据库!C:M,11,0),"")</f>
        <v/>
      </c>
      <c r="R403" t="str">
        <f t="shared" si="61"/>
        <v/>
      </c>
      <c r="S403">
        <f t="shared" si="62"/>
        <v>0</v>
      </c>
    </row>
    <row r="404" spans="1:19">
      <c r="A404" t="str">
        <f>IF(B404=0,"",发货清单!A404*10^6+COUNTIF($D$2:D404,D404)*10^3+ROW(A403))</f>
        <v/>
      </c>
      <c r="B404">
        <f>IFERROR(LEFT(发货清单!H404,SEARCH("-",发货清单!H404)-1),发货清单!H404)</f>
        <v>0</v>
      </c>
      <c r="C404" t="str">
        <f>IFERROR(VLOOKUP(发货清单!A404,数据库!A:D,4,0),"")</f>
        <v/>
      </c>
      <c r="D404" t="str">
        <f>IFERROR(VLOOKUP(发货清单!A404,数据库!A:C,3,0),"")</f>
        <v/>
      </c>
      <c r="E404">
        <f>发货清单!M404</f>
        <v>0</v>
      </c>
      <c r="F404">
        <f>发货清单!U404</f>
        <v>0</v>
      </c>
      <c r="G404" t="str">
        <f>IFERROR(VLOOKUP(发货清单!A404,数据库!A:B,2,0),"")</f>
        <v/>
      </c>
      <c r="H404">
        <f>发货清单!N404</f>
        <v>0</v>
      </c>
      <c r="I404" t="str">
        <f t="shared" si="54"/>
        <v/>
      </c>
      <c r="J404" t="str">
        <f t="shared" si="55"/>
        <v xml:space="preserve"> </v>
      </c>
      <c r="K404" t="str">
        <f t="shared" si="56"/>
        <v/>
      </c>
      <c r="L404" t="str">
        <f t="shared" si="57"/>
        <v/>
      </c>
      <c r="N404" s="245">
        <f t="shared" si="58"/>
        <v>0</v>
      </c>
      <c r="O404" s="245">
        <f t="shared" si="59"/>
        <v>0</v>
      </c>
      <c r="P404" t="str">
        <f t="shared" si="60"/>
        <v/>
      </c>
      <c r="Q404" t="str">
        <f>IFERROR(VLOOKUP(P404,数据库!C:M,11,0),"")</f>
        <v/>
      </c>
      <c r="R404" t="str">
        <f t="shared" si="61"/>
        <v/>
      </c>
      <c r="S404">
        <f t="shared" si="62"/>
        <v>0</v>
      </c>
    </row>
    <row r="405" spans="1:19">
      <c r="A405" t="str">
        <f>IF(B405=0,"",发货清单!A405*10^6+COUNTIF($D$2:D405,D405)*10^3+ROW(A404))</f>
        <v/>
      </c>
      <c r="B405">
        <f>IFERROR(LEFT(发货清单!H405,SEARCH("-",发货清单!H405)-1),发货清单!H405)</f>
        <v>0</v>
      </c>
      <c r="C405" t="str">
        <f>IFERROR(VLOOKUP(发货清单!A405,数据库!A:D,4,0),"")</f>
        <v/>
      </c>
      <c r="D405" t="str">
        <f>IFERROR(VLOOKUP(发货清单!A405,数据库!A:C,3,0),"")</f>
        <v/>
      </c>
      <c r="E405">
        <f>发货清单!M405</f>
        <v>0</v>
      </c>
      <c r="F405">
        <f>发货清单!U405</f>
        <v>0</v>
      </c>
      <c r="G405" t="str">
        <f>IFERROR(VLOOKUP(发货清单!A405,数据库!A:B,2,0),"")</f>
        <v/>
      </c>
      <c r="H405">
        <f>发货清单!N405</f>
        <v>0</v>
      </c>
      <c r="I405" t="str">
        <f t="shared" si="54"/>
        <v/>
      </c>
      <c r="J405" t="str">
        <f t="shared" si="55"/>
        <v xml:space="preserve"> </v>
      </c>
      <c r="K405" t="str">
        <f t="shared" si="56"/>
        <v/>
      </c>
      <c r="L405" t="str">
        <f t="shared" si="57"/>
        <v/>
      </c>
      <c r="N405" s="245">
        <f t="shared" si="58"/>
        <v>0</v>
      </c>
      <c r="O405" s="245">
        <f t="shared" si="59"/>
        <v>0</v>
      </c>
      <c r="P405" t="str">
        <f t="shared" si="60"/>
        <v/>
      </c>
      <c r="Q405" t="str">
        <f>IFERROR(VLOOKUP(P405,数据库!C:M,11,0),"")</f>
        <v/>
      </c>
      <c r="R405" t="str">
        <f t="shared" si="61"/>
        <v/>
      </c>
      <c r="S405">
        <f t="shared" si="62"/>
        <v>0</v>
      </c>
    </row>
    <row r="406" spans="1:19">
      <c r="A406" t="str">
        <f>IF(B406=0,"",发货清单!A406*10^6+COUNTIF($D$2:D406,D406)*10^3+ROW(A405))</f>
        <v/>
      </c>
      <c r="B406">
        <f>IFERROR(LEFT(发货清单!H406,SEARCH("-",发货清单!H406)-1),发货清单!H406)</f>
        <v>0</v>
      </c>
      <c r="C406" t="str">
        <f>IFERROR(VLOOKUP(发货清单!A406,数据库!A:D,4,0),"")</f>
        <v/>
      </c>
      <c r="D406" t="str">
        <f>IFERROR(VLOOKUP(发货清单!A406,数据库!A:C,3,0),"")</f>
        <v/>
      </c>
      <c r="E406">
        <f>发货清单!M406</f>
        <v>0</v>
      </c>
      <c r="F406">
        <f>发货清单!U406</f>
        <v>0</v>
      </c>
      <c r="G406" t="str">
        <f>IFERROR(VLOOKUP(发货清单!A406,数据库!A:B,2,0),"")</f>
        <v/>
      </c>
      <c r="H406">
        <f>发货清单!N406</f>
        <v>0</v>
      </c>
      <c r="I406" t="str">
        <f t="shared" si="54"/>
        <v/>
      </c>
      <c r="J406" t="str">
        <f t="shared" si="55"/>
        <v xml:space="preserve"> </v>
      </c>
      <c r="K406" t="str">
        <f t="shared" si="56"/>
        <v/>
      </c>
      <c r="L406" t="str">
        <f t="shared" si="57"/>
        <v/>
      </c>
      <c r="N406" s="245">
        <f t="shared" si="58"/>
        <v>0</v>
      </c>
      <c r="O406" s="245">
        <f t="shared" si="59"/>
        <v>0</v>
      </c>
      <c r="P406" t="str">
        <f t="shared" si="60"/>
        <v/>
      </c>
      <c r="Q406" t="str">
        <f>IFERROR(VLOOKUP(P406,数据库!C:M,11,0),"")</f>
        <v/>
      </c>
      <c r="R406" t="str">
        <f t="shared" si="61"/>
        <v/>
      </c>
      <c r="S406">
        <f t="shared" si="62"/>
        <v>0</v>
      </c>
    </row>
    <row r="407" spans="1:19">
      <c r="A407" t="str">
        <f>IF(B407=0,"",发货清单!A407*10^6+COUNTIF($D$2:D407,D407)*10^3+ROW(A406))</f>
        <v/>
      </c>
      <c r="B407">
        <f>IFERROR(LEFT(发货清单!H407,SEARCH("-",发货清单!H407)-1),发货清单!H407)</f>
        <v>0</v>
      </c>
      <c r="C407" t="str">
        <f>IFERROR(VLOOKUP(发货清单!A407,数据库!A:D,4,0),"")</f>
        <v/>
      </c>
      <c r="D407" t="str">
        <f>IFERROR(VLOOKUP(发货清单!A407,数据库!A:C,3,0),"")</f>
        <v/>
      </c>
      <c r="E407">
        <f>发货清单!M407</f>
        <v>0</v>
      </c>
      <c r="F407">
        <f>发货清单!U407</f>
        <v>0</v>
      </c>
      <c r="G407" t="str">
        <f>IFERROR(VLOOKUP(发货清单!A407,数据库!A:B,2,0),"")</f>
        <v/>
      </c>
      <c r="H407">
        <f>发货清单!N407</f>
        <v>0</v>
      </c>
      <c r="I407" t="str">
        <f t="shared" si="54"/>
        <v/>
      </c>
      <c r="J407" t="str">
        <f t="shared" si="55"/>
        <v xml:space="preserve"> </v>
      </c>
      <c r="K407" t="str">
        <f t="shared" si="56"/>
        <v/>
      </c>
      <c r="L407" t="str">
        <f t="shared" si="57"/>
        <v/>
      </c>
      <c r="N407" s="245">
        <f t="shared" si="58"/>
        <v>0</v>
      </c>
      <c r="O407" s="245">
        <f t="shared" si="59"/>
        <v>0</v>
      </c>
      <c r="P407" t="str">
        <f t="shared" si="60"/>
        <v/>
      </c>
      <c r="Q407" t="str">
        <f>IFERROR(VLOOKUP(P407,数据库!C:M,11,0),"")</f>
        <v/>
      </c>
      <c r="R407" t="str">
        <f t="shared" si="61"/>
        <v/>
      </c>
      <c r="S407">
        <f t="shared" si="62"/>
        <v>0</v>
      </c>
    </row>
    <row r="408" spans="1:19">
      <c r="A408" t="str">
        <f>IF(B408=0,"",发货清单!A408*10^6+COUNTIF($D$2:D408,D408)*10^3+ROW(A407))</f>
        <v/>
      </c>
      <c r="B408">
        <f>IFERROR(LEFT(发货清单!H408,SEARCH("-",发货清单!H408)-1),发货清单!H408)</f>
        <v>0</v>
      </c>
      <c r="C408" t="str">
        <f>IFERROR(VLOOKUP(发货清单!A408,数据库!A:D,4,0),"")</f>
        <v/>
      </c>
      <c r="D408" t="str">
        <f>IFERROR(VLOOKUP(发货清单!A408,数据库!A:C,3,0),"")</f>
        <v/>
      </c>
      <c r="E408">
        <f>发货清单!M408</f>
        <v>0</v>
      </c>
      <c r="F408">
        <f>发货清单!U408</f>
        <v>0</v>
      </c>
      <c r="G408" t="str">
        <f>IFERROR(VLOOKUP(发货清单!A408,数据库!A:B,2,0),"")</f>
        <v/>
      </c>
      <c r="H408">
        <f>发货清单!N408</f>
        <v>0</v>
      </c>
      <c r="I408" t="str">
        <f t="shared" si="54"/>
        <v/>
      </c>
      <c r="J408" t="str">
        <f t="shared" si="55"/>
        <v xml:space="preserve"> </v>
      </c>
      <c r="K408" t="str">
        <f t="shared" si="56"/>
        <v/>
      </c>
      <c r="L408" t="str">
        <f t="shared" si="57"/>
        <v/>
      </c>
      <c r="N408" s="245">
        <f t="shared" si="58"/>
        <v>0</v>
      </c>
      <c r="O408" s="245">
        <f t="shared" si="59"/>
        <v>0</v>
      </c>
      <c r="P408" t="str">
        <f t="shared" si="60"/>
        <v/>
      </c>
      <c r="Q408" t="str">
        <f>IFERROR(VLOOKUP(P408,数据库!C:M,11,0),"")</f>
        <v/>
      </c>
      <c r="R408" t="str">
        <f t="shared" si="61"/>
        <v/>
      </c>
      <c r="S408">
        <f t="shared" si="62"/>
        <v>0</v>
      </c>
    </row>
    <row r="409" spans="1:19">
      <c r="A409" t="str">
        <f>IF(B409=0,"",发货清单!A409*10^6+COUNTIF($D$2:D409,D409)*10^3+ROW(A408))</f>
        <v/>
      </c>
      <c r="B409">
        <f>IFERROR(LEFT(发货清单!H409,SEARCH("-",发货清单!H409)-1),发货清单!H409)</f>
        <v>0</v>
      </c>
      <c r="C409" t="str">
        <f>IFERROR(VLOOKUP(发货清单!A409,数据库!A:D,4,0),"")</f>
        <v/>
      </c>
      <c r="D409" t="str">
        <f>IFERROR(VLOOKUP(发货清单!A409,数据库!A:C,3,0),"")</f>
        <v/>
      </c>
      <c r="E409">
        <f>发货清单!M409</f>
        <v>0</v>
      </c>
      <c r="F409">
        <f>发货清单!U409</f>
        <v>0</v>
      </c>
      <c r="G409" t="str">
        <f>IFERROR(VLOOKUP(发货清单!A409,数据库!A:B,2,0),"")</f>
        <v/>
      </c>
      <c r="H409">
        <f>发货清单!N409</f>
        <v>0</v>
      </c>
      <c r="I409" t="str">
        <f t="shared" si="54"/>
        <v/>
      </c>
      <c r="J409" t="str">
        <f t="shared" si="55"/>
        <v xml:space="preserve"> </v>
      </c>
      <c r="K409" t="str">
        <f t="shared" si="56"/>
        <v/>
      </c>
      <c r="L409" t="str">
        <f t="shared" si="57"/>
        <v/>
      </c>
      <c r="N409" s="245">
        <f t="shared" si="58"/>
        <v>0</v>
      </c>
      <c r="O409" s="245">
        <f t="shared" si="59"/>
        <v>0</v>
      </c>
      <c r="P409" t="str">
        <f t="shared" si="60"/>
        <v/>
      </c>
      <c r="Q409" t="str">
        <f>IFERROR(VLOOKUP(P409,数据库!C:M,11,0),"")</f>
        <v/>
      </c>
      <c r="R409" t="str">
        <f t="shared" si="61"/>
        <v/>
      </c>
      <c r="S409">
        <f t="shared" si="62"/>
        <v>0</v>
      </c>
    </row>
    <row r="410" spans="1:19">
      <c r="A410" t="str">
        <f>IF(B410=0,"",发货清单!A410*10^6+COUNTIF($D$2:D410,D410)*10^3+ROW(A409))</f>
        <v/>
      </c>
      <c r="B410">
        <f>IFERROR(LEFT(发货清单!H410,SEARCH("-",发货清单!H410)-1),发货清单!H410)</f>
        <v>0</v>
      </c>
      <c r="C410" t="str">
        <f>IFERROR(VLOOKUP(发货清单!A410,数据库!A:D,4,0),"")</f>
        <v/>
      </c>
      <c r="D410" t="str">
        <f>IFERROR(VLOOKUP(发货清单!A410,数据库!A:C,3,0),"")</f>
        <v/>
      </c>
      <c r="E410">
        <f>发货清单!M410</f>
        <v>0</v>
      </c>
      <c r="F410">
        <f>发货清单!U410</f>
        <v>0</v>
      </c>
      <c r="G410" t="str">
        <f>IFERROR(VLOOKUP(发货清单!A410,数据库!A:B,2,0),"")</f>
        <v/>
      </c>
      <c r="H410">
        <f>发货清单!N410</f>
        <v>0</v>
      </c>
      <c r="I410" t="str">
        <f t="shared" si="54"/>
        <v/>
      </c>
      <c r="J410" t="str">
        <f t="shared" si="55"/>
        <v xml:space="preserve"> </v>
      </c>
      <c r="K410" t="str">
        <f t="shared" si="56"/>
        <v/>
      </c>
      <c r="L410" t="str">
        <f t="shared" si="57"/>
        <v/>
      </c>
      <c r="N410" s="245">
        <f t="shared" si="58"/>
        <v>0</v>
      </c>
      <c r="O410" s="245">
        <f t="shared" si="59"/>
        <v>0</v>
      </c>
      <c r="P410" t="str">
        <f t="shared" si="60"/>
        <v/>
      </c>
      <c r="Q410" t="str">
        <f>IFERROR(VLOOKUP(P410,数据库!C:M,11,0),"")</f>
        <v/>
      </c>
      <c r="R410" t="str">
        <f t="shared" si="61"/>
        <v/>
      </c>
      <c r="S410">
        <f t="shared" si="62"/>
        <v>0</v>
      </c>
    </row>
    <row r="411" spans="1:19">
      <c r="A411" t="str">
        <f>IF(B411=0,"",发货清单!A411*10^6+COUNTIF($D$2:D411,D411)*10^3+ROW(A410))</f>
        <v/>
      </c>
      <c r="B411">
        <f>IFERROR(LEFT(发货清单!H411,SEARCH("-",发货清单!H411)-1),发货清单!H411)</f>
        <v>0</v>
      </c>
      <c r="C411" t="str">
        <f>IFERROR(VLOOKUP(发货清单!A411,数据库!A:D,4,0),"")</f>
        <v/>
      </c>
      <c r="D411" t="str">
        <f>IFERROR(VLOOKUP(发货清单!A411,数据库!A:C,3,0),"")</f>
        <v/>
      </c>
      <c r="E411">
        <f>发货清单!M411</f>
        <v>0</v>
      </c>
      <c r="F411">
        <f>发货清单!U411</f>
        <v>0</v>
      </c>
      <c r="G411" t="str">
        <f>IFERROR(VLOOKUP(发货清单!A411,数据库!A:B,2,0),"")</f>
        <v/>
      </c>
      <c r="H411">
        <f>发货清单!N411</f>
        <v>0</v>
      </c>
      <c r="I411" t="str">
        <f t="shared" si="54"/>
        <v/>
      </c>
      <c r="J411" t="str">
        <f t="shared" si="55"/>
        <v xml:space="preserve"> </v>
      </c>
      <c r="K411" t="str">
        <f t="shared" si="56"/>
        <v/>
      </c>
      <c r="L411" t="str">
        <f t="shared" si="57"/>
        <v/>
      </c>
      <c r="N411" s="245">
        <f t="shared" si="58"/>
        <v>0</v>
      </c>
      <c r="O411" s="245">
        <f t="shared" si="59"/>
        <v>0</v>
      </c>
      <c r="P411" t="str">
        <f t="shared" si="60"/>
        <v/>
      </c>
      <c r="Q411" t="str">
        <f>IFERROR(VLOOKUP(P411,数据库!C:M,11,0),"")</f>
        <v/>
      </c>
      <c r="R411" t="str">
        <f t="shared" si="61"/>
        <v/>
      </c>
      <c r="S411">
        <f t="shared" si="62"/>
        <v>0</v>
      </c>
    </row>
    <row r="412" spans="1:19">
      <c r="A412" t="str">
        <f>IF(B412=0,"",发货清单!A412*10^6+COUNTIF($D$2:D412,D412)*10^3+ROW(A411))</f>
        <v/>
      </c>
      <c r="B412">
        <f>IFERROR(LEFT(发货清单!H412,SEARCH("-",发货清单!H412)-1),发货清单!H412)</f>
        <v>0</v>
      </c>
      <c r="C412" t="str">
        <f>IFERROR(VLOOKUP(发货清单!A412,数据库!A:D,4,0),"")</f>
        <v/>
      </c>
      <c r="D412" t="str">
        <f>IFERROR(VLOOKUP(发货清单!A412,数据库!A:C,3,0),"")</f>
        <v/>
      </c>
      <c r="E412">
        <f>发货清单!M412</f>
        <v>0</v>
      </c>
      <c r="F412">
        <f>发货清单!U412</f>
        <v>0</v>
      </c>
      <c r="G412" t="str">
        <f>IFERROR(VLOOKUP(发货清单!A412,数据库!A:B,2,0),"")</f>
        <v/>
      </c>
      <c r="H412">
        <f>发货清单!N412</f>
        <v>0</v>
      </c>
      <c r="I412" t="str">
        <f t="shared" si="54"/>
        <v/>
      </c>
      <c r="J412" t="str">
        <f t="shared" si="55"/>
        <v xml:space="preserve"> </v>
      </c>
      <c r="K412" t="str">
        <f t="shared" si="56"/>
        <v/>
      </c>
      <c r="L412" t="str">
        <f t="shared" si="57"/>
        <v/>
      </c>
      <c r="N412" s="245">
        <f t="shared" si="58"/>
        <v>0</v>
      </c>
      <c r="O412" s="245">
        <f t="shared" si="59"/>
        <v>0</v>
      </c>
      <c r="P412" t="str">
        <f t="shared" si="60"/>
        <v/>
      </c>
      <c r="Q412" t="str">
        <f>IFERROR(VLOOKUP(P412,数据库!C:M,11,0),"")</f>
        <v/>
      </c>
      <c r="R412" t="str">
        <f t="shared" si="61"/>
        <v/>
      </c>
      <c r="S412">
        <f t="shared" si="62"/>
        <v>0</v>
      </c>
    </row>
    <row r="413" spans="1:19">
      <c r="A413" t="str">
        <f>IF(B413=0,"",发货清单!A413*10^6+COUNTIF($D$2:D413,D413)*10^3+ROW(A412))</f>
        <v/>
      </c>
      <c r="B413">
        <f>IFERROR(LEFT(发货清单!H413,SEARCH("-",发货清单!H413)-1),发货清单!H413)</f>
        <v>0</v>
      </c>
      <c r="C413" t="str">
        <f>IFERROR(VLOOKUP(发货清单!A413,数据库!A:D,4,0),"")</f>
        <v/>
      </c>
      <c r="D413" t="str">
        <f>IFERROR(VLOOKUP(发货清单!A413,数据库!A:C,3,0),"")</f>
        <v/>
      </c>
      <c r="E413">
        <f>发货清单!M413</f>
        <v>0</v>
      </c>
      <c r="F413">
        <f>发货清单!U413</f>
        <v>0</v>
      </c>
      <c r="G413" t="str">
        <f>IFERROR(VLOOKUP(发货清单!A413,数据库!A:B,2,0),"")</f>
        <v/>
      </c>
      <c r="H413">
        <f>发货清单!N413</f>
        <v>0</v>
      </c>
      <c r="I413" t="str">
        <f t="shared" si="54"/>
        <v/>
      </c>
      <c r="J413" t="str">
        <f t="shared" si="55"/>
        <v xml:space="preserve"> </v>
      </c>
      <c r="K413" t="str">
        <f t="shared" si="56"/>
        <v/>
      </c>
      <c r="L413" t="str">
        <f t="shared" si="57"/>
        <v/>
      </c>
      <c r="N413" s="245">
        <f t="shared" si="58"/>
        <v>0</v>
      </c>
      <c r="O413" s="245">
        <f t="shared" si="59"/>
        <v>0</v>
      </c>
      <c r="P413" t="str">
        <f t="shared" si="60"/>
        <v/>
      </c>
      <c r="Q413" t="str">
        <f>IFERROR(VLOOKUP(P413,数据库!C:M,11,0),"")</f>
        <v/>
      </c>
      <c r="R413" t="str">
        <f t="shared" si="61"/>
        <v/>
      </c>
      <c r="S413">
        <f t="shared" si="62"/>
        <v>0</v>
      </c>
    </row>
    <row r="414" spans="1:19">
      <c r="A414" t="str">
        <f>IF(B414=0,"",发货清单!A414*10^6+COUNTIF($D$2:D414,D414)*10^3+ROW(A413))</f>
        <v/>
      </c>
      <c r="B414">
        <f>IFERROR(LEFT(发货清单!H414,SEARCH("-",发货清单!H414)-1),发货清单!H414)</f>
        <v>0</v>
      </c>
      <c r="C414" t="str">
        <f>IFERROR(VLOOKUP(发货清单!A414,数据库!A:D,4,0),"")</f>
        <v/>
      </c>
      <c r="D414" t="str">
        <f>IFERROR(VLOOKUP(发货清单!A414,数据库!A:C,3,0),"")</f>
        <v/>
      </c>
      <c r="E414">
        <f>发货清单!M414</f>
        <v>0</v>
      </c>
      <c r="F414">
        <f>发货清单!U414</f>
        <v>0</v>
      </c>
      <c r="G414" t="str">
        <f>IFERROR(VLOOKUP(发货清单!A414,数据库!A:B,2,0),"")</f>
        <v/>
      </c>
      <c r="H414">
        <f>发货清单!N414</f>
        <v>0</v>
      </c>
      <c r="I414" t="str">
        <f t="shared" si="54"/>
        <v/>
      </c>
      <c r="J414" t="str">
        <f t="shared" si="55"/>
        <v xml:space="preserve"> </v>
      </c>
      <c r="K414" t="str">
        <f t="shared" si="56"/>
        <v/>
      </c>
      <c r="L414" t="str">
        <f t="shared" si="57"/>
        <v/>
      </c>
      <c r="N414" s="245">
        <f t="shared" si="58"/>
        <v>0</v>
      </c>
      <c r="O414" s="245">
        <f t="shared" si="59"/>
        <v>0</v>
      </c>
      <c r="P414" t="str">
        <f t="shared" si="60"/>
        <v/>
      </c>
      <c r="Q414" t="str">
        <f>IFERROR(VLOOKUP(P414,数据库!C:M,11,0),"")</f>
        <v/>
      </c>
      <c r="R414" t="str">
        <f t="shared" si="61"/>
        <v/>
      </c>
      <c r="S414">
        <f t="shared" si="62"/>
        <v>0</v>
      </c>
    </row>
    <row r="415" spans="1:19">
      <c r="A415" t="str">
        <f>IF(B415=0,"",发货清单!A415*10^6+COUNTIF($D$2:D415,D415)*10^3+ROW(A414))</f>
        <v/>
      </c>
      <c r="B415">
        <f>IFERROR(LEFT(发货清单!H415,SEARCH("-",发货清单!H415)-1),发货清单!H415)</f>
        <v>0</v>
      </c>
      <c r="C415" t="str">
        <f>IFERROR(VLOOKUP(发货清单!A415,数据库!A:D,4,0),"")</f>
        <v/>
      </c>
      <c r="D415" t="str">
        <f>IFERROR(VLOOKUP(发货清单!A415,数据库!A:C,3,0),"")</f>
        <v/>
      </c>
      <c r="E415">
        <f>发货清单!M415</f>
        <v>0</v>
      </c>
      <c r="F415">
        <f>发货清单!U415</f>
        <v>0</v>
      </c>
      <c r="G415" t="str">
        <f>IFERROR(VLOOKUP(发货清单!A415,数据库!A:B,2,0),"")</f>
        <v/>
      </c>
      <c r="H415">
        <f>发货清单!N415</f>
        <v>0</v>
      </c>
      <c r="I415" t="str">
        <f t="shared" si="54"/>
        <v/>
      </c>
      <c r="J415" t="str">
        <f t="shared" si="55"/>
        <v xml:space="preserve"> </v>
      </c>
      <c r="K415" t="str">
        <f t="shared" si="56"/>
        <v/>
      </c>
      <c r="L415" t="str">
        <f t="shared" si="57"/>
        <v/>
      </c>
      <c r="N415" s="245">
        <f t="shared" si="58"/>
        <v>0</v>
      </c>
      <c r="O415" s="245">
        <f t="shared" si="59"/>
        <v>0</v>
      </c>
      <c r="P415" t="str">
        <f t="shared" si="60"/>
        <v/>
      </c>
      <c r="Q415" t="str">
        <f>IFERROR(VLOOKUP(P415,数据库!C:M,11,0),"")</f>
        <v/>
      </c>
      <c r="R415" t="str">
        <f t="shared" si="61"/>
        <v/>
      </c>
      <c r="S415">
        <f t="shared" si="62"/>
        <v>0</v>
      </c>
    </row>
    <row r="416" spans="1:19">
      <c r="A416" t="str">
        <f>IF(B416=0,"",发货清单!A416*10^6+COUNTIF($D$2:D416,D416)*10^3+ROW(A415))</f>
        <v/>
      </c>
      <c r="B416">
        <f>IFERROR(LEFT(发货清单!H416,SEARCH("-",发货清单!H416)-1),发货清单!H416)</f>
        <v>0</v>
      </c>
      <c r="C416" t="str">
        <f>IFERROR(VLOOKUP(发货清单!A416,数据库!A:D,4,0),"")</f>
        <v/>
      </c>
      <c r="D416" t="str">
        <f>IFERROR(VLOOKUP(发货清单!A416,数据库!A:C,3,0),"")</f>
        <v/>
      </c>
      <c r="E416">
        <f>发货清单!M416</f>
        <v>0</v>
      </c>
      <c r="F416">
        <f>发货清单!U416</f>
        <v>0</v>
      </c>
      <c r="G416" t="str">
        <f>IFERROR(VLOOKUP(发货清单!A416,数据库!A:B,2,0),"")</f>
        <v/>
      </c>
      <c r="H416">
        <f>发货清单!N416</f>
        <v>0</v>
      </c>
      <c r="I416" t="str">
        <f t="shared" si="54"/>
        <v/>
      </c>
      <c r="J416" t="str">
        <f t="shared" si="55"/>
        <v xml:space="preserve"> </v>
      </c>
      <c r="K416" t="str">
        <f t="shared" si="56"/>
        <v/>
      </c>
      <c r="L416" t="str">
        <f t="shared" si="57"/>
        <v/>
      </c>
      <c r="N416" s="245">
        <f t="shared" si="58"/>
        <v>0</v>
      </c>
      <c r="O416" s="245">
        <f t="shared" si="59"/>
        <v>0</v>
      </c>
      <c r="P416" t="str">
        <f t="shared" si="60"/>
        <v/>
      </c>
      <c r="Q416" t="str">
        <f>IFERROR(VLOOKUP(P416,数据库!C:M,11,0),"")</f>
        <v/>
      </c>
      <c r="R416" t="str">
        <f t="shared" si="61"/>
        <v/>
      </c>
      <c r="S416">
        <f t="shared" si="62"/>
        <v>0</v>
      </c>
    </row>
    <row r="417" spans="1:19">
      <c r="A417" t="str">
        <f>IF(B417=0,"",发货清单!A417*10^6+COUNTIF($D$2:D417,D417)*10^3+ROW(A416))</f>
        <v/>
      </c>
      <c r="B417">
        <f>IFERROR(LEFT(发货清单!H417,SEARCH("-",发货清单!H417)-1),发货清单!H417)</f>
        <v>0</v>
      </c>
      <c r="C417" t="str">
        <f>IFERROR(VLOOKUP(发货清单!A417,数据库!A:D,4,0),"")</f>
        <v/>
      </c>
      <c r="D417" t="str">
        <f>IFERROR(VLOOKUP(发货清单!A417,数据库!A:C,3,0),"")</f>
        <v/>
      </c>
      <c r="E417">
        <f>发货清单!M417</f>
        <v>0</v>
      </c>
      <c r="F417">
        <f>发货清单!U417</f>
        <v>0</v>
      </c>
      <c r="G417" t="str">
        <f>IFERROR(VLOOKUP(发货清单!A417,数据库!A:B,2,0),"")</f>
        <v/>
      </c>
      <c r="H417">
        <f>发货清单!N417</f>
        <v>0</v>
      </c>
      <c r="I417" t="str">
        <f t="shared" si="54"/>
        <v/>
      </c>
      <c r="J417" t="str">
        <f t="shared" si="55"/>
        <v xml:space="preserve"> </v>
      </c>
      <c r="K417" t="str">
        <f t="shared" si="56"/>
        <v/>
      </c>
      <c r="L417" t="str">
        <f t="shared" si="57"/>
        <v/>
      </c>
      <c r="N417" s="245">
        <f t="shared" si="58"/>
        <v>0</v>
      </c>
      <c r="O417" s="245">
        <f t="shared" si="59"/>
        <v>0</v>
      </c>
      <c r="P417" t="str">
        <f t="shared" si="60"/>
        <v/>
      </c>
      <c r="Q417" t="str">
        <f>IFERROR(VLOOKUP(P417,数据库!C:M,11,0),"")</f>
        <v/>
      </c>
      <c r="R417" t="str">
        <f t="shared" si="61"/>
        <v/>
      </c>
      <c r="S417">
        <f t="shared" si="62"/>
        <v>0</v>
      </c>
    </row>
    <row r="418" spans="1:19">
      <c r="A418" t="str">
        <f>IF(B418=0,"",发货清单!A418*10^6+COUNTIF($D$2:D418,D418)*10^3+ROW(A417))</f>
        <v/>
      </c>
      <c r="B418">
        <f>IFERROR(LEFT(发货清单!H418,SEARCH("-",发货清单!H418)-1),发货清单!H418)</f>
        <v>0</v>
      </c>
      <c r="C418" t="str">
        <f>IFERROR(VLOOKUP(发货清单!A418,数据库!A:D,4,0),"")</f>
        <v/>
      </c>
      <c r="D418" t="str">
        <f>IFERROR(VLOOKUP(发货清单!A418,数据库!A:C,3,0),"")</f>
        <v/>
      </c>
      <c r="E418">
        <f>发货清单!M418</f>
        <v>0</v>
      </c>
      <c r="F418">
        <f>发货清单!U418</f>
        <v>0</v>
      </c>
      <c r="G418" t="str">
        <f>IFERROR(VLOOKUP(发货清单!A418,数据库!A:B,2,0),"")</f>
        <v/>
      </c>
      <c r="H418">
        <f>发货清单!N418</f>
        <v>0</v>
      </c>
      <c r="I418" t="str">
        <f t="shared" si="54"/>
        <v/>
      </c>
      <c r="J418" t="str">
        <f t="shared" si="55"/>
        <v xml:space="preserve"> </v>
      </c>
      <c r="K418" t="str">
        <f t="shared" si="56"/>
        <v/>
      </c>
      <c r="L418" t="str">
        <f t="shared" si="57"/>
        <v/>
      </c>
      <c r="N418" s="245">
        <f t="shared" si="58"/>
        <v>0</v>
      </c>
      <c r="O418" s="245">
        <f t="shared" si="59"/>
        <v>0</v>
      </c>
      <c r="P418" t="str">
        <f t="shared" si="60"/>
        <v/>
      </c>
      <c r="Q418" t="str">
        <f>IFERROR(VLOOKUP(P418,数据库!C:M,11,0),"")</f>
        <v/>
      </c>
      <c r="R418" t="str">
        <f t="shared" si="61"/>
        <v/>
      </c>
      <c r="S418">
        <f t="shared" si="62"/>
        <v>0</v>
      </c>
    </row>
    <row r="419" spans="1:19">
      <c r="A419" t="str">
        <f>IF(B419=0,"",发货清单!A419*10^6+COUNTIF($D$2:D419,D419)*10^3+ROW(A418))</f>
        <v/>
      </c>
      <c r="B419">
        <f>IFERROR(LEFT(发货清单!H419,SEARCH("-",发货清单!H419)-1),发货清单!H419)</f>
        <v>0</v>
      </c>
      <c r="C419" t="str">
        <f>IFERROR(VLOOKUP(发货清单!A419,数据库!A:D,4,0),"")</f>
        <v/>
      </c>
      <c r="D419" t="str">
        <f>IFERROR(VLOOKUP(发货清单!A419,数据库!A:C,3,0),"")</f>
        <v/>
      </c>
      <c r="E419">
        <f>发货清单!M419</f>
        <v>0</v>
      </c>
      <c r="F419">
        <f>发货清单!U419</f>
        <v>0</v>
      </c>
      <c r="G419" t="str">
        <f>IFERROR(VLOOKUP(发货清单!A419,数据库!A:B,2,0),"")</f>
        <v/>
      </c>
      <c r="H419">
        <f>发货清单!N419</f>
        <v>0</v>
      </c>
      <c r="I419" t="str">
        <f t="shared" si="54"/>
        <v/>
      </c>
      <c r="J419" t="str">
        <f t="shared" si="55"/>
        <v xml:space="preserve"> </v>
      </c>
      <c r="K419" t="str">
        <f t="shared" si="56"/>
        <v/>
      </c>
      <c r="L419" t="str">
        <f t="shared" si="57"/>
        <v/>
      </c>
      <c r="N419" s="245">
        <f t="shared" si="58"/>
        <v>0</v>
      </c>
      <c r="O419" s="245">
        <f t="shared" si="59"/>
        <v>0</v>
      </c>
      <c r="P419" t="str">
        <f t="shared" si="60"/>
        <v/>
      </c>
      <c r="Q419" t="str">
        <f>IFERROR(VLOOKUP(P419,数据库!C:M,11,0),"")</f>
        <v/>
      </c>
      <c r="R419" t="str">
        <f t="shared" si="61"/>
        <v/>
      </c>
      <c r="S419">
        <f t="shared" si="62"/>
        <v>0</v>
      </c>
    </row>
    <row r="420" spans="1:19">
      <c r="A420" t="str">
        <f>IF(B420=0,"",发货清单!A420*10^6+COUNTIF($D$2:D420,D420)*10^3+ROW(A419))</f>
        <v/>
      </c>
      <c r="B420">
        <f>IFERROR(LEFT(发货清单!H420,SEARCH("-",发货清单!H420)-1),发货清单!H420)</f>
        <v>0</v>
      </c>
      <c r="C420" t="str">
        <f>IFERROR(VLOOKUP(发货清单!A420,数据库!A:D,4,0),"")</f>
        <v/>
      </c>
      <c r="D420" t="str">
        <f>IFERROR(VLOOKUP(发货清单!A420,数据库!A:C,3,0),"")</f>
        <v/>
      </c>
      <c r="E420">
        <f>发货清单!M420</f>
        <v>0</v>
      </c>
      <c r="F420">
        <f>发货清单!U420</f>
        <v>0</v>
      </c>
      <c r="G420" t="str">
        <f>IFERROR(VLOOKUP(发货清单!A420,数据库!A:B,2,0),"")</f>
        <v/>
      </c>
      <c r="H420">
        <f>发货清单!N420</f>
        <v>0</v>
      </c>
      <c r="I420" t="str">
        <f t="shared" si="54"/>
        <v/>
      </c>
      <c r="J420" t="str">
        <f t="shared" si="55"/>
        <v xml:space="preserve"> </v>
      </c>
      <c r="K420" t="str">
        <f t="shared" si="56"/>
        <v/>
      </c>
      <c r="L420" t="str">
        <f t="shared" si="57"/>
        <v/>
      </c>
      <c r="N420" s="245">
        <f t="shared" si="58"/>
        <v>0</v>
      </c>
      <c r="O420" s="245">
        <f t="shared" si="59"/>
        <v>0</v>
      </c>
      <c r="P420" t="str">
        <f t="shared" si="60"/>
        <v/>
      </c>
      <c r="Q420" t="str">
        <f>IFERROR(VLOOKUP(P420,数据库!C:M,11,0),"")</f>
        <v/>
      </c>
      <c r="R420" t="str">
        <f t="shared" si="61"/>
        <v/>
      </c>
      <c r="S420">
        <f t="shared" si="62"/>
        <v>0</v>
      </c>
    </row>
    <row r="421" spans="1:19">
      <c r="A421" t="str">
        <f>IF(B421=0,"",发货清单!A421*10^6+COUNTIF($D$2:D421,D421)*10^3+ROW(A420))</f>
        <v/>
      </c>
      <c r="B421">
        <f>IFERROR(LEFT(发货清单!H421,SEARCH("-",发货清单!H421)-1),发货清单!H421)</f>
        <v>0</v>
      </c>
      <c r="C421" t="str">
        <f>IFERROR(VLOOKUP(发货清单!A421,数据库!A:D,4,0),"")</f>
        <v/>
      </c>
      <c r="D421" t="str">
        <f>IFERROR(VLOOKUP(发货清单!A421,数据库!A:C,3,0),"")</f>
        <v/>
      </c>
      <c r="E421">
        <f>发货清单!M421</f>
        <v>0</v>
      </c>
      <c r="F421">
        <f>发货清单!U421</f>
        <v>0</v>
      </c>
      <c r="G421" t="str">
        <f>IFERROR(VLOOKUP(发货清单!A421,数据库!A:B,2,0),"")</f>
        <v/>
      </c>
      <c r="H421">
        <f>发货清单!N421</f>
        <v>0</v>
      </c>
      <c r="I421" t="str">
        <f t="shared" si="54"/>
        <v/>
      </c>
      <c r="J421" t="str">
        <f t="shared" si="55"/>
        <v xml:space="preserve"> </v>
      </c>
      <c r="K421" t="str">
        <f t="shared" si="56"/>
        <v/>
      </c>
      <c r="L421" t="str">
        <f t="shared" si="57"/>
        <v/>
      </c>
      <c r="N421" s="245">
        <f t="shared" si="58"/>
        <v>0</v>
      </c>
      <c r="O421" s="245">
        <f t="shared" si="59"/>
        <v>0</v>
      </c>
      <c r="P421" t="str">
        <f t="shared" si="60"/>
        <v/>
      </c>
      <c r="Q421" t="str">
        <f>IFERROR(VLOOKUP(P421,数据库!C:M,11,0),"")</f>
        <v/>
      </c>
      <c r="R421" t="str">
        <f t="shared" si="61"/>
        <v/>
      </c>
      <c r="S421">
        <f t="shared" si="62"/>
        <v>0</v>
      </c>
    </row>
    <row r="422" spans="1:19">
      <c r="A422" t="str">
        <f>IF(B422=0,"",发货清单!A422*10^6+COUNTIF($D$2:D422,D422)*10^3+ROW(A421))</f>
        <v/>
      </c>
      <c r="B422">
        <f>IFERROR(LEFT(发货清单!H422,SEARCH("-",发货清单!H422)-1),发货清单!H422)</f>
        <v>0</v>
      </c>
      <c r="C422" t="str">
        <f>IFERROR(VLOOKUP(发货清单!A422,数据库!A:D,4,0),"")</f>
        <v/>
      </c>
      <c r="D422" t="str">
        <f>IFERROR(VLOOKUP(发货清单!A422,数据库!A:C,3,0),"")</f>
        <v/>
      </c>
      <c r="E422">
        <f>发货清单!M422</f>
        <v>0</v>
      </c>
      <c r="F422">
        <f>发货清单!U422</f>
        <v>0</v>
      </c>
      <c r="G422" t="str">
        <f>IFERROR(VLOOKUP(发货清单!A422,数据库!A:B,2,0),"")</f>
        <v/>
      </c>
      <c r="H422">
        <f>发货清单!N422</f>
        <v>0</v>
      </c>
      <c r="I422" t="str">
        <f t="shared" si="54"/>
        <v/>
      </c>
      <c r="J422" t="str">
        <f t="shared" si="55"/>
        <v xml:space="preserve"> </v>
      </c>
      <c r="K422" t="str">
        <f t="shared" si="56"/>
        <v/>
      </c>
      <c r="L422" t="str">
        <f t="shared" si="57"/>
        <v/>
      </c>
      <c r="N422" s="245">
        <f t="shared" si="58"/>
        <v>0</v>
      </c>
      <c r="O422" s="245">
        <f t="shared" si="59"/>
        <v>0</v>
      </c>
      <c r="P422" t="str">
        <f t="shared" si="60"/>
        <v/>
      </c>
      <c r="Q422" t="str">
        <f>IFERROR(VLOOKUP(P422,数据库!C:M,11,0),"")</f>
        <v/>
      </c>
      <c r="R422" t="str">
        <f t="shared" si="61"/>
        <v/>
      </c>
      <c r="S422">
        <f t="shared" si="62"/>
        <v>0</v>
      </c>
    </row>
    <row r="423" spans="1:19">
      <c r="A423" t="str">
        <f>IF(B423=0,"",发货清单!A423*10^6+COUNTIF($D$2:D423,D423)*10^3+ROW(A422))</f>
        <v/>
      </c>
      <c r="B423">
        <f>IFERROR(LEFT(发货清单!H423,SEARCH("-",发货清单!H423)-1),发货清单!H423)</f>
        <v>0</v>
      </c>
      <c r="C423" t="str">
        <f>IFERROR(VLOOKUP(发货清单!A423,数据库!A:D,4,0),"")</f>
        <v/>
      </c>
      <c r="D423" t="str">
        <f>IFERROR(VLOOKUP(发货清单!A423,数据库!A:C,3,0),"")</f>
        <v/>
      </c>
      <c r="E423">
        <f>发货清单!M423</f>
        <v>0</v>
      </c>
      <c r="F423">
        <f>发货清单!U423</f>
        <v>0</v>
      </c>
      <c r="G423" t="str">
        <f>IFERROR(VLOOKUP(发货清单!A423,数据库!A:B,2,0),"")</f>
        <v/>
      </c>
      <c r="H423">
        <f>发货清单!N423</f>
        <v>0</v>
      </c>
      <c r="I423" t="str">
        <f t="shared" si="54"/>
        <v/>
      </c>
      <c r="J423" t="str">
        <f t="shared" si="55"/>
        <v xml:space="preserve"> </v>
      </c>
      <c r="K423" t="str">
        <f t="shared" si="56"/>
        <v/>
      </c>
      <c r="L423" t="str">
        <f t="shared" si="57"/>
        <v/>
      </c>
      <c r="N423" s="245">
        <f t="shared" si="58"/>
        <v>0</v>
      </c>
      <c r="O423" s="245">
        <f t="shared" si="59"/>
        <v>0</v>
      </c>
      <c r="P423" t="str">
        <f t="shared" si="60"/>
        <v/>
      </c>
      <c r="Q423" t="str">
        <f>IFERROR(VLOOKUP(P423,数据库!C:M,11,0),"")</f>
        <v/>
      </c>
      <c r="R423" t="str">
        <f t="shared" si="61"/>
        <v/>
      </c>
      <c r="S423">
        <f t="shared" si="62"/>
        <v>0</v>
      </c>
    </row>
    <row r="424" spans="1:19">
      <c r="A424" t="str">
        <f>IF(B424=0,"",发货清单!A424*10^6+COUNTIF($D$2:D424,D424)*10^3+ROW(A423))</f>
        <v/>
      </c>
      <c r="B424">
        <f>IFERROR(LEFT(发货清单!H424,SEARCH("-",发货清单!H424)-1),发货清单!H424)</f>
        <v>0</v>
      </c>
      <c r="C424" t="str">
        <f>IFERROR(VLOOKUP(发货清单!A424,数据库!A:D,4,0),"")</f>
        <v/>
      </c>
      <c r="D424" t="str">
        <f>IFERROR(VLOOKUP(发货清单!A424,数据库!A:C,3,0),"")</f>
        <v/>
      </c>
      <c r="E424">
        <f>发货清单!M424</f>
        <v>0</v>
      </c>
      <c r="F424">
        <f>发货清单!U424</f>
        <v>0</v>
      </c>
      <c r="G424" t="str">
        <f>IFERROR(VLOOKUP(发货清单!A424,数据库!A:B,2,0),"")</f>
        <v/>
      </c>
      <c r="H424">
        <f>发货清单!N424</f>
        <v>0</v>
      </c>
      <c r="I424" t="str">
        <f t="shared" si="54"/>
        <v/>
      </c>
      <c r="J424" t="str">
        <f t="shared" si="55"/>
        <v xml:space="preserve"> </v>
      </c>
      <c r="K424" t="str">
        <f t="shared" si="56"/>
        <v/>
      </c>
      <c r="L424" t="str">
        <f t="shared" si="57"/>
        <v/>
      </c>
      <c r="N424" s="245">
        <f t="shared" si="58"/>
        <v>0</v>
      </c>
      <c r="O424" s="245">
        <f t="shared" si="59"/>
        <v>0</v>
      </c>
      <c r="P424" t="str">
        <f t="shared" si="60"/>
        <v/>
      </c>
      <c r="Q424" t="str">
        <f>IFERROR(VLOOKUP(P424,数据库!C:M,11,0),"")</f>
        <v/>
      </c>
      <c r="R424" t="str">
        <f t="shared" si="61"/>
        <v/>
      </c>
      <c r="S424">
        <f t="shared" si="62"/>
        <v>0</v>
      </c>
    </row>
    <row r="425" spans="1:19">
      <c r="A425" t="str">
        <f>IF(B425=0,"",发货清单!A425*10^6+COUNTIF($D$2:D425,D425)*10^3+ROW(A424))</f>
        <v/>
      </c>
      <c r="B425">
        <f>IFERROR(LEFT(发货清单!H425,SEARCH("-",发货清单!H425)-1),发货清单!H425)</f>
        <v>0</v>
      </c>
      <c r="C425" t="str">
        <f>IFERROR(VLOOKUP(发货清单!A425,数据库!A:D,4,0),"")</f>
        <v/>
      </c>
      <c r="D425" t="str">
        <f>IFERROR(VLOOKUP(发货清单!A425,数据库!A:C,3,0),"")</f>
        <v/>
      </c>
      <c r="E425">
        <f>发货清单!M425</f>
        <v>0</v>
      </c>
      <c r="F425">
        <f>发货清单!U425</f>
        <v>0</v>
      </c>
      <c r="G425" t="str">
        <f>IFERROR(VLOOKUP(发货清单!A425,数据库!A:B,2,0),"")</f>
        <v/>
      </c>
      <c r="H425">
        <f>发货清单!N425</f>
        <v>0</v>
      </c>
      <c r="I425" t="str">
        <f t="shared" si="54"/>
        <v/>
      </c>
      <c r="J425" t="str">
        <f t="shared" si="55"/>
        <v xml:space="preserve"> </v>
      </c>
      <c r="K425" t="str">
        <f t="shared" si="56"/>
        <v/>
      </c>
      <c r="L425" t="str">
        <f t="shared" si="57"/>
        <v/>
      </c>
      <c r="N425" s="245">
        <f t="shared" si="58"/>
        <v>0</v>
      </c>
      <c r="O425" s="245">
        <f t="shared" si="59"/>
        <v>0</v>
      </c>
      <c r="P425" t="str">
        <f t="shared" si="60"/>
        <v/>
      </c>
      <c r="Q425" t="str">
        <f>IFERROR(VLOOKUP(P425,数据库!C:M,11,0),"")</f>
        <v/>
      </c>
      <c r="R425" t="str">
        <f t="shared" si="61"/>
        <v/>
      </c>
      <c r="S425">
        <f t="shared" si="62"/>
        <v>0</v>
      </c>
    </row>
    <row r="426" spans="1:19">
      <c r="A426" t="str">
        <f>IF(B426=0,"",发货清单!A426*10^6+COUNTIF($D$2:D426,D426)*10^3+ROW(A425))</f>
        <v/>
      </c>
      <c r="B426">
        <f>IFERROR(LEFT(发货清单!H426,SEARCH("-",发货清单!H426)-1),发货清单!H426)</f>
        <v>0</v>
      </c>
      <c r="C426" t="str">
        <f>IFERROR(VLOOKUP(发货清单!A426,数据库!A:D,4,0),"")</f>
        <v/>
      </c>
      <c r="D426" t="str">
        <f>IFERROR(VLOOKUP(发货清单!A426,数据库!A:C,3,0),"")</f>
        <v/>
      </c>
      <c r="E426">
        <f>发货清单!M426</f>
        <v>0</v>
      </c>
      <c r="F426">
        <f>发货清单!U426</f>
        <v>0</v>
      </c>
      <c r="G426" t="str">
        <f>IFERROR(VLOOKUP(发货清单!A426,数据库!A:B,2,0),"")</f>
        <v/>
      </c>
      <c r="H426">
        <f>发货清单!N426</f>
        <v>0</v>
      </c>
      <c r="I426" t="str">
        <f t="shared" si="54"/>
        <v/>
      </c>
      <c r="J426" t="str">
        <f t="shared" si="55"/>
        <v xml:space="preserve"> </v>
      </c>
      <c r="K426" t="str">
        <f t="shared" si="56"/>
        <v/>
      </c>
      <c r="L426" t="str">
        <f t="shared" si="57"/>
        <v/>
      </c>
      <c r="N426" s="245">
        <f t="shared" si="58"/>
        <v>0</v>
      </c>
      <c r="O426" s="245">
        <f t="shared" si="59"/>
        <v>0</v>
      </c>
      <c r="P426" t="str">
        <f t="shared" si="60"/>
        <v/>
      </c>
      <c r="Q426" t="str">
        <f>IFERROR(VLOOKUP(P426,数据库!C:M,11,0),"")</f>
        <v/>
      </c>
      <c r="R426" t="str">
        <f t="shared" si="61"/>
        <v/>
      </c>
      <c r="S426">
        <f t="shared" si="62"/>
        <v>0</v>
      </c>
    </row>
    <row r="427" spans="1:19">
      <c r="A427" t="str">
        <f>IF(B427=0,"",发货清单!A427*10^6+COUNTIF($D$2:D427,D427)*10^3+ROW(A426))</f>
        <v/>
      </c>
      <c r="B427">
        <f>IFERROR(LEFT(发货清单!H427,SEARCH("-",发货清单!H427)-1),发货清单!H427)</f>
        <v>0</v>
      </c>
      <c r="C427" t="str">
        <f>IFERROR(VLOOKUP(发货清单!A427,数据库!A:D,4,0),"")</f>
        <v/>
      </c>
      <c r="D427" t="str">
        <f>IFERROR(VLOOKUP(发货清单!A427,数据库!A:C,3,0),"")</f>
        <v/>
      </c>
      <c r="E427">
        <f>发货清单!M427</f>
        <v>0</v>
      </c>
      <c r="F427">
        <f>发货清单!U427</f>
        <v>0</v>
      </c>
      <c r="G427" t="str">
        <f>IFERROR(VLOOKUP(发货清单!A427,数据库!A:B,2,0),"")</f>
        <v/>
      </c>
      <c r="H427">
        <f>发货清单!N427</f>
        <v>0</v>
      </c>
      <c r="I427" t="str">
        <f t="shared" si="54"/>
        <v/>
      </c>
      <c r="J427" t="str">
        <f t="shared" si="55"/>
        <v xml:space="preserve"> </v>
      </c>
      <c r="K427" t="str">
        <f t="shared" si="56"/>
        <v/>
      </c>
      <c r="L427" t="str">
        <f t="shared" si="57"/>
        <v/>
      </c>
      <c r="N427" s="245">
        <f t="shared" si="58"/>
        <v>0</v>
      </c>
      <c r="O427" s="245">
        <f t="shared" si="59"/>
        <v>0</v>
      </c>
      <c r="P427" t="str">
        <f t="shared" si="60"/>
        <v/>
      </c>
      <c r="Q427" t="str">
        <f>IFERROR(VLOOKUP(P427,数据库!C:M,11,0),"")</f>
        <v/>
      </c>
      <c r="R427" t="str">
        <f t="shared" si="61"/>
        <v/>
      </c>
      <c r="S427">
        <f t="shared" si="62"/>
        <v>0</v>
      </c>
    </row>
    <row r="428" spans="1:19">
      <c r="A428" t="str">
        <f>IF(B428=0,"",发货清单!A428*10^6+COUNTIF($D$2:D428,D428)*10^3+ROW(A427))</f>
        <v/>
      </c>
      <c r="B428">
        <f>IFERROR(LEFT(发货清单!H428,SEARCH("-",发货清单!H428)-1),发货清单!H428)</f>
        <v>0</v>
      </c>
      <c r="C428" t="str">
        <f>IFERROR(VLOOKUP(发货清单!A428,数据库!A:D,4,0),"")</f>
        <v/>
      </c>
      <c r="D428" t="str">
        <f>IFERROR(VLOOKUP(发货清单!A428,数据库!A:C,3,0),"")</f>
        <v/>
      </c>
      <c r="E428">
        <f>发货清单!M428</f>
        <v>0</v>
      </c>
      <c r="F428">
        <f>发货清单!U428</f>
        <v>0</v>
      </c>
      <c r="G428" t="str">
        <f>IFERROR(VLOOKUP(发货清单!A428,数据库!A:B,2,0),"")</f>
        <v/>
      </c>
      <c r="H428">
        <f>发货清单!N428</f>
        <v>0</v>
      </c>
      <c r="I428" t="str">
        <f t="shared" si="54"/>
        <v/>
      </c>
      <c r="J428" t="str">
        <f t="shared" si="55"/>
        <v xml:space="preserve"> </v>
      </c>
      <c r="K428" t="str">
        <f t="shared" si="56"/>
        <v/>
      </c>
      <c r="L428" t="str">
        <f t="shared" si="57"/>
        <v/>
      </c>
      <c r="N428" s="245">
        <f t="shared" si="58"/>
        <v>0</v>
      </c>
      <c r="O428" s="245">
        <f t="shared" si="59"/>
        <v>0</v>
      </c>
      <c r="P428" t="str">
        <f t="shared" si="60"/>
        <v/>
      </c>
      <c r="Q428" t="str">
        <f>IFERROR(VLOOKUP(P428,数据库!C:M,11,0),"")</f>
        <v/>
      </c>
      <c r="R428" t="str">
        <f t="shared" si="61"/>
        <v/>
      </c>
      <c r="S428">
        <f t="shared" si="62"/>
        <v>0</v>
      </c>
    </row>
    <row r="429" spans="1:19">
      <c r="A429" t="str">
        <f>IF(B429=0,"",发货清单!A429*10^6+COUNTIF($D$2:D429,D429)*10^3+ROW(A428))</f>
        <v/>
      </c>
      <c r="B429">
        <f>IFERROR(LEFT(发货清单!H429,SEARCH("-",发货清单!H429)-1),发货清单!H429)</f>
        <v>0</v>
      </c>
      <c r="C429" t="str">
        <f>IFERROR(VLOOKUP(发货清单!A429,数据库!A:D,4,0),"")</f>
        <v/>
      </c>
      <c r="D429" t="str">
        <f>IFERROR(VLOOKUP(发货清单!A429,数据库!A:C,3,0),"")</f>
        <v/>
      </c>
      <c r="E429">
        <f>发货清单!M429</f>
        <v>0</v>
      </c>
      <c r="F429">
        <f>发货清单!U429</f>
        <v>0</v>
      </c>
      <c r="G429" t="str">
        <f>IFERROR(VLOOKUP(发货清单!A429,数据库!A:B,2,0),"")</f>
        <v/>
      </c>
      <c r="H429">
        <f>发货清单!N429</f>
        <v>0</v>
      </c>
      <c r="I429" t="str">
        <f t="shared" si="54"/>
        <v/>
      </c>
      <c r="J429" t="str">
        <f t="shared" si="55"/>
        <v xml:space="preserve"> </v>
      </c>
      <c r="K429" t="str">
        <f t="shared" si="56"/>
        <v/>
      </c>
      <c r="L429" t="str">
        <f t="shared" si="57"/>
        <v/>
      </c>
      <c r="N429" s="245">
        <f t="shared" si="58"/>
        <v>0</v>
      </c>
      <c r="O429" s="245">
        <f t="shared" si="59"/>
        <v>0</v>
      </c>
      <c r="P429" t="str">
        <f t="shared" si="60"/>
        <v/>
      </c>
      <c r="Q429" t="str">
        <f>IFERROR(VLOOKUP(P429,数据库!C:M,11,0),"")</f>
        <v/>
      </c>
      <c r="R429" t="str">
        <f t="shared" si="61"/>
        <v/>
      </c>
      <c r="S429">
        <f t="shared" si="62"/>
        <v>0</v>
      </c>
    </row>
    <row r="430" spans="1:19">
      <c r="A430" t="str">
        <f>IF(B430=0,"",发货清单!A430*10^6+COUNTIF($D$2:D430,D430)*10^3+ROW(A429))</f>
        <v/>
      </c>
      <c r="B430">
        <f>IFERROR(LEFT(发货清单!H430,SEARCH("-",发货清单!H430)-1),发货清单!H430)</f>
        <v>0</v>
      </c>
      <c r="C430" t="str">
        <f>IFERROR(VLOOKUP(发货清单!A430,数据库!A:D,4,0),"")</f>
        <v/>
      </c>
      <c r="D430" t="str">
        <f>IFERROR(VLOOKUP(发货清单!A430,数据库!A:C,3,0),"")</f>
        <v/>
      </c>
      <c r="E430">
        <f>发货清单!M430</f>
        <v>0</v>
      </c>
      <c r="F430">
        <f>发货清单!U430</f>
        <v>0</v>
      </c>
      <c r="G430" t="str">
        <f>IFERROR(VLOOKUP(发货清单!A430,数据库!A:B,2,0),"")</f>
        <v/>
      </c>
      <c r="H430">
        <f>发货清单!N430</f>
        <v>0</v>
      </c>
      <c r="I430" t="str">
        <f t="shared" si="54"/>
        <v/>
      </c>
      <c r="J430" t="str">
        <f t="shared" si="55"/>
        <v xml:space="preserve"> </v>
      </c>
      <c r="K430" t="str">
        <f t="shared" si="56"/>
        <v/>
      </c>
      <c r="L430" t="str">
        <f t="shared" si="57"/>
        <v/>
      </c>
      <c r="N430" s="245">
        <f t="shared" si="58"/>
        <v>0</v>
      </c>
      <c r="O430" s="245">
        <f t="shared" si="59"/>
        <v>0</v>
      </c>
      <c r="P430" t="str">
        <f t="shared" si="60"/>
        <v/>
      </c>
      <c r="Q430" t="str">
        <f>IFERROR(VLOOKUP(P430,数据库!C:M,11,0),"")</f>
        <v/>
      </c>
      <c r="R430" t="str">
        <f t="shared" si="61"/>
        <v/>
      </c>
      <c r="S430">
        <f t="shared" si="62"/>
        <v>0</v>
      </c>
    </row>
    <row r="431" spans="1:19">
      <c r="A431" t="str">
        <f>IF(B431=0,"",发货清单!A431*10^6+COUNTIF($D$2:D431,D431)*10^3+ROW(A430))</f>
        <v/>
      </c>
      <c r="B431">
        <f>IFERROR(LEFT(发货清单!H431,SEARCH("-",发货清单!H431)-1),发货清单!H431)</f>
        <v>0</v>
      </c>
      <c r="C431" t="str">
        <f>IFERROR(VLOOKUP(发货清单!A431,数据库!A:D,4,0),"")</f>
        <v/>
      </c>
      <c r="D431" t="str">
        <f>IFERROR(VLOOKUP(发货清单!A431,数据库!A:C,3,0),"")</f>
        <v/>
      </c>
      <c r="E431">
        <f>发货清单!M431</f>
        <v>0</v>
      </c>
      <c r="F431">
        <f>发货清单!U431</f>
        <v>0</v>
      </c>
      <c r="G431" t="str">
        <f>IFERROR(VLOOKUP(发货清单!A431,数据库!A:B,2,0),"")</f>
        <v/>
      </c>
      <c r="H431">
        <f>发货清单!N431</f>
        <v>0</v>
      </c>
      <c r="I431" t="str">
        <f t="shared" si="54"/>
        <v/>
      </c>
      <c r="J431" t="str">
        <f t="shared" si="55"/>
        <v xml:space="preserve"> </v>
      </c>
      <c r="K431" t="str">
        <f t="shared" si="56"/>
        <v/>
      </c>
      <c r="L431" t="str">
        <f t="shared" si="57"/>
        <v/>
      </c>
      <c r="N431" s="245">
        <f t="shared" si="58"/>
        <v>0</v>
      </c>
      <c r="O431" s="245">
        <f t="shared" si="59"/>
        <v>0</v>
      </c>
      <c r="P431" t="str">
        <f t="shared" si="60"/>
        <v/>
      </c>
      <c r="Q431" t="str">
        <f>IFERROR(VLOOKUP(P431,数据库!C:M,11,0),"")</f>
        <v/>
      </c>
      <c r="R431" t="str">
        <f t="shared" si="61"/>
        <v/>
      </c>
      <c r="S431">
        <f t="shared" si="62"/>
        <v>0</v>
      </c>
    </row>
    <row r="432" spans="1:19">
      <c r="A432" t="str">
        <f>IF(B432=0,"",发货清单!A432*10^6+COUNTIF($D$2:D432,D432)*10^3+ROW(A431))</f>
        <v/>
      </c>
      <c r="B432">
        <f>IFERROR(LEFT(发货清单!H432,SEARCH("-",发货清单!H432)-1),发货清单!H432)</f>
        <v>0</v>
      </c>
      <c r="C432" t="str">
        <f>IFERROR(VLOOKUP(发货清单!A432,数据库!A:D,4,0),"")</f>
        <v/>
      </c>
      <c r="D432" t="str">
        <f>IFERROR(VLOOKUP(发货清单!A432,数据库!A:C,3,0),"")</f>
        <v/>
      </c>
      <c r="E432">
        <f>发货清单!M432</f>
        <v>0</v>
      </c>
      <c r="F432">
        <f>发货清单!U432</f>
        <v>0</v>
      </c>
      <c r="G432" t="str">
        <f>IFERROR(VLOOKUP(发货清单!A432,数据库!A:B,2,0),"")</f>
        <v/>
      </c>
      <c r="H432">
        <f>发货清单!N432</f>
        <v>0</v>
      </c>
      <c r="I432" t="str">
        <f t="shared" si="54"/>
        <v/>
      </c>
      <c r="J432" t="str">
        <f t="shared" si="55"/>
        <v xml:space="preserve"> </v>
      </c>
      <c r="K432" t="str">
        <f t="shared" si="56"/>
        <v/>
      </c>
      <c r="L432" t="str">
        <f t="shared" si="57"/>
        <v/>
      </c>
      <c r="N432" s="245">
        <f t="shared" si="58"/>
        <v>0</v>
      </c>
      <c r="O432" s="245">
        <f t="shared" si="59"/>
        <v>0</v>
      </c>
      <c r="P432" t="str">
        <f t="shared" si="60"/>
        <v/>
      </c>
      <c r="Q432" t="str">
        <f>IFERROR(VLOOKUP(P432,数据库!C:M,11,0),"")</f>
        <v/>
      </c>
      <c r="R432" t="str">
        <f t="shared" si="61"/>
        <v/>
      </c>
      <c r="S432">
        <f t="shared" si="62"/>
        <v>0</v>
      </c>
    </row>
    <row r="433" spans="1:19">
      <c r="A433" t="str">
        <f>IF(B433=0,"",发货清单!A433*10^6+COUNTIF($D$2:D433,D433)*10^3+ROW(A432))</f>
        <v/>
      </c>
      <c r="B433">
        <f>IFERROR(LEFT(发货清单!H433,SEARCH("-",发货清单!H433)-1),发货清单!H433)</f>
        <v>0</v>
      </c>
      <c r="C433" t="str">
        <f>IFERROR(VLOOKUP(发货清单!A433,数据库!A:D,4,0),"")</f>
        <v/>
      </c>
      <c r="D433" t="str">
        <f>IFERROR(VLOOKUP(发货清单!A433,数据库!A:C,3,0),"")</f>
        <v/>
      </c>
      <c r="E433">
        <f>发货清单!M433</f>
        <v>0</v>
      </c>
      <c r="F433">
        <f>发货清单!U433</f>
        <v>0</v>
      </c>
      <c r="G433" t="str">
        <f>IFERROR(VLOOKUP(发货清单!A433,数据库!A:B,2,0),"")</f>
        <v/>
      </c>
      <c r="H433">
        <f>发货清单!N433</f>
        <v>0</v>
      </c>
      <c r="I433" t="str">
        <f t="shared" si="54"/>
        <v/>
      </c>
      <c r="J433" t="str">
        <f t="shared" si="55"/>
        <v xml:space="preserve"> </v>
      </c>
      <c r="K433" t="str">
        <f t="shared" si="56"/>
        <v/>
      </c>
      <c r="L433" t="str">
        <f t="shared" si="57"/>
        <v/>
      </c>
      <c r="N433" s="245">
        <f t="shared" si="58"/>
        <v>0</v>
      </c>
      <c r="O433" s="245">
        <f t="shared" si="59"/>
        <v>0</v>
      </c>
      <c r="P433" t="str">
        <f t="shared" si="60"/>
        <v/>
      </c>
      <c r="Q433" t="str">
        <f>IFERROR(VLOOKUP(P433,数据库!C:M,11,0),"")</f>
        <v/>
      </c>
      <c r="R433" t="str">
        <f t="shared" si="61"/>
        <v/>
      </c>
      <c r="S433">
        <f t="shared" si="62"/>
        <v>0</v>
      </c>
    </row>
    <row r="434" spans="1:19">
      <c r="A434" t="str">
        <f>IF(B434=0,"",发货清单!A434*10^6+COUNTIF($D$2:D434,D434)*10^3+ROW(A433))</f>
        <v/>
      </c>
      <c r="B434">
        <f>IFERROR(LEFT(发货清单!H434,SEARCH("-",发货清单!H434)-1),发货清单!H434)</f>
        <v>0</v>
      </c>
      <c r="C434" t="str">
        <f>IFERROR(VLOOKUP(发货清单!A434,数据库!A:D,4,0),"")</f>
        <v/>
      </c>
      <c r="D434" t="str">
        <f>IFERROR(VLOOKUP(发货清单!A434,数据库!A:C,3,0),"")</f>
        <v/>
      </c>
      <c r="E434">
        <f>发货清单!M434</f>
        <v>0</v>
      </c>
      <c r="F434">
        <f>发货清单!U434</f>
        <v>0</v>
      </c>
      <c r="G434" t="str">
        <f>IFERROR(VLOOKUP(发货清单!A434,数据库!A:B,2,0),"")</f>
        <v/>
      </c>
      <c r="H434">
        <f>发货清单!N434</f>
        <v>0</v>
      </c>
      <c r="I434" t="str">
        <f t="shared" si="54"/>
        <v/>
      </c>
      <c r="J434" t="str">
        <f t="shared" si="55"/>
        <v xml:space="preserve"> </v>
      </c>
      <c r="K434" t="str">
        <f t="shared" si="56"/>
        <v/>
      </c>
      <c r="L434" t="str">
        <f t="shared" si="57"/>
        <v/>
      </c>
      <c r="N434" s="245">
        <f t="shared" si="58"/>
        <v>0</v>
      </c>
      <c r="O434" s="245">
        <f t="shared" si="59"/>
        <v>0</v>
      </c>
      <c r="P434" t="str">
        <f t="shared" si="60"/>
        <v/>
      </c>
      <c r="Q434" t="str">
        <f>IFERROR(VLOOKUP(P434,数据库!C:M,11,0),"")</f>
        <v/>
      </c>
      <c r="R434" t="str">
        <f t="shared" si="61"/>
        <v/>
      </c>
      <c r="S434">
        <f t="shared" si="62"/>
        <v>0</v>
      </c>
    </row>
    <row r="435" spans="1:19">
      <c r="A435" t="str">
        <f>IF(B435=0,"",发货清单!A435*10^6+COUNTIF($D$2:D435,D435)*10^3+ROW(A434))</f>
        <v/>
      </c>
      <c r="B435">
        <f>IFERROR(LEFT(发货清单!H435,SEARCH("-",发货清单!H435)-1),发货清单!H435)</f>
        <v>0</v>
      </c>
      <c r="C435" t="str">
        <f>IFERROR(VLOOKUP(发货清单!A435,数据库!A:D,4,0),"")</f>
        <v/>
      </c>
      <c r="D435" t="str">
        <f>IFERROR(VLOOKUP(发货清单!A435,数据库!A:C,3,0),"")</f>
        <v/>
      </c>
      <c r="E435">
        <f>发货清单!M435</f>
        <v>0</v>
      </c>
      <c r="F435">
        <f>发货清单!U435</f>
        <v>0</v>
      </c>
      <c r="G435" t="str">
        <f>IFERROR(VLOOKUP(发货清单!A435,数据库!A:B,2,0),"")</f>
        <v/>
      </c>
      <c r="H435">
        <f>发货清单!N435</f>
        <v>0</v>
      </c>
      <c r="I435" t="str">
        <f t="shared" si="54"/>
        <v/>
      </c>
      <c r="J435" t="str">
        <f t="shared" si="55"/>
        <v xml:space="preserve"> </v>
      </c>
      <c r="K435" t="str">
        <f t="shared" si="56"/>
        <v/>
      </c>
      <c r="L435" t="str">
        <f t="shared" si="57"/>
        <v/>
      </c>
      <c r="N435" s="245">
        <f t="shared" si="58"/>
        <v>0</v>
      </c>
      <c r="O435" s="245">
        <f t="shared" si="59"/>
        <v>0</v>
      </c>
      <c r="P435" t="str">
        <f t="shared" si="60"/>
        <v/>
      </c>
      <c r="Q435" t="str">
        <f>IFERROR(VLOOKUP(P435,数据库!C:M,11,0),"")</f>
        <v/>
      </c>
      <c r="R435" t="str">
        <f t="shared" si="61"/>
        <v/>
      </c>
      <c r="S435">
        <f t="shared" si="62"/>
        <v>0</v>
      </c>
    </row>
    <row r="436" spans="1:19">
      <c r="A436" t="str">
        <f>IF(B436=0,"",发货清单!A436*10^6+COUNTIF($D$2:D436,D436)*10^3+ROW(A435))</f>
        <v/>
      </c>
      <c r="B436">
        <f>IFERROR(LEFT(发货清单!H436,SEARCH("-",发货清单!H436)-1),发货清单!H436)</f>
        <v>0</v>
      </c>
      <c r="C436" t="str">
        <f>IFERROR(VLOOKUP(发货清单!A436,数据库!A:D,4,0),"")</f>
        <v/>
      </c>
      <c r="D436" t="str">
        <f>IFERROR(VLOOKUP(发货清单!A436,数据库!A:C,3,0),"")</f>
        <v/>
      </c>
      <c r="E436">
        <f>发货清单!M436</f>
        <v>0</v>
      </c>
      <c r="F436">
        <f>发货清单!U436</f>
        <v>0</v>
      </c>
      <c r="G436" t="str">
        <f>IFERROR(VLOOKUP(发货清单!A436,数据库!A:B,2,0),"")</f>
        <v/>
      </c>
      <c r="H436">
        <f>发货清单!N436</f>
        <v>0</v>
      </c>
      <c r="I436" t="str">
        <f t="shared" si="54"/>
        <v/>
      </c>
      <c r="J436" t="str">
        <f t="shared" si="55"/>
        <v xml:space="preserve"> </v>
      </c>
      <c r="K436" t="str">
        <f t="shared" si="56"/>
        <v/>
      </c>
      <c r="L436" t="str">
        <f t="shared" si="57"/>
        <v/>
      </c>
      <c r="N436" s="245">
        <f t="shared" si="58"/>
        <v>0</v>
      </c>
      <c r="O436" s="245">
        <f t="shared" si="59"/>
        <v>0</v>
      </c>
      <c r="P436" t="str">
        <f t="shared" si="60"/>
        <v/>
      </c>
      <c r="Q436" t="str">
        <f>IFERROR(VLOOKUP(P436,数据库!C:M,11,0),"")</f>
        <v/>
      </c>
      <c r="R436" t="str">
        <f t="shared" si="61"/>
        <v/>
      </c>
      <c r="S436">
        <f t="shared" si="62"/>
        <v>0</v>
      </c>
    </row>
    <row r="437" spans="1:19">
      <c r="A437" t="str">
        <f>IF(B437=0,"",发货清单!A437*10^6+COUNTIF($D$2:D437,D437)*10^3+ROW(A436))</f>
        <v/>
      </c>
      <c r="B437">
        <f>IFERROR(LEFT(发货清单!H437,SEARCH("-",发货清单!H437)-1),发货清单!H437)</f>
        <v>0</v>
      </c>
      <c r="C437" t="str">
        <f>IFERROR(VLOOKUP(发货清单!A437,数据库!A:D,4,0),"")</f>
        <v/>
      </c>
      <c r="D437" t="str">
        <f>IFERROR(VLOOKUP(发货清单!A437,数据库!A:C,3,0),"")</f>
        <v/>
      </c>
      <c r="E437">
        <f>发货清单!M437</f>
        <v>0</v>
      </c>
      <c r="F437">
        <f>发货清单!U437</f>
        <v>0</v>
      </c>
      <c r="G437" t="str">
        <f>IFERROR(VLOOKUP(发货清单!A437,数据库!A:B,2,0),"")</f>
        <v/>
      </c>
      <c r="H437">
        <f>发货清单!N437</f>
        <v>0</v>
      </c>
      <c r="I437" t="str">
        <f t="shared" si="54"/>
        <v/>
      </c>
      <c r="J437" t="str">
        <f t="shared" si="55"/>
        <v xml:space="preserve"> </v>
      </c>
      <c r="K437" t="str">
        <f t="shared" si="56"/>
        <v/>
      </c>
      <c r="L437" t="str">
        <f t="shared" si="57"/>
        <v/>
      </c>
      <c r="N437" s="245">
        <f t="shared" si="58"/>
        <v>0</v>
      </c>
      <c r="O437" s="245">
        <f t="shared" si="59"/>
        <v>0</v>
      </c>
      <c r="P437" t="str">
        <f t="shared" si="60"/>
        <v/>
      </c>
      <c r="Q437" t="str">
        <f>IFERROR(VLOOKUP(P437,数据库!C:M,11,0),"")</f>
        <v/>
      </c>
      <c r="R437" t="str">
        <f t="shared" si="61"/>
        <v/>
      </c>
      <c r="S437">
        <f t="shared" si="62"/>
        <v>0</v>
      </c>
    </row>
    <row r="438" spans="1:19">
      <c r="A438" t="str">
        <f>IF(B438=0,"",发货清单!A438*10^6+COUNTIF($D$2:D438,D438)*10^3+ROW(A437))</f>
        <v/>
      </c>
      <c r="B438">
        <f>IFERROR(LEFT(发货清单!H438,SEARCH("-",发货清单!H438)-1),发货清单!H438)</f>
        <v>0</v>
      </c>
      <c r="C438" t="str">
        <f>IFERROR(VLOOKUP(发货清单!A438,数据库!A:D,4,0),"")</f>
        <v/>
      </c>
      <c r="D438" t="str">
        <f>IFERROR(VLOOKUP(发货清单!A438,数据库!A:C,3,0),"")</f>
        <v/>
      </c>
      <c r="E438">
        <f>发货清单!M438</f>
        <v>0</v>
      </c>
      <c r="F438">
        <f>发货清单!U438</f>
        <v>0</v>
      </c>
      <c r="G438" t="str">
        <f>IFERROR(VLOOKUP(发货清单!A438,数据库!A:B,2,0),"")</f>
        <v/>
      </c>
      <c r="H438">
        <f>发货清单!N438</f>
        <v>0</v>
      </c>
      <c r="I438" t="str">
        <f t="shared" si="54"/>
        <v/>
      </c>
      <c r="J438" t="str">
        <f t="shared" si="55"/>
        <v xml:space="preserve"> </v>
      </c>
      <c r="K438" t="str">
        <f t="shared" si="56"/>
        <v/>
      </c>
      <c r="L438" t="str">
        <f t="shared" si="57"/>
        <v/>
      </c>
      <c r="N438" s="245">
        <f t="shared" si="58"/>
        <v>0</v>
      </c>
      <c r="O438" s="245">
        <f t="shared" si="59"/>
        <v>0</v>
      </c>
      <c r="P438" t="str">
        <f t="shared" si="60"/>
        <v/>
      </c>
      <c r="Q438" t="str">
        <f>IFERROR(VLOOKUP(P438,数据库!C:M,11,0),"")</f>
        <v/>
      </c>
      <c r="R438" t="str">
        <f t="shared" si="61"/>
        <v/>
      </c>
      <c r="S438">
        <f t="shared" si="62"/>
        <v>0</v>
      </c>
    </row>
    <row r="439" spans="1:19">
      <c r="A439" t="str">
        <f>IF(B439=0,"",发货清单!A439*10^6+COUNTIF($D$2:D439,D439)*10^3+ROW(A438))</f>
        <v/>
      </c>
      <c r="B439">
        <f>IFERROR(LEFT(发货清单!H439,SEARCH("-",发货清单!H439)-1),发货清单!H439)</f>
        <v>0</v>
      </c>
      <c r="C439" t="str">
        <f>IFERROR(VLOOKUP(发货清单!A439,数据库!A:D,4,0),"")</f>
        <v/>
      </c>
      <c r="D439" t="str">
        <f>IFERROR(VLOOKUP(发货清单!A439,数据库!A:C,3,0),"")</f>
        <v/>
      </c>
      <c r="E439">
        <f>发货清单!M439</f>
        <v>0</v>
      </c>
      <c r="F439">
        <f>发货清单!U439</f>
        <v>0</v>
      </c>
      <c r="G439" t="str">
        <f>IFERROR(VLOOKUP(发货清单!A439,数据库!A:B,2,0),"")</f>
        <v/>
      </c>
      <c r="H439">
        <f>发货清单!N439</f>
        <v>0</v>
      </c>
      <c r="I439" t="str">
        <f t="shared" si="54"/>
        <v/>
      </c>
      <c r="J439" t="str">
        <f t="shared" si="55"/>
        <v xml:space="preserve"> </v>
      </c>
      <c r="K439" t="str">
        <f t="shared" si="56"/>
        <v/>
      </c>
      <c r="L439" t="str">
        <f t="shared" si="57"/>
        <v/>
      </c>
      <c r="N439" s="245">
        <f t="shared" si="58"/>
        <v>0</v>
      </c>
      <c r="O439" s="245">
        <f t="shared" si="59"/>
        <v>0</v>
      </c>
      <c r="P439" t="str">
        <f t="shared" si="60"/>
        <v/>
      </c>
      <c r="Q439" t="str">
        <f>IFERROR(VLOOKUP(P439,数据库!C:M,11,0),"")</f>
        <v/>
      </c>
      <c r="R439" t="str">
        <f t="shared" si="61"/>
        <v/>
      </c>
      <c r="S439">
        <f t="shared" si="62"/>
        <v>0</v>
      </c>
    </row>
    <row r="440" spans="1:19">
      <c r="A440" t="str">
        <f>IF(B440=0,"",发货清单!A440*10^6+COUNTIF($D$2:D440,D440)*10^3+ROW(A439))</f>
        <v/>
      </c>
      <c r="B440">
        <f>IFERROR(LEFT(发货清单!H440,SEARCH("-",发货清单!H440)-1),发货清单!H440)</f>
        <v>0</v>
      </c>
      <c r="C440" t="str">
        <f>IFERROR(VLOOKUP(发货清单!A440,数据库!A:D,4,0),"")</f>
        <v/>
      </c>
      <c r="D440" t="str">
        <f>IFERROR(VLOOKUP(发货清单!A440,数据库!A:C,3,0),"")</f>
        <v/>
      </c>
      <c r="E440">
        <f>发货清单!M440</f>
        <v>0</v>
      </c>
      <c r="F440">
        <f>发货清单!U440</f>
        <v>0</v>
      </c>
      <c r="G440" t="str">
        <f>IFERROR(VLOOKUP(发货清单!A440,数据库!A:B,2,0),"")</f>
        <v/>
      </c>
      <c r="H440">
        <f>发货清单!N440</f>
        <v>0</v>
      </c>
      <c r="I440" t="str">
        <f t="shared" si="54"/>
        <v/>
      </c>
      <c r="J440" t="str">
        <f t="shared" si="55"/>
        <v xml:space="preserve"> </v>
      </c>
      <c r="K440" t="str">
        <f t="shared" si="56"/>
        <v/>
      </c>
      <c r="L440" t="str">
        <f t="shared" si="57"/>
        <v/>
      </c>
      <c r="N440" s="245">
        <f t="shared" si="58"/>
        <v>0</v>
      </c>
      <c r="O440" s="245">
        <f t="shared" si="59"/>
        <v>0</v>
      </c>
      <c r="P440" t="str">
        <f t="shared" si="60"/>
        <v/>
      </c>
      <c r="Q440" t="str">
        <f>IFERROR(VLOOKUP(P440,数据库!C:M,11,0),"")</f>
        <v/>
      </c>
      <c r="R440" t="str">
        <f t="shared" si="61"/>
        <v/>
      </c>
      <c r="S440">
        <f t="shared" si="62"/>
        <v>0</v>
      </c>
    </row>
    <row r="441" spans="1:19">
      <c r="A441" t="str">
        <f>IF(B441=0,"",发货清单!A441*10^6+COUNTIF($D$2:D441,D441)*10^3+ROW(A440))</f>
        <v/>
      </c>
      <c r="B441">
        <f>IFERROR(LEFT(发货清单!H441,SEARCH("-",发货清单!H441)-1),发货清单!H441)</f>
        <v>0</v>
      </c>
      <c r="C441" t="str">
        <f>IFERROR(VLOOKUP(发货清单!A441,数据库!A:D,4,0),"")</f>
        <v/>
      </c>
      <c r="D441" t="str">
        <f>IFERROR(VLOOKUP(发货清单!A441,数据库!A:C,3,0),"")</f>
        <v/>
      </c>
      <c r="E441">
        <f>发货清单!M441</f>
        <v>0</v>
      </c>
      <c r="F441">
        <f>发货清单!U441</f>
        <v>0</v>
      </c>
      <c r="G441" t="str">
        <f>IFERROR(VLOOKUP(发货清单!A441,数据库!A:B,2,0),"")</f>
        <v/>
      </c>
      <c r="H441">
        <f>发货清单!N441</f>
        <v>0</v>
      </c>
      <c r="I441" t="str">
        <f t="shared" si="54"/>
        <v/>
      </c>
      <c r="J441" t="str">
        <f t="shared" si="55"/>
        <v xml:space="preserve"> </v>
      </c>
      <c r="K441" t="str">
        <f t="shared" si="56"/>
        <v/>
      </c>
      <c r="L441" t="str">
        <f t="shared" si="57"/>
        <v/>
      </c>
      <c r="N441" s="245">
        <f t="shared" si="58"/>
        <v>0</v>
      </c>
      <c r="O441" s="245">
        <f t="shared" si="59"/>
        <v>0</v>
      </c>
      <c r="P441" t="str">
        <f t="shared" si="60"/>
        <v/>
      </c>
      <c r="Q441" t="str">
        <f>IFERROR(VLOOKUP(P441,数据库!C:M,11,0),"")</f>
        <v/>
      </c>
      <c r="R441" t="str">
        <f t="shared" si="61"/>
        <v/>
      </c>
      <c r="S441">
        <f t="shared" si="62"/>
        <v>0</v>
      </c>
    </row>
    <row r="442" spans="1:19">
      <c r="A442" t="str">
        <f>IF(B442=0,"",发货清单!A442*10^6+COUNTIF($D$2:D442,D442)*10^3+ROW(A441))</f>
        <v/>
      </c>
      <c r="B442">
        <f>IFERROR(LEFT(发货清单!H442,SEARCH("-",发货清单!H442)-1),发货清单!H442)</f>
        <v>0</v>
      </c>
      <c r="C442" t="str">
        <f>IFERROR(VLOOKUP(发货清单!A442,数据库!A:D,4,0),"")</f>
        <v/>
      </c>
      <c r="D442" t="str">
        <f>IFERROR(VLOOKUP(发货清单!A442,数据库!A:C,3,0),"")</f>
        <v/>
      </c>
      <c r="E442">
        <f>发货清单!M442</f>
        <v>0</v>
      </c>
      <c r="F442">
        <f>发货清单!U442</f>
        <v>0</v>
      </c>
      <c r="G442" t="str">
        <f>IFERROR(VLOOKUP(发货清单!A442,数据库!A:B,2,0),"")</f>
        <v/>
      </c>
      <c r="H442">
        <f>发货清单!N442</f>
        <v>0</v>
      </c>
      <c r="I442" t="str">
        <f t="shared" si="54"/>
        <v/>
      </c>
      <c r="J442" t="str">
        <f t="shared" si="55"/>
        <v xml:space="preserve"> </v>
      </c>
      <c r="K442" t="str">
        <f t="shared" si="56"/>
        <v/>
      </c>
      <c r="L442" t="str">
        <f t="shared" si="57"/>
        <v/>
      </c>
      <c r="N442" s="245">
        <f t="shared" si="58"/>
        <v>0</v>
      </c>
      <c r="O442" s="245">
        <f t="shared" si="59"/>
        <v>0</v>
      </c>
      <c r="P442" t="str">
        <f t="shared" si="60"/>
        <v/>
      </c>
      <c r="Q442" t="str">
        <f>IFERROR(VLOOKUP(P442,数据库!C:M,11,0),"")</f>
        <v/>
      </c>
      <c r="R442" t="str">
        <f t="shared" si="61"/>
        <v/>
      </c>
      <c r="S442">
        <f t="shared" si="62"/>
        <v>0</v>
      </c>
    </row>
    <row r="443" spans="1:19">
      <c r="A443" t="str">
        <f>IF(B443=0,"",发货清单!A443*10^6+COUNTIF($D$2:D443,D443)*10^3+ROW(A442))</f>
        <v/>
      </c>
      <c r="B443">
        <f>IFERROR(LEFT(发货清单!H443,SEARCH("-",发货清单!H443)-1),发货清单!H443)</f>
        <v>0</v>
      </c>
      <c r="C443" t="str">
        <f>IFERROR(VLOOKUP(发货清单!A443,数据库!A:D,4,0),"")</f>
        <v/>
      </c>
      <c r="D443" t="str">
        <f>IFERROR(VLOOKUP(发货清单!A443,数据库!A:C,3,0),"")</f>
        <v/>
      </c>
      <c r="E443">
        <f>发货清单!M443</f>
        <v>0</v>
      </c>
      <c r="F443">
        <f>发货清单!U443</f>
        <v>0</v>
      </c>
      <c r="G443" t="str">
        <f>IFERROR(VLOOKUP(发货清单!A443,数据库!A:B,2,0),"")</f>
        <v/>
      </c>
      <c r="H443">
        <f>发货清单!N443</f>
        <v>0</v>
      </c>
      <c r="I443" t="str">
        <f t="shared" si="54"/>
        <v/>
      </c>
      <c r="J443" t="str">
        <f t="shared" si="55"/>
        <v xml:space="preserve"> </v>
      </c>
      <c r="K443" t="str">
        <f t="shared" si="56"/>
        <v/>
      </c>
      <c r="L443" t="str">
        <f t="shared" si="57"/>
        <v/>
      </c>
      <c r="N443" s="245">
        <f t="shared" si="58"/>
        <v>0</v>
      </c>
      <c r="O443" s="245">
        <f t="shared" si="59"/>
        <v>0</v>
      </c>
      <c r="P443" t="str">
        <f t="shared" si="60"/>
        <v/>
      </c>
      <c r="Q443" t="str">
        <f>IFERROR(VLOOKUP(P443,数据库!C:M,11,0),"")</f>
        <v/>
      </c>
      <c r="R443" t="str">
        <f t="shared" si="61"/>
        <v/>
      </c>
      <c r="S443">
        <f t="shared" si="62"/>
        <v>0</v>
      </c>
    </row>
    <row r="444" spans="1:19">
      <c r="A444" t="str">
        <f>IF(B444=0,"",发货清单!A444*10^6+COUNTIF($D$2:D444,D444)*10^3+ROW(A443))</f>
        <v/>
      </c>
      <c r="B444">
        <f>IFERROR(LEFT(发货清单!H444,SEARCH("-",发货清单!H444)-1),发货清单!H444)</f>
        <v>0</v>
      </c>
      <c r="C444" t="str">
        <f>IFERROR(VLOOKUP(发货清单!A444,数据库!A:D,4,0),"")</f>
        <v/>
      </c>
      <c r="D444" t="str">
        <f>IFERROR(VLOOKUP(发货清单!A444,数据库!A:C,3,0),"")</f>
        <v/>
      </c>
      <c r="E444">
        <f>发货清单!M444</f>
        <v>0</v>
      </c>
      <c r="F444">
        <f>发货清单!U444</f>
        <v>0</v>
      </c>
      <c r="G444" t="str">
        <f>IFERROR(VLOOKUP(发货清单!A444,数据库!A:B,2,0),"")</f>
        <v/>
      </c>
      <c r="H444">
        <f>发货清单!N444</f>
        <v>0</v>
      </c>
      <c r="I444" t="str">
        <f t="shared" si="54"/>
        <v/>
      </c>
      <c r="J444" t="str">
        <f t="shared" si="55"/>
        <v xml:space="preserve"> </v>
      </c>
      <c r="K444" t="str">
        <f t="shared" si="56"/>
        <v/>
      </c>
      <c r="L444" t="str">
        <f t="shared" si="57"/>
        <v/>
      </c>
      <c r="N444" s="245">
        <f t="shared" si="58"/>
        <v>0</v>
      </c>
      <c r="O444" s="245">
        <f t="shared" si="59"/>
        <v>0</v>
      </c>
      <c r="P444" t="str">
        <f t="shared" si="60"/>
        <v/>
      </c>
      <c r="Q444" t="str">
        <f>IFERROR(VLOOKUP(P444,数据库!C:M,11,0),"")</f>
        <v/>
      </c>
      <c r="R444" t="str">
        <f t="shared" si="61"/>
        <v/>
      </c>
      <c r="S444">
        <f t="shared" si="62"/>
        <v>0</v>
      </c>
    </row>
    <row r="445" spans="1:19">
      <c r="A445" t="str">
        <f>IF(B445=0,"",发货清单!A445*10^6+COUNTIF($D$2:D445,D445)*10^3+ROW(A444))</f>
        <v/>
      </c>
      <c r="B445">
        <f>IFERROR(LEFT(发货清单!H445,SEARCH("-",发货清单!H445)-1),发货清单!H445)</f>
        <v>0</v>
      </c>
      <c r="C445" t="str">
        <f>IFERROR(VLOOKUP(发货清单!A445,数据库!A:D,4,0),"")</f>
        <v/>
      </c>
      <c r="D445" t="str">
        <f>IFERROR(VLOOKUP(发货清单!A445,数据库!A:C,3,0),"")</f>
        <v/>
      </c>
      <c r="E445">
        <f>发货清单!M445</f>
        <v>0</v>
      </c>
      <c r="F445">
        <f>发货清单!U445</f>
        <v>0</v>
      </c>
      <c r="G445" t="str">
        <f>IFERROR(VLOOKUP(发货清单!A445,数据库!A:B,2,0),"")</f>
        <v/>
      </c>
      <c r="H445">
        <f>发货清单!N445</f>
        <v>0</v>
      </c>
      <c r="I445" t="str">
        <f t="shared" si="54"/>
        <v/>
      </c>
      <c r="J445" t="str">
        <f t="shared" si="55"/>
        <v xml:space="preserve"> </v>
      </c>
      <c r="K445" t="str">
        <f t="shared" si="56"/>
        <v/>
      </c>
      <c r="L445" t="str">
        <f t="shared" si="57"/>
        <v/>
      </c>
      <c r="N445" s="245">
        <f t="shared" si="58"/>
        <v>0</v>
      </c>
      <c r="O445" s="245">
        <f t="shared" si="59"/>
        <v>0</v>
      </c>
      <c r="P445" t="str">
        <f t="shared" si="60"/>
        <v/>
      </c>
      <c r="Q445" t="str">
        <f>IFERROR(VLOOKUP(P445,数据库!C:M,11,0),"")</f>
        <v/>
      </c>
      <c r="R445" t="str">
        <f t="shared" si="61"/>
        <v/>
      </c>
      <c r="S445">
        <f t="shared" si="62"/>
        <v>0</v>
      </c>
    </row>
    <row r="446" spans="1:19">
      <c r="A446" t="str">
        <f>IF(B446=0,"",发货清单!A446*10^6+COUNTIF($D$2:D446,D446)*10^3+ROW(A445))</f>
        <v/>
      </c>
      <c r="B446">
        <f>IFERROR(LEFT(发货清单!H446,SEARCH("-",发货清单!H446)-1),发货清单!H446)</f>
        <v>0</v>
      </c>
      <c r="C446" t="str">
        <f>IFERROR(VLOOKUP(发货清单!A446,数据库!A:D,4,0),"")</f>
        <v/>
      </c>
      <c r="D446" t="str">
        <f>IFERROR(VLOOKUP(发货清单!A446,数据库!A:C,3,0),"")</f>
        <v/>
      </c>
      <c r="E446">
        <f>发货清单!M446</f>
        <v>0</v>
      </c>
      <c r="F446">
        <f>发货清单!U446</f>
        <v>0</v>
      </c>
      <c r="G446" t="str">
        <f>IFERROR(VLOOKUP(发货清单!A446,数据库!A:B,2,0),"")</f>
        <v/>
      </c>
      <c r="H446">
        <f>发货清单!N446</f>
        <v>0</v>
      </c>
      <c r="I446" t="str">
        <f t="shared" si="54"/>
        <v/>
      </c>
      <c r="J446" t="str">
        <f t="shared" si="55"/>
        <v xml:space="preserve"> </v>
      </c>
      <c r="K446" t="str">
        <f t="shared" si="56"/>
        <v/>
      </c>
      <c r="L446" t="str">
        <f t="shared" si="57"/>
        <v/>
      </c>
      <c r="N446" s="245">
        <f t="shared" si="58"/>
        <v>0</v>
      </c>
      <c r="O446" s="245">
        <f t="shared" si="59"/>
        <v>0</v>
      </c>
      <c r="P446" t="str">
        <f t="shared" si="60"/>
        <v/>
      </c>
      <c r="Q446" t="str">
        <f>IFERROR(VLOOKUP(P446,数据库!C:M,11,0),"")</f>
        <v/>
      </c>
      <c r="R446" t="str">
        <f t="shared" si="61"/>
        <v/>
      </c>
      <c r="S446">
        <f t="shared" si="62"/>
        <v>0</v>
      </c>
    </row>
    <row r="447" spans="1:19">
      <c r="A447" t="str">
        <f>IF(B447=0,"",发货清单!A447*10^6+COUNTIF($D$2:D447,D447)*10^3+ROW(A446))</f>
        <v/>
      </c>
      <c r="B447">
        <f>IFERROR(LEFT(发货清单!H447,SEARCH("-",发货清单!H447)-1),发货清单!H447)</f>
        <v>0</v>
      </c>
      <c r="C447" t="str">
        <f>IFERROR(VLOOKUP(发货清单!A447,数据库!A:D,4,0),"")</f>
        <v/>
      </c>
      <c r="D447" t="str">
        <f>IFERROR(VLOOKUP(发货清单!A447,数据库!A:C,3,0),"")</f>
        <v/>
      </c>
      <c r="E447">
        <f>发货清单!M447</f>
        <v>0</v>
      </c>
      <c r="F447">
        <f>发货清单!U447</f>
        <v>0</v>
      </c>
      <c r="G447" t="str">
        <f>IFERROR(VLOOKUP(发货清单!A447,数据库!A:B,2,0),"")</f>
        <v/>
      </c>
      <c r="H447">
        <f>发货清单!N447</f>
        <v>0</v>
      </c>
      <c r="I447" t="str">
        <f t="shared" si="54"/>
        <v/>
      </c>
      <c r="J447" t="str">
        <f t="shared" si="55"/>
        <v xml:space="preserve"> </v>
      </c>
      <c r="K447" t="str">
        <f t="shared" si="56"/>
        <v/>
      </c>
      <c r="L447" t="str">
        <f t="shared" si="57"/>
        <v/>
      </c>
      <c r="N447" s="245">
        <f t="shared" si="58"/>
        <v>0</v>
      </c>
      <c r="O447" s="245">
        <f t="shared" si="59"/>
        <v>0</v>
      </c>
      <c r="P447" t="str">
        <f t="shared" si="60"/>
        <v/>
      </c>
      <c r="Q447" t="str">
        <f>IFERROR(VLOOKUP(P447,数据库!C:M,11,0),"")</f>
        <v/>
      </c>
      <c r="R447" t="str">
        <f t="shared" si="61"/>
        <v/>
      </c>
      <c r="S447">
        <f t="shared" si="62"/>
        <v>0</v>
      </c>
    </row>
    <row r="448" spans="1:19">
      <c r="A448" t="str">
        <f>IF(B448=0,"",发货清单!A448*10^6+COUNTIF($D$2:D448,D448)*10^3+ROW(A447))</f>
        <v/>
      </c>
      <c r="B448">
        <f>IFERROR(LEFT(发货清单!H448,SEARCH("-",发货清单!H448)-1),发货清单!H448)</f>
        <v>0</v>
      </c>
      <c r="C448" t="str">
        <f>IFERROR(VLOOKUP(发货清单!A448,数据库!A:D,4,0),"")</f>
        <v/>
      </c>
      <c r="D448" t="str">
        <f>IFERROR(VLOOKUP(发货清单!A448,数据库!A:C,3,0),"")</f>
        <v/>
      </c>
      <c r="E448">
        <f>发货清单!M448</f>
        <v>0</v>
      </c>
      <c r="F448">
        <f>发货清单!U448</f>
        <v>0</v>
      </c>
      <c r="G448" t="str">
        <f>IFERROR(VLOOKUP(发货清单!A448,数据库!A:B,2,0),"")</f>
        <v/>
      </c>
      <c r="H448">
        <f>发货清单!N448</f>
        <v>0</v>
      </c>
      <c r="I448" t="str">
        <f t="shared" si="54"/>
        <v/>
      </c>
      <c r="J448" t="str">
        <f t="shared" si="55"/>
        <v xml:space="preserve"> </v>
      </c>
      <c r="K448" t="str">
        <f t="shared" si="56"/>
        <v/>
      </c>
      <c r="L448" t="str">
        <f t="shared" si="57"/>
        <v/>
      </c>
      <c r="N448" s="245">
        <f t="shared" si="58"/>
        <v>0</v>
      </c>
      <c r="O448" s="245">
        <f t="shared" si="59"/>
        <v>0</v>
      </c>
      <c r="P448" t="str">
        <f t="shared" si="60"/>
        <v/>
      </c>
      <c r="Q448" t="str">
        <f>IFERROR(VLOOKUP(P448,数据库!C:M,11,0),"")</f>
        <v/>
      </c>
      <c r="R448" t="str">
        <f t="shared" si="61"/>
        <v/>
      </c>
      <c r="S448">
        <f t="shared" si="62"/>
        <v>0</v>
      </c>
    </row>
    <row r="449" spans="1:19">
      <c r="A449" t="str">
        <f>IF(B449=0,"",发货清单!A449*10^6+COUNTIF($D$2:D449,D449)*10^3+ROW(A448))</f>
        <v/>
      </c>
      <c r="B449">
        <f>IFERROR(LEFT(发货清单!H449,SEARCH("-",发货清单!H449)-1),发货清单!H449)</f>
        <v>0</v>
      </c>
      <c r="C449" t="str">
        <f>IFERROR(VLOOKUP(发货清单!A449,数据库!A:D,4,0),"")</f>
        <v/>
      </c>
      <c r="D449" t="str">
        <f>IFERROR(VLOOKUP(发货清单!A449,数据库!A:C,3,0),"")</f>
        <v/>
      </c>
      <c r="E449">
        <f>发货清单!M449</f>
        <v>0</v>
      </c>
      <c r="F449">
        <f>发货清单!U449</f>
        <v>0</v>
      </c>
      <c r="G449" t="str">
        <f>IFERROR(VLOOKUP(发货清单!A449,数据库!A:B,2,0),"")</f>
        <v/>
      </c>
      <c r="H449">
        <f>发货清单!N449</f>
        <v>0</v>
      </c>
      <c r="I449" t="str">
        <f t="shared" si="54"/>
        <v/>
      </c>
      <c r="J449" t="str">
        <f t="shared" si="55"/>
        <v xml:space="preserve"> </v>
      </c>
      <c r="K449" t="str">
        <f t="shared" si="56"/>
        <v/>
      </c>
      <c r="L449" t="str">
        <f t="shared" si="57"/>
        <v/>
      </c>
      <c r="N449" s="245">
        <f t="shared" si="58"/>
        <v>0</v>
      </c>
      <c r="O449" s="245">
        <f t="shared" si="59"/>
        <v>0</v>
      </c>
      <c r="P449" t="str">
        <f t="shared" si="60"/>
        <v/>
      </c>
      <c r="Q449" t="str">
        <f>IFERROR(VLOOKUP(P449,数据库!C:M,11,0),"")</f>
        <v/>
      </c>
      <c r="R449" t="str">
        <f t="shared" si="61"/>
        <v/>
      </c>
      <c r="S449">
        <f t="shared" si="62"/>
        <v>0</v>
      </c>
    </row>
    <row r="450" spans="1:19">
      <c r="A450" t="str">
        <f>IF(B450=0,"",发货清单!A450*10^6+COUNTIF($D$2:D450,D450)*10^3+ROW(A449))</f>
        <v/>
      </c>
      <c r="B450">
        <f>IFERROR(LEFT(发货清单!H450,SEARCH("-",发货清单!H450)-1),发货清单!H450)</f>
        <v>0</v>
      </c>
      <c r="C450" t="str">
        <f>IFERROR(VLOOKUP(发货清单!A450,数据库!A:D,4,0),"")</f>
        <v/>
      </c>
      <c r="D450" t="str">
        <f>IFERROR(VLOOKUP(发货清单!A450,数据库!A:C,3,0),"")</f>
        <v/>
      </c>
      <c r="E450">
        <f>发货清单!M450</f>
        <v>0</v>
      </c>
      <c r="F450">
        <f>发货清单!U450</f>
        <v>0</v>
      </c>
      <c r="G450" t="str">
        <f>IFERROR(VLOOKUP(发货清单!A450,数据库!A:B,2,0),"")</f>
        <v/>
      </c>
      <c r="H450">
        <f>发货清单!N450</f>
        <v>0</v>
      </c>
      <c r="I450" t="str">
        <f t="shared" si="54"/>
        <v/>
      </c>
      <c r="J450" t="str">
        <f t="shared" si="55"/>
        <v xml:space="preserve"> </v>
      </c>
      <c r="K450" t="str">
        <f t="shared" si="56"/>
        <v/>
      </c>
      <c r="L450" t="str">
        <f t="shared" si="57"/>
        <v/>
      </c>
      <c r="N450" s="245">
        <f t="shared" si="58"/>
        <v>0</v>
      </c>
      <c r="O450" s="245">
        <f t="shared" si="59"/>
        <v>0</v>
      </c>
      <c r="P450" t="str">
        <f t="shared" si="60"/>
        <v/>
      </c>
      <c r="Q450" t="str">
        <f>IFERROR(VLOOKUP(P450,数据库!C:M,11,0),"")</f>
        <v/>
      </c>
      <c r="R450" t="str">
        <f t="shared" si="61"/>
        <v/>
      </c>
      <c r="S450">
        <f t="shared" si="62"/>
        <v>0</v>
      </c>
    </row>
    <row r="451" spans="1:19">
      <c r="A451" t="str">
        <f>IF(B451=0,"",发货清单!A451*10^6+COUNTIF($D$2:D451,D451)*10^3+ROW(A450))</f>
        <v/>
      </c>
      <c r="B451">
        <f>IFERROR(LEFT(发货清单!H451,SEARCH("-",发货清单!H451)-1),发货清单!H451)</f>
        <v>0</v>
      </c>
      <c r="C451" t="str">
        <f>IFERROR(VLOOKUP(发货清单!A451,数据库!A:D,4,0),"")</f>
        <v/>
      </c>
      <c r="D451" t="str">
        <f>IFERROR(VLOOKUP(发货清单!A451,数据库!A:C,3,0),"")</f>
        <v/>
      </c>
      <c r="E451">
        <f>发货清单!M451</f>
        <v>0</v>
      </c>
      <c r="F451">
        <f>发货清单!U451</f>
        <v>0</v>
      </c>
      <c r="G451" t="str">
        <f>IFERROR(VLOOKUP(发货清单!A451,数据库!A:B,2,0),"")</f>
        <v/>
      </c>
      <c r="H451">
        <f>发货清单!N451</f>
        <v>0</v>
      </c>
      <c r="I451" t="str">
        <f t="shared" ref="I451:I514" si="63">IFERROR(SMALL(A:A,ROW(A450)),"")</f>
        <v/>
      </c>
      <c r="J451" t="str">
        <f t="shared" ref="J451:J514" si="64">IFERROR(IF(RIGHT(I451,6)-2000&gt;0," ",I451)," ")</f>
        <v xml:space="preserve"> </v>
      </c>
      <c r="K451" t="str">
        <f t="shared" ref="K451:K514" si="65">IFERROR(SMALL(J:J,ROW(A450)),"")</f>
        <v/>
      </c>
      <c r="L451" t="str">
        <f t="shared" ref="L451:L514" si="66">IFERROR(VLOOKUP(K451,A:G,7,0)," ")</f>
        <v/>
      </c>
      <c r="N451" s="245">
        <f t="shared" ref="N451:N514" si="67">IF(P451=" ",0,SUMIF(D:D,P451,E:E))</f>
        <v>0</v>
      </c>
      <c r="O451" s="245">
        <f t="shared" ref="O451:O514" si="68">SUMIF(D:D,P451,F:F)</f>
        <v>0</v>
      </c>
      <c r="P451" t="str">
        <f t="shared" ref="P451:P514" si="69">IFERROR(VLOOKUP(K451,A:D,4,0)," ")</f>
        <v/>
      </c>
      <c r="Q451" t="str">
        <f>IFERROR(VLOOKUP(P451,数据库!C:M,11,0),"")</f>
        <v/>
      </c>
      <c r="R451" t="str">
        <f t="shared" ref="R451:R514" si="70">IFERROR(VLOOKUP(K451,A:C,3,0)," ")</f>
        <v/>
      </c>
      <c r="S451">
        <f t="shared" ref="S451:S514" si="71">IFERROR(VLOOKUP(K451,A:H,8,0)," ")</f>
        <v>0</v>
      </c>
    </row>
    <row r="452" spans="1:19">
      <c r="A452" t="str">
        <f>IF(B452=0,"",发货清单!A452*10^6+COUNTIF($D$2:D452,D452)*10^3+ROW(A451))</f>
        <v/>
      </c>
      <c r="B452">
        <f>IFERROR(LEFT(发货清单!H452,SEARCH("-",发货清单!H452)-1),发货清单!H452)</f>
        <v>0</v>
      </c>
      <c r="C452" t="str">
        <f>IFERROR(VLOOKUP(发货清单!A452,数据库!A:D,4,0),"")</f>
        <v/>
      </c>
      <c r="D452" t="str">
        <f>IFERROR(VLOOKUP(发货清单!A452,数据库!A:C,3,0),"")</f>
        <v/>
      </c>
      <c r="E452">
        <f>发货清单!M452</f>
        <v>0</v>
      </c>
      <c r="F452">
        <f>发货清单!U452</f>
        <v>0</v>
      </c>
      <c r="G452" t="str">
        <f>IFERROR(VLOOKUP(发货清单!A452,数据库!A:B,2,0),"")</f>
        <v/>
      </c>
      <c r="H452">
        <f>发货清单!N452</f>
        <v>0</v>
      </c>
      <c r="I452" t="str">
        <f t="shared" si="63"/>
        <v/>
      </c>
      <c r="J452" t="str">
        <f t="shared" si="64"/>
        <v xml:space="preserve"> </v>
      </c>
      <c r="K452" t="str">
        <f t="shared" si="65"/>
        <v/>
      </c>
      <c r="L452" t="str">
        <f t="shared" si="66"/>
        <v/>
      </c>
      <c r="N452" s="245">
        <f t="shared" si="67"/>
        <v>0</v>
      </c>
      <c r="O452" s="245">
        <f t="shared" si="68"/>
        <v>0</v>
      </c>
      <c r="P452" t="str">
        <f t="shared" si="69"/>
        <v/>
      </c>
      <c r="Q452" t="str">
        <f>IFERROR(VLOOKUP(P452,数据库!C:M,11,0),"")</f>
        <v/>
      </c>
      <c r="R452" t="str">
        <f t="shared" si="70"/>
        <v/>
      </c>
      <c r="S452">
        <f t="shared" si="71"/>
        <v>0</v>
      </c>
    </row>
    <row r="453" spans="1:19">
      <c r="A453" t="str">
        <f>IF(B453=0,"",发货清单!A453*10^6+COUNTIF($D$2:D453,D453)*10^3+ROW(A452))</f>
        <v/>
      </c>
      <c r="B453">
        <f>IFERROR(LEFT(发货清单!H453,SEARCH("-",发货清单!H453)-1),发货清单!H453)</f>
        <v>0</v>
      </c>
      <c r="C453" t="str">
        <f>IFERROR(VLOOKUP(发货清单!A453,数据库!A:D,4,0),"")</f>
        <v/>
      </c>
      <c r="D453" t="str">
        <f>IFERROR(VLOOKUP(发货清单!A453,数据库!A:C,3,0),"")</f>
        <v/>
      </c>
      <c r="E453">
        <f>发货清单!M453</f>
        <v>0</v>
      </c>
      <c r="F453">
        <f>发货清单!U453</f>
        <v>0</v>
      </c>
      <c r="G453" t="str">
        <f>IFERROR(VLOOKUP(发货清单!A453,数据库!A:B,2,0),"")</f>
        <v/>
      </c>
      <c r="H453">
        <f>发货清单!N453</f>
        <v>0</v>
      </c>
      <c r="I453" t="str">
        <f t="shared" si="63"/>
        <v/>
      </c>
      <c r="J453" t="str">
        <f t="shared" si="64"/>
        <v xml:space="preserve"> </v>
      </c>
      <c r="K453" t="str">
        <f t="shared" si="65"/>
        <v/>
      </c>
      <c r="L453" t="str">
        <f t="shared" si="66"/>
        <v/>
      </c>
      <c r="N453" s="245">
        <f t="shared" si="67"/>
        <v>0</v>
      </c>
      <c r="O453" s="245">
        <f t="shared" si="68"/>
        <v>0</v>
      </c>
      <c r="P453" t="str">
        <f t="shared" si="69"/>
        <v/>
      </c>
      <c r="Q453" t="str">
        <f>IFERROR(VLOOKUP(P453,数据库!C:M,11,0),"")</f>
        <v/>
      </c>
      <c r="R453" t="str">
        <f t="shared" si="70"/>
        <v/>
      </c>
      <c r="S453">
        <f t="shared" si="71"/>
        <v>0</v>
      </c>
    </row>
    <row r="454" spans="1:19">
      <c r="A454" t="str">
        <f>IF(B454=0,"",发货清单!A454*10^6+COUNTIF($D$2:D454,D454)*10^3+ROW(A453))</f>
        <v/>
      </c>
      <c r="B454">
        <f>IFERROR(LEFT(发货清单!H454,SEARCH("-",发货清单!H454)-1),发货清单!H454)</f>
        <v>0</v>
      </c>
      <c r="C454" t="str">
        <f>IFERROR(VLOOKUP(发货清单!A454,数据库!A:D,4,0),"")</f>
        <v/>
      </c>
      <c r="D454" t="str">
        <f>IFERROR(VLOOKUP(发货清单!A454,数据库!A:C,3,0),"")</f>
        <v/>
      </c>
      <c r="E454">
        <f>发货清单!M454</f>
        <v>0</v>
      </c>
      <c r="F454">
        <f>发货清单!U454</f>
        <v>0</v>
      </c>
      <c r="G454" t="str">
        <f>IFERROR(VLOOKUP(发货清单!A454,数据库!A:B,2,0),"")</f>
        <v/>
      </c>
      <c r="H454">
        <f>发货清单!N454</f>
        <v>0</v>
      </c>
      <c r="I454" t="str">
        <f t="shared" si="63"/>
        <v/>
      </c>
      <c r="J454" t="str">
        <f t="shared" si="64"/>
        <v xml:space="preserve"> </v>
      </c>
      <c r="K454" t="str">
        <f t="shared" si="65"/>
        <v/>
      </c>
      <c r="L454" t="str">
        <f t="shared" si="66"/>
        <v/>
      </c>
      <c r="N454" s="245">
        <f t="shared" si="67"/>
        <v>0</v>
      </c>
      <c r="O454" s="245">
        <f t="shared" si="68"/>
        <v>0</v>
      </c>
      <c r="P454" t="str">
        <f t="shared" si="69"/>
        <v/>
      </c>
      <c r="Q454" t="str">
        <f>IFERROR(VLOOKUP(P454,数据库!C:M,11,0),"")</f>
        <v/>
      </c>
      <c r="R454" t="str">
        <f t="shared" si="70"/>
        <v/>
      </c>
      <c r="S454">
        <f t="shared" si="71"/>
        <v>0</v>
      </c>
    </row>
    <row r="455" spans="1:19">
      <c r="A455" t="str">
        <f>IF(B455=0,"",发货清单!A455*10^6+COUNTIF($D$2:D455,D455)*10^3+ROW(A454))</f>
        <v/>
      </c>
      <c r="B455">
        <f>IFERROR(LEFT(发货清单!H455,SEARCH("-",发货清单!H455)-1),发货清单!H455)</f>
        <v>0</v>
      </c>
      <c r="C455" t="str">
        <f>IFERROR(VLOOKUP(发货清单!A455,数据库!A:D,4,0),"")</f>
        <v/>
      </c>
      <c r="D455" t="str">
        <f>IFERROR(VLOOKUP(发货清单!A455,数据库!A:C,3,0),"")</f>
        <v/>
      </c>
      <c r="E455">
        <f>发货清单!M455</f>
        <v>0</v>
      </c>
      <c r="F455">
        <f>发货清单!U455</f>
        <v>0</v>
      </c>
      <c r="G455" t="str">
        <f>IFERROR(VLOOKUP(发货清单!A455,数据库!A:B,2,0),"")</f>
        <v/>
      </c>
      <c r="H455">
        <f>发货清单!N455</f>
        <v>0</v>
      </c>
      <c r="I455" t="str">
        <f t="shared" si="63"/>
        <v/>
      </c>
      <c r="J455" t="str">
        <f t="shared" si="64"/>
        <v xml:space="preserve"> </v>
      </c>
      <c r="K455" t="str">
        <f t="shared" si="65"/>
        <v/>
      </c>
      <c r="L455" t="str">
        <f t="shared" si="66"/>
        <v/>
      </c>
      <c r="N455" s="245">
        <f t="shared" si="67"/>
        <v>0</v>
      </c>
      <c r="O455" s="245">
        <f t="shared" si="68"/>
        <v>0</v>
      </c>
      <c r="P455" t="str">
        <f t="shared" si="69"/>
        <v/>
      </c>
      <c r="Q455" t="str">
        <f>IFERROR(VLOOKUP(P455,数据库!C:M,11,0),"")</f>
        <v/>
      </c>
      <c r="R455" t="str">
        <f t="shared" si="70"/>
        <v/>
      </c>
      <c r="S455">
        <f t="shared" si="71"/>
        <v>0</v>
      </c>
    </row>
    <row r="456" spans="1:19">
      <c r="A456" t="str">
        <f>IF(B456=0,"",发货清单!A456*10^6+COUNTIF($D$2:D456,D456)*10^3+ROW(A455))</f>
        <v/>
      </c>
      <c r="B456">
        <f>IFERROR(LEFT(发货清单!H456,SEARCH("-",发货清单!H456)-1),发货清单!H456)</f>
        <v>0</v>
      </c>
      <c r="C456" t="str">
        <f>IFERROR(VLOOKUP(发货清单!A456,数据库!A:D,4,0),"")</f>
        <v/>
      </c>
      <c r="D456" t="str">
        <f>IFERROR(VLOOKUP(发货清单!A456,数据库!A:C,3,0),"")</f>
        <v/>
      </c>
      <c r="E456">
        <f>发货清单!M456</f>
        <v>0</v>
      </c>
      <c r="F456">
        <f>发货清单!U456</f>
        <v>0</v>
      </c>
      <c r="G456" t="str">
        <f>IFERROR(VLOOKUP(发货清单!A456,数据库!A:B,2,0),"")</f>
        <v/>
      </c>
      <c r="H456">
        <f>发货清单!N456</f>
        <v>0</v>
      </c>
      <c r="I456" t="str">
        <f t="shared" si="63"/>
        <v/>
      </c>
      <c r="J456" t="str">
        <f t="shared" si="64"/>
        <v xml:space="preserve"> </v>
      </c>
      <c r="K456" t="str">
        <f t="shared" si="65"/>
        <v/>
      </c>
      <c r="L456" t="str">
        <f t="shared" si="66"/>
        <v/>
      </c>
      <c r="N456" s="245">
        <f t="shared" si="67"/>
        <v>0</v>
      </c>
      <c r="O456" s="245">
        <f t="shared" si="68"/>
        <v>0</v>
      </c>
      <c r="P456" t="str">
        <f t="shared" si="69"/>
        <v/>
      </c>
      <c r="Q456" t="str">
        <f>IFERROR(VLOOKUP(P456,数据库!C:M,11,0),"")</f>
        <v/>
      </c>
      <c r="R456" t="str">
        <f t="shared" si="70"/>
        <v/>
      </c>
      <c r="S456">
        <f t="shared" si="71"/>
        <v>0</v>
      </c>
    </row>
    <row r="457" spans="1:19">
      <c r="A457" t="str">
        <f>IF(B457=0,"",发货清单!A457*10^6+COUNTIF($D$2:D457,D457)*10^3+ROW(A456))</f>
        <v/>
      </c>
      <c r="B457">
        <f>IFERROR(LEFT(发货清单!H457,SEARCH("-",发货清单!H457)-1),发货清单!H457)</f>
        <v>0</v>
      </c>
      <c r="C457" t="str">
        <f>IFERROR(VLOOKUP(发货清单!A457,数据库!A:D,4,0),"")</f>
        <v/>
      </c>
      <c r="D457" t="str">
        <f>IFERROR(VLOOKUP(发货清单!A457,数据库!A:C,3,0),"")</f>
        <v/>
      </c>
      <c r="E457">
        <f>发货清单!M457</f>
        <v>0</v>
      </c>
      <c r="F457">
        <f>发货清单!U457</f>
        <v>0</v>
      </c>
      <c r="G457" t="str">
        <f>IFERROR(VLOOKUP(发货清单!A457,数据库!A:B,2,0),"")</f>
        <v/>
      </c>
      <c r="H457">
        <f>发货清单!N457</f>
        <v>0</v>
      </c>
      <c r="I457" t="str">
        <f t="shared" si="63"/>
        <v/>
      </c>
      <c r="J457" t="str">
        <f t="shared" si="64"/>
        <v xml:space="preserve"> </v>
      </c>
      <c r="K457" t="str">
        <f t="shared" si="65"/>
        <v/>
      </c>
      <c r="L457" t="str">
        <f t="shared" si="66"/>
        <v/>
      </c>
      <c r="N457" s="245">
        <f t="shared" si="67"/>
        <v>0</v>
      </c>
      <c r="O457" s="245">
        <f t="shared" si="68"/>
        <v>0</v>
      </c>
      <c r="P457" t="str">
        <f t="shared" si="69"/>
        <v/>
      </c>
      <c r="Q457" t="str">
        <f>IFERROR(VLOOKUP(P457,数据库!C:M,11,0),"")</f>
        <v/>
      </c>
      <c r="R457" t="str">
        <f t="shared" si="70"/>
        <v/>
      </c>
      <c r="S457">
        <f t="shared" si="71"/>
        <v>0</v>
      </c>
    </row>
    <row r="458" spans="1:19">
      <c r="A458" t="str">
        <f>IF(B458=0,"",发货清单!A458*10^6+COUNTIF($D$2:D458,D458)*10^3+ROW(A457))</f>
        <v/>
      </c>
      <c r="B458">
        <f>IFERROR(LEFT(发货清单!H458,SEARCH("-",发货清单!H458)-1),发货清单!H458)</f>
        <v>0</v>
      </c>
      <c r="C458" t="str">
        <f>IFERROR(VLOOKUP(发货清单!A458,数据库!A:D,4,0),"")</f>
        <v/>
      </c>
      <c r="D458" t="str">
        <f>IFERROR(VLOOKUP(发货清单!A458,数据库!A:C,3,0),"")</f>
        <v/>
      </c>
      <c r="E458">
        <f>发货清单!M458</f>
        <v>0</v>
      </c>
      <c r="F458">
        <f>发货清单!U458</f>
        <v>0</v>
      </c>
      <c r="G458" t="str">
        <f>IFERROR(VLOOKUP(发货清单!A458,数据库!A:B,2,0),"")</f>
        <v/>
      </c>
      <c r="H458">
        <f>发货清单!N458</f>
        <v>0</v>
      </c>
      <c r="I458" t="str">
        <f t="shared" si="63"/>
        <v/>
      </c>
      <c r="J458" t="str">
        <f t="shared" si="64"/>
        <v xml:space="preserve"> </v>
      </c>
      <c r="K458" t="str">
        <f t="shared" si="65"/>
        <v/>
      </c>
      <c r="L458" t="str">
        <f t="shared" si="66"/>
        <v/>
      </c>
      <c r="N458" s="245">
        <f t="shared" si="67"/>
        <v>0</v>
      </c>
      <c r="O458" s="245">
        <f t="shared" si="68"/>
        <v>0</v>
      </c>
      <c r="P458" t="str">
        <f t="shared" si="69"/>
        <v/>
      </c>
      <c r="Q458" t="str">
        <f>IFERROR(VLOOKUP(P458,数据库!C:M,11,0),"")</f>
        <v/>
      </c>
      <c r="R458" t="str">
        <f t="shared" si="70"/>
        <v/>
      </c>
      <c r="S458">
        <f t="shared" si="71"/>
        <v>0</v>
      </c>
    </row>
    <row r="459" spans="1:19">
      <c r="A459" t="str">
        <f>IF(B459=0,"",发货清单!A459*10^6+COUNTIF($D$2:D459,D459)*10^3+ROW(A458))</f>
        <v/>
      </c>
      <c r="B459">
        <f>IFERROR(LEFT(发货清单!H459,SEARCH("-",发货清单!H459)-1),发货清单!H459)</f>
        <v>0</v>
      </c>
      <c r="C459" t="str">
        <f>IFERROR(VLOOKUP(发货清单!A459,数据库!A:D,4,0),"")</f>
        <v/>
      </c>
      <c r="D459" t="str">
        <f>IFERROR(VLOOKUP(发货清单!A459,数据库!A:C,3,0),"")</f>
        <v/>
      </c>
      <c r="E459">
        <f>发货清单!M459</f>
        <v>0</v>
      </c>
      <c r="F459">
        <f>发货清单!U459</f>
        <v>0</v>
      </c>
      <c r="G459" t="str">
        <f>IFERROR(VLOOKUP(发货清单!A459,数据库!A:B,2,0),"")</f>
        <v/>
      </c>
      <c r="H459">
        <f>发货清单!N459</f>
        <v>0</v>
      </c>
      <c r="I459" t="str">
        <f t="shared" si="63"/>
        <v/>
      </c>
      <c r="J459" t="str">
        <f t="shared" si="64"/>
        <v xml:space="preserve"> </v>
      </c>
      <c r="K459" t="str">
        <f t="shared" si="65"/>
        <v/>
      </c>
      <c r="L459" t="str">
        <f t="shared" si="66"/>
        <v/>
      </c>
      <c r="N459" s="245">
        <f t="shared" si="67"/>
        <v>0</v>
      </c>
      <c r="O459" s="245">
        <f t="shared" si="68"/>
        <v>0</v>
      </c>
      <c r="P459" t="str">
        <f t="shared" si="69"/>
        <v/>
      </c>
      <c r="Q459" t="str">
        <f>IFERROR(VLOOKUP(P459,数据库!C:M,11,0),"")</f>
        <v/>
      </c>
      <c r="R459" t="str">
        <f t="shared" si="70"/>
        <v/>
      </c>
      <c r="S459">
        <f t="shared" si="71"/>
        <v>0</v>
      </c>
    </row>
    <row r="460" spans="1:19">
      <c r="A460" t="str">
        <f>IF(B460=0,"",发货清单!A460*10^6+COUNTIF($D$2:D460,D460)*10^3+ROW(A459))</f>
        <v/>
      </c>
      <c r="B460">
        <f>IFERROR(LEFT(发货清单!H460,SEARCH("-",发货清单!H460)-1),发货清单!H460)</f>
        <v>0</v>
      </c>
      <c r="C460" t="str">
        <f>IFERROR(VLOOKUP(发货清单!A460,数据库!A:D,4,0),"")</f>
        <v/>
      </c>
      <c r="D460" t="str">
        <f>IFERROR(VLOOKUP(发货清单!A460,数据库!A:C,3,0),"")</f>
        <v/>
      </c>
      <c r="E460">
        <f>发货清单!M460</f>
        <v>0</v>
      </c>
      <c r="F460">
        <f>发货清单!U460</f>
        <v>0</v>
      </c>
      <c r="G460" t="str">
        <f>IFERROR(VLOOKUP(发货清单!A460,数据库!A:B,2,0),"")</f>
        <v/>
      </c>
      <c r="H460">
        <f>发货清单!N460</f>
        <v>0</v>
      </c>
      <c r="I460" t="str">
        <f t="shared" si="63"/>
        <v/>
      </c>
      <c r="J460" t="str">
        <f t="shared" si="64"/>
        <v xml:space="preserve"> </v>
      </c>
      <c r="K460" t="str">
        <f t="shared" si="65"/>
        <v/>
      </c>
      <c r="L460" t="str">
        <f t="shared" si="66"/>
        <v/>
      </c>
      <c r="N460" s="245">
        <f t="shared" si="67"/>
        <v>0</v>
      </c>
      <c r="O460" s="245">
        <f t="shared" si="68"/>
        <v>0</v>
      </c>
      <c r="P460" t="str">
        <f t="shared" si="69"/>
        <v/>
      </c>
      <c r="Q460" t="str">
        <f>IFERROR(VLOOKUP(P460,数据库!C:M,11,0),"")</f>
        <v/>
      </c>
      <c r="R460" t="str">
        <f t="shared" si="70"/>
        <v/>
      </c>
      <c r="S460">
        <f t="shared" si="71"/>
        <v>0</v>
      </c>
    </row>
    <row r="461" spans="1:19">
      <c r="A461" t="str">
        <f>IF(B461=0,"",发货清单!A461*10^6+COUNTIF($D$2:D461,D461)*10^3+ROW(A460))</f>
        <v/>
      </c>
      <c r="B461">
        <f>IFERROR(LEFT(发货清单!H461,SEARCH("-",发货清单!H461)-1),发货清单!H461)</f>
        <v>0</v>
      </c>
      <c r="C461" t="str">
        <f>IFERROR(VLOOKUP(发货清单!A461,数据库!A:D,4,0),"")</f>
        <v/>
      </c>
      <c r="D461" t="str">
        <f>IFERROR(VLOOKUP(发货清单!A461,数据库!A:C,3,0),"")</f>
        <v/>
      </c>
      <c r="E461">
        <f>发货清单!M461</f>
        <v>0</v>
      </c>
      <c r="F461">
        <f>发货清单!U461</f>
        <v>0</v>
      </c>
      <c r="G461" t="str">
        <f>IFERROR(VLOOKUP(发货清单!A461,数据库!A:B,2,0),"")</f>
        <v/>
      </c>
      <c r="H461">
        <f>发货清单!N461</f>
        <v>0</v>
      </c>
      <c r="I461" t="str">
        <f t="shared" si="63"/>
        <v/>
      </c>
      <c r="J461" t="str">
        <f t="shared" si="64"/>
        <v xml:space="preserve"> </v>
      </c>
      <c r="K461" t="str">
        <f t="shared" si="65"/>
        <v/>
      </c>
      <c r="L461" t="str">
        <f t="shared" si="66"/>
        <v/>
      </c>
      <c r="N461" s="245">
        <f t="shared" si="67"/>
        <v>0</v>
      </c>
      <c r="O461" s="245">
        <f t="shared" si="68"/>
        <v>0</v>
      </c>
      <c r="P461" t="str">
        <f t="shared" si="69"/>
        <v/>
      </c>
      <c r="Q461" t="str">
        <f>IFERROR(VLOOKUP(P461,数据库!C:M,11,0),"")</f>
        <v/>
      </c>
      <c r="R461" t="str">
        <f t="shared" si="70"/>
        <v/>
      </c>
      <c r="S461">
        <f t="shared" si="71"/>
        <v>0</v>
      </c>
    </row>
    <row r="462" spans="1:19">
      <c r="A462" t="str">
        <f>IF(B462=0,"",发货清单!A462*10^6+COUNTIF($D$2:D462,D462)*10^3+ROW(A461))</f>
        <v/>
      </c>
      <c r="B462">
        <f>IFERROR(LEFT(发货清单!H462,SEARCH("-",发货清单!H462)-1),发货清单!H462)</f>
        <v>0</v>
      </c>
      <c r="C462" t="str">
        <f>IFERROR(VLOOKUP(发货清单!A462,数据库!A:D,4,0),"")</f>
        <v/>
      </c>
      <c r="D462" t="str">
        <f>IFERROR(VLOOKUP(发货清单!A462,数据库!A:C,3,0),"")</f>
        <v/>
      </c>
      <c r="E462">
        <f>发货清单!M462</f>
        <v>0</v>
      </c>
      <c r="F462">
        <f>发货清单!U462</f>
        <v>0</v>
      </c>
      <c r="G462" t="str">
        <f>IFERROR(VLOOKUP(发货清单!A462,数据库!A:B,2,0),"")</f>
        <v/>
      </c>
      <c r="H462">
        <f>发货清单!N462</f>
        <v>0</v>
      </c>
      <c r="I462" t="str">
        <f t="shared" si="63"/>
        <v/>
      </c>
      <c r="J462" t="str">
        <f t="shared" si="64"/>
        <v xml:space="preserve"> </v>
      </c>
      <c r="K462" t="str">
        <f t="shared" si="65"/>
        <v/>
      </c>
      <c r="L462" t="str">
        <f t="shared" si="66"/>
        <v/>
      </c>
      <c r="N462" s="245">
        <f t="shared" si="67"/>
        <v>0</v>
      </c>
      <c r="O462" s="245">
        <f t="shared" si="68"/>
        <v>0</v>
      </c>
      <c r="P462" t="str">
        <f t="shared" si="69"/>
        <v/>
      </c>
      <c r="Q462" t="str">
        <f>IFERROR(VLOOKUP(P462,数据库!C:M,11,0),"")</f>
        <v/>
      </c>
      <c r="R462" t="str">
        <f t="shared" si="70"/>
        <v/>
      </c>
      <c r="S462">
        <f t="shared" si="71"/>
        <v>0</v>
      </c>
    </row>
    <row r="463" spans="1:19">
      <c r="A463" t="str">
        <f>IF(B463=0,"",发货清单!A463*10^6+COUNTIF($D$2:D463,D463)*10^3+ROW(A462))</f>
        <v/>
      </c>
      <c r="B463">
        <f>IFERROR(LEFT(发货清单!H463,SEARCH("-",发货清单!H463)-1),发货清单!H463)</f>
        <v>0</v>
      </c>
      <c r="C463" t="str">
        <f>IFERROR(VLOOKUP(发货清单!A463,数据库!A:D,4,0),"")</f>
        <v/>
      </c>
      <c r="D463" t="str">
        <f>IFERROR(VLOOKUP(发货清单!A463,数据库!A:C,3,0),"")</f>
        <v/>
      </c>
      <c r="E463">
        <f>发货清单!M463</f>
        <v>0</v>
      </c>
      <c r="F463">
        <f>发货清单!U463</f>
        <v>0</v>
      </c>
      <c r="G463" t="str">
        <f>IFERROR(VLOOKUP(发货清单!A463,数据库!A:B,2,0),"")</f>
        <v/>
      </c>
      <c r="H463">
        <f>发货清单!N463</f>
        <v>0</v>
      </c>
      <c r="I463" t="str">
        <f t="shared" si="63"/>
        <v/>
      </c>
      <c r="J463" t="str">
        <f t="shared" si="64"/>
        <v xml:space="preserve"> </v>
      </c>
      <c r="K463" t="str">
        <f t="shared" si="65"/>
        <v/>
      </c>
      <c r="L463" t="str">
        <f t="shared" si="66"/>
        <v/>
      </c>
      <c r="N463" s="245">
        <f t="shared" si="67"/>
        <v>0</v>
      </c>
      <c r="O463" s="245">
        <f t="shared" si="68"/>
        <v>0</v>
      </c>
      <c r="P463" t="str">
        <f t="shared" si="69"/>
        <v/>
      </c>
      <c r="Q463" t="str">
        <f>IFERROR(VLOOKUP(P463,数据库!C:M,11,0),"")</f>
        <v/>
      </c>
      <c r="R463" t="str">
        <f t="shared" si="70"/>
        <v/>
      </c>
      <c r="S463">
        <f t="shared" si="71"/>
        <v>0</v>
      </c>
    </row>
    <row r="464" spans="1:19">
      <c r="A464" t="str">
        <f>IF(B464=0,"",发货清单!A464*10^6+COUNTIF($D$2:D464,D464)*10^3+ROW(A463))</f>
        <v/>
      </c>
      <c r="B464">
        <f>IFERROR(LEFT(发货清单!H464,SEARCH("-",发货清单!H464)-1),发货清单!H464)</f>
        <v>0</v>
      </c>
      <c r="C464" t="str">
        <f>IFERROR(VLOOKUP(发货清单!A464,数据库!A:D,4,0),"")</f>
        <v/>
      </c>
      <c r="D464" t="str">
        <f>IFERROR(VLOOKUP(发货清单!A464,数据库!A:C,3,0),"")</f>
        <v/>
      </c>
      <c r="E464">
        <f>发货清单!M464</f>
        <v>0</v>
      </c>
      <c r="F464">
        <f>发货清单!U464</f>
        <v>0</v>
      </c>
      <c r="G464" t="str">
        <f>IFERROR(VLOOKUP(发货清单!A464,数据库!A:B,2,0),"")</f>
        <v/>
      </c>
      <c r="H464">
        <f>发货清单!N464</f>
        <v>0</v>
      </c>
      <c r="I464" t="str">
        <f t="shared" si="63"/>
        <v/>
      </c>
      <c r="J464" t="str">
        <f t="shared" si="64"/>
        <v xml:space="preserve"> </v>
      </c>
      <c r="K464" t="str">
        <f t="shared" si="65"/>
        <v/>
      </c>
      <c r="L464" t="str">
        <f t="shared" si="66"/>
        <v/>
      </c>
      <c r="N464" s="245">
        <f t="shared" si="67"/>
        <v>0</v>
      </c>
      <c r="O464" s="245">
        <f t="shared" si="68"/>
        <v>0</v>
      </c>
      <c r="P464" t="str">
        <f t="shared" si="69"/>
        <v/>
      </c>
      <c r="Q464" t="str">
        <f>IFERROR(VLOOKUP(P464,数据库!C:M,11,0),"")</f>
        <v/>
      </c>
      <c r="R464" t="str">
        <f t="shared" si="70"/>
        <v/>
      </c>
      <c r="S464">
        <f t="shared" si="71"/>
        <v>0</v>
      </c>
    </row>
    <row r="465" spans="1:19">
      <c r="A465" t="str">
        <f>IF(B465=0,"",发货清单!A465*10^6+COUNTIF($D$2:D465,D465)*10^3+ROW(A464))</f>
        <v/>
      </c>
      <c r="B465">
        <f>IFERROR(LEFT(发货清单!H465,SEARCH("-",发货清单!H465)-1),发货清单!H465)</f>
        <v>0</v>
      </c>
      <c r="C465" t="str">
        <f>IFERROR(VLOOKUP(发货清单!A465,数据库!A:D,4,0),"")</f>
        <v/>
      </c>
      <c r="D465" t="str">
        <f>IFERROR(VLOOKUP(发货清单!A465,数据库!A:C,3,0),"")</f>
        <v/>
      </c>
      <c r="E465">
        <f>发货清单!M465</f>
        <v>0</v>
      </c>
      <c r="F465">
        <f>发货清单!U465</f>
        <v>0</v>
      </c>
      <c r="G465" t="str">
        <f>IFERROR(VLOOKUP(发货清单!A465,数据库!A:B,2,0),"")</f>
        <v/>
      </c>
      <c r="H465">
        <f>发货清单!N465</f>
        <v>0</v>
      </c>
      <c r="I465" t="str">
        <f t="shared" si="63"/>
        <v/>
      </c>
      <c r="J465" t="str">
        <f t="shared" si="64"/>
        <v xml:space="preserve"> </v>
      </c>
      <c r="K465" t="str">
        <f t="shared" si="65"/>
        <v/>
      </c>
      <c r="L465" t="str">
        <f t="shared" si="66"/>
        <v/>
      </c>
      <c r="N465" s="245">
        <f t="shared" si="67"/>
        <v>0</v>
      </c>
      <c r="O465" s="245">
        <f t="shared" si="68"/>
        <v>0</v>
      </c>
      <c r="P465" t="str">
        <f t="shared" si="69"/>
        <v/>
      </c>
      <c r="Q465" t="str">
        <f>IFERROR(VLOOKUP(P465,数据库!C:M,11,0),"")</f>
        <v/>
      </c>
      <c r="R465" t="str">
        <f t="shared" si="70"/>
        <v/>
      </c>
      <c r="S465">
        <f t="shared" si="71"/>
        <v>0</v>
      </c>
    </row>
    <row r="466" spans="1:19">
      <c r="A466" t="str">
        <f>IF(B466=0,"",发货清单!A466*10^6+COUNTIF($D$2:D466,D466)*10^3+ROW(A465))</f>
        <v/>
      </c>
      <c r="B466">
        <f>IFERROR(LEFT(发货清单!H466,SEARCH("-",发货清单!H466)-1),发货清单!H466)</f>
        <v>0</v>
      </c>
      <c r="C466" t="str">
        <f>IFERROR(VLOOKUP(发货清单!A466,数据库!A:D,4,0),"")</f>
        <v/>
      </c>
      <c r="D466" t="str">
        <f>IFERROR(VLOOKUP(发货清单!A466,数据库!A:C,3,0),"")</f>
        <v/>
      </c>
      <c r="E466">
        <f>发货清单!M466</f>
        <v>0</v>
      </c>
      <c r="F466">
        <f>发货清单!U466</f>
        <v>0</v>
      </c>
      <c r="G466" t="str">
        <f>IFERROR(VLOOKUP(发货清单!A466,数据库!A:B,2,0),"")</f>
        <v/>
      </c>
      <c r="H466">
        <f>发货清单!N466</f>
        <v>0</v>
      </c>
      <c r="I466" t="str">
        <f t="shared" si="63"/>
        <v/>
      </c>
      <c r="J466" t="str">
        <f t="shared" si="64"/>
        <v xml:space="preserve"> </v>
      </c>
      <c r="K466" t="str">
        <f t="shared" si="65"/>
        <v/>
      </c>
      <c r="L466" t="str">
        <f t="shared" si="66"/>
        <v/>
      </c>
      <c r="N466" s="245">
        <f t="shared" si="67"/>
        <v>0</v>
      </c>
      <c r="O466" s="245">
        <f t="shared" si="68"/>
        <v>0</v>
      </c>
      <c r="P466" t="str">
        <f t="shared" si="69"/>
        <v/>
      </c>
      <c r="Q466" t="str">
        <f>IFERROR(VLOOKUP(P466,数据库!C:M,11,0),"")</f>
        <v/>
      </c>
      <c r="R466" t="str">
        <f t="shared" si="70"/>
        <v/>
      </c>
      <c r="S466">
        <f t="shared" si="71"/>
        <v>0</v>
      </c>
    </row>
    <row r="467" spans="1:19">
      <c r="A467" t="str">
        <f>IF(B467=0,"",发货清单!A467*10^6+COUNTIF($D$2:D467,D467)*10^3+ROW(A466))</f>
        <v/>
      </c>
      <c r="B467">
        <f>IFERROR(LEFT(发货清单!H467,SEARCH("-",发货清单!H467)-1),发货清单!H467)</f>
        <v>0</v>
      </c>
      <c r="C467" t="str">
        <f>IFERROR(VLOOKUP(发货清单!A467,数据库!A:D,4,0),"")</f>
        <v/>
      </c>
      <c r="D467" t="str">
        <f>IFERROR(VLOOKUP(发货清单!A467,数据库!A:C,3,0),"")</f>
        <v/>
      </c>
      <c r="E467">
        <f>发货清单!M467</f>
        <v>0</v>
      </c>
      <c r="F467">
        <f>发货清单!U467</f>
        <v>0</v>
      </c>
      <c r="G467" t="str">
        <f>IFERROR(VLOOKUP(发货清单!A467,数据库!A:B,2,0),"")</f>
        <v/>
      </c>
      <c r="H467">
        <f>发货清单!N467</f>
        <v>0</v>
      </c>
      <c r="I467" t="str">
        <f t="shared" si="63"/>
        <v/>
      </c>
      <c r="J467" t="str">
        <f t="shared" si="64"/>
        <v xml:space="preserve"> </v>
      </c>
      <c r="K467" t="str">
        <f t="shared" si="65"/>
        <v/>
      </c>
      <c r="L467" t="str">
        <f t="shared" si="66"/>
        <v/>
      </c>
      <c r="N467" s="245">
        <f t="shared" si="67"/>
        <v>0</v>
      </c>
      <c r="O467" s="245">
        <f t="shared" si="68"/>
        <v>0</v>
      </c>
      <c r="P467" t="str">
        <f t="shared" si="69"/>
        <v/>
      </c>
      <c r="Q467" t="str">
        <f>IFERROR(VLOOKUP(P467,数据库!C:M,11,0),"")</f>
        <v/>
      </c>
      <c r="R467" t="str">
        <f t="shared" si="70"/>
        <v/>
      </c>
      <c r="S467">
        <f t="shared" si="71"/>
        <v>0</v>
      </c>
    </row>
    <row r="468" spans="1:19">
      <c r="A468" t="str">
        <f>IF(B468=0,"",发货清单!A468*10^6+COUNTIF($D$2:D468,D468)*10^3+ROW(A467))</f>
        <v/>
      </c>
      <c r="B468">
        <f>IFERROR(LEFT(发货清单!H468,SEARCH("-",发货清单!H468)-1),发货清单!H468)</f>
        <v>0</v>
      </c>
      <c r="C468" t="str">
        <f>IFERROR(VLOOKUP(发货清单!A468,数据库!A:D,4,0),"")</f>
        <v/>
      </c>
      <c r="D468" t="str">
        <f>IFERROR(VLOOKUP(发货清单!A468,数据库!A:C,3,0),"")</f>
        <v/>
      </c>
      <c r="E468">
        <f>发货清单!M468</f>
        <v>0</v>
      </c>
      <c r="F468">
        <f>发货清单!U468</f>
        <v>0</v>
      </c>
      <c r="G468" t="str">
        <f>IFERROR(VLOOKUP(发货清单!A468,数据库!A:B,2,0),"")</f>
        <v/>
      </c>
      <c r="H468">
        <f>发货清单!N468</f>
        <v>0</v>
      </c>
      <c r="I468" t="str">
        <f t="shared" si="63"/>
        <v/>
      </c>
      <c r="J468" t="str">
        <f t="shared" si="64"/>
        <v xml:space="preserve"> </v>
      </c>
      <c r="K468" t="str">
        <f t="shared" si="65"/>
        <v/>
      </c>
      <c r="L468" t="str">
        <f t="shared" si="66"/>
        <v/>
      </c>
      <c r="N468" s="245">
        <f t="shared" si="67"/>
        <v>0</v>
      </c>
      <c r="O468" s="245">
        <f t="shared" si="68"/>
        <v>0</v>
      </c>
      <c r="P468" t="str">
        <f t="shared" si="69"/>
        <v/>
      </c>
      <c r="Q468" t="str">
        <f>IFERROR(VLOOKUP(P468,数据库!C:M,11,0),"")</f>
        <v/>
      </c>
      <c r="R468" t="str">
        <f t="shared" si="70"/>
        <v/>
      </c>
      <c r="S468">
        <f t="shared" si="71"/>
        <v>0</v>
      </c>
    </row>
    <row r="469" spans="1:19">
      <c r="A469" t="str">
        <f>IF(B469=0,"",发货清单!A469*10^6+COUNTIF($D$2:D469,D469)*10^3+ROW(A468))</f>
        <v/>
      </c>
      <c r="B469">
        <f>IFERROR(LEFT(发货清单!H469,SEARCH("-",发货清单!H469)-1),发货清单!H469)</f>
        <v>0</v>
      </c>
      <c r="C469" t="str">
        <f>IFERROR(VLOOKUP(发货清单!A469,数据库!A:D,4,0),"")</f>
        <v/>
      </c>
      <c r="D469" t="str">
        <f>IFERROR(VLOOKUP(发货清单!A469,数据库!A:C,3,0),"")</f>
        <v/>
      </c>
      <c r="E469">
        <f>发货清单!M469</f>
        <v>0</v>
      </c>
      <c r="F469">
        <f>发货清单!U469</f>
        <v>0</v>
      </c>
      <c r="G469" t="str">
        <f>IFERROR(VLOOKUP(发货清单!A469,数据库!A:B,2,0),"")</f>
        <v/>
      </c>
      <c r="H469">
        <f>发货清单!N469</f>
        <v>0</v>
      </c>
      <c r="I469" t="str">
        <f t="shared" si="63"/>
        <v/>
      </c>
      <c r="J469" t="str">
        <f t="shared" si="64"/>
        <v xml:space="preserve"> </v>
      </c>
      <c r="K469" t="str">
        <f t="shared" si="65"/>
        <v/>
      </c>
      <c r="L469" t="str">
        <f t="shared" si="66"/>
        <v/>
      </c>
      <c r="N469" s="245">
        <f t="shared" si="67"/>
        <v>0</v>
      </c>
      <c r="O469" s="245">
        <f t="shared" si="68"/>
        <v>0</v>
      </c>
      <c r="P469" t="str">
        <f t="shared" si="69"/>
        <v/>
      </c>
      <c r="Q469" t="str">
        <f>IFERROR(VLOOKUP(P469,数据库!C:M,11,0),"")</f>
        <v/>
      </c>
      <c r="R469" t="str">
        <f t="shared" si="70"/>
        <v/>
      </c>
      <c r="S469">
        <f t="shared" si="71"/>
        <v>0</v>
      </c>
    </row>
    <row r="470" spans="1:19">
      <c r="A470" t="str">
        <f>IF(B470=0,"",发货清单!A470*10^6+COUNTIF($D$2:D470,D470)*10^3+ROW(A469))</f>
        <v/>
      </c>
      <c r="B470">
        <f>IFERROR(LEFT(发货清单!H470,SEARCH("-",发货清单!H470)-1),发货清单!H470)</f>
        <v>0</v>
      </c>
      <c r="C470" t="str">
        <f>IFERROR(VLOOKUP(发货清单!A470,数据库!A:D,4,0),"")</f>
        <v/>
      </c>
      <c r="D470" t="str">
        <f>IFERROR(VLOOKUP(发货清单!A470,数据库!A:C,3,0),"")</f>
        <v/>
      </c>
      <c r="E470">
        <f>发货清单!M470</f>
        <v>0</v>
      </c>
      <c r="F470">
        <f>发货清单!U470</f>
        <v>0</v>
      </c>
      <c r="G470" t="str">
        <f>IFERROR(VLOOKUP(发货清单!A470,数据库!A:B,2,0),"")</f>
        <v/>
      </c>
      <c r="H470">
        <f>发货清单!N470</f>
        <v>0</v>
      </c>
      <c r="I470" t="str">
        <f t="shared" si="63"/>
        <v/>
      </c>
      <c r="J470" t="str">
        <f t="shared" si="64"/>
        <v xml:space="preserve"> </v>
      </c>
      <c r="K470" t="str">
        <f t="shared" si="65"/>
        <v/>
      </c>
      <c r="L470" t="str">
        <f t="shared" si="66"/>
        <v/>
      </c>
      <c r="N470" s="245">
        <f t="shared" si="67"/>
        <v>0</v>
      </c>
      <c r="O470" s="245">
        <f t="shared" si="68"/>
        <v>0</v>
      </c>
      <c r="P470" t="str">
        <f t="shared" si="69"/>
        <v/>
      </c>
      <c r="Q470" t="str">
        <f>IFERROR(VLOOKUP(P470,数据库!C:M,11,0),"")</f>
        <v/>
      </c>
      <c r="R470" t="str">
        <f t="shared" si="70"/>
        <v/>
      </c>
      <c r="S470">
        <f t="shared" si="71"/>
        <v>0</v>
      </c>
    </row>
    <row r="471" spans="1:19">
      <c r="A471" t="str">
        <f>IF(B471=0,"",发货清单!A471*10^6+COUNTIF($D$2:D471,D471)*10^3+ROW(A470))</f>
        <v/>
      </c>
      <c r="B471">
        <f>IFERROR(LEFT(发货清单!H471,SEARCH("-",发货清单!H471)-1),发货清单!H471)</f>
        <v>0</v>
      </c>
      <c r="C471" t="str">
        <f>IFERROR(VLOOKUP(发货清单!A471,数据库!A:D,4,0),"")</f>
        <v/>
      </c>
      <c r="D471" t="str">
        <f>IFERROR(VLOOKUP(发货清单!A471,数据库!A:C,3,0),"")</f>
        <v/>
      </c>
      <c r="E471">
        <f>发货清单!M471</f>
        <v>0</v>
      </c>
      <c r="F471">
        <f>发货清单!U471</f>
        <v>0</v>
      </c>
      <c r="G471" t="str">
        <f>IFERROR(VLOOKUP(发货清单!A471,数据库!A:B,2,0),"")</f>
        <v/>
      </c>
      <c r="H471">
        <f>发货清单!N471</f>
        <v>0</v>
      </c>
      <c r="I471" t="str">
        <f t="shared" si="63"/>
        <v/>
      </c>
      <c r="J471" t="str">
        <f t="shared" si="64"/>
        <v xml:space="preserve"> </v>
      </c>
      <c r="K471" t="str">
        <f t="shared" si="65"/>
        <v/>
      </c>
      <c r="L471" t="str">
        <f t="shared" si="66"/>
        <v/>
      </c>
      <c r="N471" s="245">
        <f t="shared" si="67"/>
        <v>0</v>
      </c>
      <c r="O471" s="245">
        <f t="shared" si="68"/>
        <v>0</v>
      </c>
      <c r="P471" t="str">
        <f t="shared" si="69"/>
        <v/>
      </c>
      <c r="Q471" t="str">
        <f>IFERROR(VLOOKUP(P471,数据库!C:M,11,0),"")</f>
        <v/>
      </c>
      <c r="R471" t="str">
        <f t="shared" si="70"/>
        <v/>
      </c>
      <c r="S471">
        <f t="shared" si="71"/>
        <v>0</v>
      </c>
    </row>
    <row r="472" spans="1:19">
      <c r="A472" t="str">
        <f>IF(B472=0,"",发货清单!A472*10^6+COUNTIF($D$2:D472,D472)*10^3+ROW(A471))</f>
        <v/>
      </c>
      <c r="B472">
        <f>IFERROR(LEFT(发货清单!H472,SEARCH("-",发货清单!H472)-1),发货清单!H472)</f>
        <v>0</v>
      </c>
      <c r="C472" t="str">
        <f>IFERROR(VLOOKUP(发货清单!A472,数据库!A:D,4,0),"")</f>
        <v/>
      </c>
      <c r="D472" t="str">
        <f>IFERROR(VLOOKUP(发货清单!A472,数据库!A:C,3,0),"")</f>
        <v/>
      </c>
      <c r="E472">
        <f>发货清单!M472</f>
        <v>0</v>
      </c>
      <c r="F472">
        <f>发货清单!U472</f>
        <v>0</v>
      </c>
      <c r="G472" t="str">
        <f>IFERROR(VLOOKUP(发货清单!A472,数据库!A:B,2,0),"")</f>
        <v/>
      </c>
      <c r="H472">
        <f>发货清单!N472</f>
        <v>0</v>
      </c>
      <c r="I472" t="str">
        <f t="shared" si="63"/>
        <v/>
      </c>
      <c r="J472" t="str">
        <f t="shared" si="64"/>
        <v xml:space="preserve"> </v>
      </c>
      <c r="K472" t="str">
        <f t="shared" si="65"/>
        <v/>
      </c>
      <c r="L472" t="str">
        <f t="shared" si="66"/>
        <v/>
      </c>
      <c r="N472" s="245">
        <f t="shared" si="67"/>
        <v>0</v>
      </c>
      <c r="O472" s="245">
        <f t="shared" si="68"/>
        <v>0</v>
      </c>
      <c r="P472" t="str">
        <f t="shared" si="69"/>
        <v/>
      </c>
      <c r="Q472" t="str">
        <f>IFERROR(VLOOKUP(P472,数据库!C:M,11,0),"")</f>
        <v/>
      </c>
      <c r="R472" t="str">
        <f t="shared" si="70"/>
        <v/>
      </c>
      <c r="S472">
        <f t="shared" si="71"/>
        <v>0</v>
      </c>
    </row>
    <row r="473" spans="1:19">
      <c r="A473" t="str">
        <f>IF(B473=0,"",发货清单!A473*10^6+COUNTIF($D$2:D473,D473)*10^3+ROW(A472))</f>
        <v/>
      </c>
      <c r="B473">
        <f>IFERROR(LEFT(发货清单!H473,SEARCH("-",发货清单!H473)-1),发货清单!H473)</f>
        <v>0</v>
      </c>
      <c r="C473" t="str">
        <f>IFERROR(VLOOKUP(发货清单!A473,数据库!A:D,4,0),"")</f>
        <v/>
      </c>
      <c r="D473" t="str">
        <f>IFERROR(VLOOKUP(发货清单!A473,数据库!A:C,3,0),"")</f>
        <v/>
      </c>
      <c r="E473">
        <f>发货清单!M473</f>
        <v>0</v>
      </c>
      <c r="F473">
        <f>发货清单!U473</f>
        <v>0</v>
      </c>
      <c r="G473" t="str">
        <f>IFERROR(VLOOKUP(发货清单!A473,数据库!A:B,2,0),"")</f>
        <v/>
      </c>
      <c r="H473">
        <f>发货清单!N473</f>
        <v>0</v>
      </c>
      <c r="I473" t="str">
        <f t="shared" si="63"/>
        <v/>
      </c>
      <c r="J473" t="str">
        <f t="shared" si="64"/>
        <v xml:space="preserve"> </v>
      </c>
      <c r="K473" t="str">
        <f t="shared" si="65"/>
        <v/>
      </c>
      <c r="L473" t="str">
        <f t="shared" si="66"/>
        <v/>
      </c>
      <c r="N473" s="245">
        <f t="shared" si="67"/>
        <v>0</v>
      </c>
      <c r="O473" s="245">
        <f t="shared" si="68"/>
        <v>0</v>
      </c>
      <c r="P473" t="str">
        <f t="shared" si="69"/>
        <v/>
      </c>
      <c r="Q473" t="str">
        <f>IFERROR(VLOOKUP(P473,数据库!C:M,11,0),"")</f>
        <v/>
      </c>
      <c r="R473" t="str">
        <f t="shared" si="70"/>
        <v/>
      </c>
      <c r="S473">
        <f t="shared" si="71"/>
        <v>0</v>
      </c>
    </row>
    <row r="474" spans="1:19">
      <c r="A474" t="str">
        <f>IF(B474=0,"",发货清单!A474*10^6+COUNTIF($D$2:D474,D474)*10^3+ROW(A473))</f>
        <v/>
      </c>
      <c r="B474">
        <f>IFERROR(LEFT(发货清单!H474,SEARCH("-",发货清单!H474)-1),发货清单!H474)</f>
        <v>0</v>
      </c>
      <c r="C474" t="str">
        <f>IFERROR(VLOOKUP(发货清单!A474,数据库!A:D,4,0),"")</f>
        <v/>
      </c>
      <c r="D474" t="str">
        <f>IFERROR(VLOOKUP(发货清单!A474,数据库!A:C,3,0),"")</f>
        <v/>
      </c>
      <c r="E474">
        <f>发货清单!M474</f>
        <v>0</v>
      </c>
      <c r="F474">
        <f>发货清单!U474</f>
        <v>0</v>
      </c>
      <c r="G474" t="str">
        <f>IFERROR(VLOOKUP(发货清单!A474,数据库!A:B,2,0),"")</f>
        <v/>
      </c>
      <c r="H474">
        <f>发货清单!N474</f>
        <v>0</v>
      </c>
      <c r="I474" t="str">
        <f t="shared" si="63"/>
        <v/>
      </c>
      <c r="J474" t="str">
        <f t="shared" si="64"/>
        <v xml:space="preserve"> </v>
      </c>
      <c r="K474" t="str">
        <f t="shared" si="65"/>
        <v/>
      </c>
      <c r="L474" t="str">
        <f t="shared" si="66"/>
        <v/>
      </c>
      <c r="N474" s="245">
        <f t="shared" si="67"/>
        <v>0</v>
      </c>
      <c r="O474" s="245">
        <f t="shared" si="68"/>
        <v>0</v>
      </c>
      <c r="P474" t="str">
        <f t="shared" si="69"/>
        <v/>
      </c>
      <c r="Q474" t="str">
        <f>IFERROR(VLOOKUP(P474,数据库!C:M,11,0),"")</f>
        <v/>
      </c>
      <c r="R474" t="str">
        <f t="shared" si="70"/>
        <v/>
      </c>
      <c r="S474">
        <f t="shared" si="71"/>
        <v>0</v>
      </c>
    </row>
    <row r="475" spans="1:19">
      <c r="A475" t="str">
        <f>IF(B475=0,"",发货清单!A475*10^6+COUNTIF($D$2:D475,D475)*10^3+ROW(A474))</f>
        <v/>
      </c>
      <c r="B475">
        <f>IFERROR(LEFT(发货清单!H475,SEARCH("-",发货清单!H475)-1),发货清单!H475)</f>
        <v>0</v>
      </c>
      <c r="C475" t="str">
        <f>IFERROR(VLOOKUP(发货清单!A475,数据库!A:D,4,0),"")</f>
        <v/>
      </c>
      <c r="D475" t="str">
        <f>IFERROR(VLOOKUP(发货清单!A475,数据库!A:C,3,0),"")</f>
        <v/>
      </c>
      <c r="E475">
        <f>发货清单!M475</f>
        <v>0</v>
      </c>
      <c r="F475">
        <f>发货清单!U475</f>
        <v>0</v>
      </c>
      <c r="G475" t="str">
        <f>IFERROR(VLOOKUP(发货清单!A475,数据库!A:B,2,0),"")</f>
        <v/>
      </c>
      <c r="H475">
        <f>发货清单!N475</f>
        <v>0</v>
      </c>
      <c r="I475" t="str">
        <f t="shared" si="63"/>
        <v/>
      </c>
      <c r="J475" t="str">
        <f t="shared" si="64"/>
        <v xml:space="preserve"> </v>
      </c>
      <c r="K475" t="str">
        <f t="shared" si="65"/>
        <v/>
      </c>
      <c r="L475" t="str">
        <f t="shared" si="66"/>
        <v/>
      </c>
      <c r="N475" s="245">
        <f t="shared" si="67"/>
        <v>0</v>
      </c>
      <c r="O475" s="245">
        <f t="shared" si="68"/>
        <v>0</v>
      </c>
      <c r="P475" t="str">
        <f t="shared" si="69"/>
        <v/>
      </c>
      <c r="Q475" t="str">
        <f>IFERROR(VLOOKUP(P475,数据库!C:M,11,0),"")</f>
        <v/>
      </c>
      <c r="R475" t="str">
        <f t="shared" si="70"/>
        <v/>
      </c>
      <c r="S475">
        <f t="shared" si="71"/>
        <v>0</v>
      </c>
    </row>
    <row r="476" spans="1:19">
      <c r="A476" t="str">
        <f>IF(B476=0,"",发货清单!A476*10^6+COUNTIF($D$2:D476,D476)*10^3+ROW(A475))</f>
        <v/>
      </c>
      <c r="B476">
        <f>IFERROR(LEFT(发货清单!H476,SEARCH("-",发货清单!H476)-1),发货清单!H476)</f>
        <v>0</v>
      </c>
      <c r="C476" t="str">
        <f>IFERROR(VLOOKUP(发货清单!A476,数据库!A:D,4,0),"")</f>
        <v/>
      </c>
      <c r="D476" t="str">
        <f>IFERROR(VLOOKUP(发货清单!A476,数据库!A:C,3,0),"")</f>
        <v/>
      </c>
      <c r="E476">
        <f>发货清单!M476</f>
        <v>0</v>
      </c>
      <c r="F476">
        <f>发货清单!U476</f>
        <v>0</v>
      </c>
      <c r="G476" t="str">
        <f>IFERROR(VLOOKUP(发货清单!A476,数据库!A:B,2,0),"")</f>
        <v/>
      </c>
      <c r="H476">
        <f>发货清单!N476</f>
        <v>0</v>
      </c>
      <c r="I476" t="str">
        <f t="shared" si="63"/>
        <v/>
      </c>
      <c r="J476" t="str">
        <f t="shared" si="64"/>
        <v xml:space="preserve"> </v>
      </c>
      <c r="K476" t="str">
        <f t="shared" si="65"/>
        <v/>
      </c>
      <c r="L476" t="str">
        <f t="shared" si="66"/>
        <v/>
      </c>
      <c r="N476" s="245">
        <f t="shared" si="67"/>
        <v>0</v>
      </c>
      <c r="O476" s="245">
        <f t="shared" si="68"/>
        <v>0</v>
      </c>
      <c r="P476" t="str">
        <f t="shared" si="69"/>
        <v/>
      </c>
      <c r="Q476" t="str">
        <f>IFERROR(VLOOKUP(P476,数据库!C:M,11,0),"")</f>
        <v/>
      </c>
      <c r="R476" t="str">
        <f t="shared" si="70"/>
        <v/>
      </c>
      <c r="S476">
        <f t="shared" si="71"/>
        <v>0</v>
      </c>
    </row>
    <row r="477" spans="1:19">
      <c r="A477" t="str">
        <f>IF(B477=0,"",发货清单!A477*10^6+COUNTIF($D$2:D477,D477)*10^3+ROW(A476))</f>
        <v/>
      </c>
      <c r="B477">
        <f>IFERROR(LEFT(发货清单!H477,SEARCH("-",发货清单!H477)-1),发货清单!H477)</f>
        <v>0</v>
      </c>
      <c r="C477" t="str">
        <f>IFERROR(VLOOKUP(发货清单!A477,数据库!A:D,4,0),"")</f>
        <v/>
      </c>
      <c r="D477" t="str">
        <f>IFERROR(VLOOKUP(发货清单!A477,数据库!A:C,3,0),"")</f>
        <v/>
      </c>
      <c r="E477">
        <f>发货清单!M477</f>
        <v>0</v>
      </c>
      <c r="F477">
        <f>发货清单!U477</f>
        <v>0</v>
      </c>
      <c r="G477" t="str">
        <f>IFERROR(VLOOKUP(发货清单!A477,数据库!A:B,2,0),"")</f>
        <v/>
      </c>
      <c r="H477">
        <f>发货清单!N477</f>
        <v>0</v>
      </c>
      <c r="I477" t="str">
        <f t="shared" si="63"/>
        <v/>
      </c>
      <c r="J477" t="str">
        <f t="shared" si="64"/>
        <v xml:space="preserve"> </v>
      </c>
      <c r="K477" t="str">
        <f t="shared" si="65"/>
        <v/>
      </c>
      <c r="L477" t="str">
        <f t="shared" si="66"/>
        <v/>
      </c>
      <c r="N477" s="245">
        <f t="shared" si="67"/>
        <v>0</v>
      </c>
      <c r="O477" s="245">
        <f t="shared" si="68"/>
        <v>0</v>
      </c>
      <c r="P477" t="str">
        <f t="shared" si="69"/>
        <v/>
      </c>
      <c r="Q477" t="str">
        <f>IFERROR(VLOOKUP(P477,数据库!C:M,11,0),"")</f>
        <v/>
      </c>
      <c r="R477" t="str">
        <f t="shared" si="70"/>
        <v/>
      </c>
      <c r="S477">
        <f t="shared" si="71"/>
        <v>0</v>
      </c>
    </row>
    <row r="478" spans="1:19">
      <c r="A478" t="str">
        <f>IF(B478=0,"",发货清单!A478*10^6+COUNTIF($D$2:D478,D478)*10^3+ROW(A477))</f>
        <v/>
      </c>
      <c r="B478">
        <f>IFERROR(LEFT(发货清单!H478,SEARCH("-",发货清单!H478)-1),发货清单!H478)</f>
        <v>0</v>
      </c>
      <c r="C478" t="str">
        <f>IFERROR(VLOOKUP(发货清单!A478,数据库!A:D,4,0),"")</f>
        <v/>
      </c>
      <c r="D478" t="str">
        <f>IFERROR(VLOOKUP(发货清单!A478,数据库!A:C,3,0),"")</f>
        <v/>
      </c>
      <c r="E478">
        <f>发货清单!M478</f>
        <v>0</v>
      </c>
      <c r="F478">
        <f>发货清单!U478</f>
        <v>0</v>
      </c>
      <c r="G478" t="str">
        <f>IFERROR(VLOOKUP(发货清单!A478,数据库!A:B,2,0),"")</f>
        <v/>
      </c>
      <c r="H478">
        <f>发货清单!N478</f>
        <v>0</v>
      </c>
      <c r="I478" t="str">
        <f t="shared" si="63"/>
        <v/>
      </c>
      <c r="J478" t="str">
        <f t="shared" si="64"/>
        <v xml:space="preserve"> </v>
      </c>
      <c r="K478" t="str">
        <f t="shared" si="65"/>
        <v/>
      </c>
      <c r="L478" t="str">
        <f t="shared" si="66"/>
        <v/>
      </c>
      <c r="N478" s="245">
        <f t="shared" si="67"/>
        <v>0</v>
      </c>
      <c r="O478" s="245">
        <f t="shared" si="68"/>
        <v>0</v>
      </c>
      <c r="P478" t="str">
        <f t="shared" si="69"/>
        <v/>
      </c>
      <c r="Q478" t="str">
        <f>IFERROR(VLOOKUP(P478,数据库!C:M,11,0),"")</f>
        <v/>
      </c>
      <c r="R478" t="str">
        <f t="shared" si="70"/>
        <v/>
      </c>
      <c r="S478">
        <f t="shared" si="71"/>
        <v>0</v>
      </c>
    </row>
    <row r="479" spans="1:19">
      <c r="A479" t="str">
        <f>IF(B479=0,"",发货清单!A479*10^6+COUNTIF($D$2:D479,D479)*10^3+ROW(A478))</f>
        <v/>
      </c>
      <c r="B479">
        <f>IFERROR(LEFT(发货清单!H479,SEARCH("-",发货清单!H479)-1),发货清单!H479)</f>
        <v>0</v>
      </c>
      <c r="C479" t="str">
        <f>IFERROR(VLOOKUP(发货清单!A479,数据库!A:D,4,0),"")</f>
        <v/>
      </c>
      <c r="D479" t="str">
        <f>IFERROR(VLOOKUP(发货清单!A479,数据库!A:C,3,0),"")</f>
        <v/>
      </c>
      <c r="E479">
        <f>发货清单!M479</f>
        <v>0</v>
      </c>
      <c r="F479">
        <f>发货清单!U479</f>
        <v>0</v>
      </c>
      <c r="G479" t="str">
        <f>IFERROR(VLOOKUP(发货清单!A479,数据库!A:B,2,0),"")</f>
        <v/>
      </c>
      <c r="H479">
        <f>发货清单!N479</f>
        <v>0</v>
      </c>
      <c r="I479" t="str">
        <f t="shared" si="63"/>
        <v/>
      </c>
      <c r="J479" t="str">
        <f t="shared" si="64"/>
        <v xml:space="preserve"> </v>
      </c>
      <c r="K479" t="str">
        <f t="shared" si="65"/>
        <v/>
      </c>
      <c r="L479" t="str">
        <f t="shared" si="66"/>
        <v/>
      </c>
      <c r="N479" s="245">
        <f t="shared" si="67"/>
        <v>0</v>
      </c>
      <c r="O479" s="245">
        <f t="shared" si="68"/>
        <v>0</v>
      </c>
      <c r="P479" t="str">
        <f t="shared" si="69"/>
        <v/>
      </c>
      <c r="Q479" t="str">
        <f>IFERROR(VLOOKUP(P479,数据库!C:M,11,0),"")</f>
        <v/>
      </c>
      <c r="R479" t="str">
        <f t="shared" si="70"/>
        <v/>
      </c>
      <c r="S479">
        <f t="shared" si="71"/>
        <v>0</v>
      </c>
    </row>
    <row r="480" spans="1:19">
      <c r="A480" t="str">
        <f>IF(B480=0,"",发货清单!A480*10^6+COUNTIF($D$2:D480,D480)*10^3+ROW(A479))</f>
        <v/>
      </c>
      <c r="B480">
        <f>IFERROR(LEFT(发货清单!H480,SEARCH("-",发货清单!H480)-1),发货清单!H480)</f>
        <v>0</v>
      </c>
      <c r="C480" t="str">
        <f>IFERROR(VLOOKUP(发货清单!A480,数据库!A:D,4,0),"")</f>
        <v/>
      </c>
      <c r="D480" t="str">
        <f>IFERROR(VLOOKUP(发货清单!A480,数据库!A:C,3,0),"")</f>
        <v/>
      </c>
      <c r="E480">
        <f>发货清单!M480</f>
        <v>0</v>
      </c>
      <c r="F480">
        <f>发货清单!U480</f>
        <v>0</v>
      </c>
      <c r="G480" t="str">
        <f>IFERROR(VLOOKUP(发货清单!A480,数据库!A:B,2,0),"")</f>
        <v/>
      </c>
      <c r="H480">
        <f>发货清单!N480</f>
        <v>0</v>
      </c>
      <c r="I480" t="str">
        <f t="shared" si="63"/>
        <v/>
      </c>
      <c r="J480" t="str">
        <f t="shared" si="64"/>
        <v xml:space="preserve"> </v>
      </c>
      <c r="K480" t="str">
        <f t="shared" si="65"/>
        <v/>
      </c>
      <c r="L480" t="str">
        <f t="shared" si="66"/>
        <v/>
      </c>
      <c r="N480" s="245">
        <f t="shared" si="67"/>
        <v>0</v>
      </c>
      <c r="O480" s="245">
        <f t="shared" si="68"/>
        <v>0</v>
      </c>
      <c r="P480" t="str">
        <f t="shared" si="69"/>
        <v/>
      </c>
      <c r="Q480" t="str">
        <f>IFERROR(VLOOKUP(P480,数据库!C:M,11,0),"")</f>
        <v/>
      </c>
      <c r="R480" t="str">
        <f t="shared" si="70"/>
        <v/>
      </c>
      <c r="S480">
        <f t="shared" si="71"/>
        <v>0</v>
      </c>
    </row>
    <row r="481" spans="1:19">
      <c r="A481" t="str">
        <f>IF(B481=0,"",发货清单!A481*10^6+COUNTIF($D$2:D481,D481)*10^3+ROW(A480))</f>
        <v/>
      </c>
      <c r="B481">
        <f>IFERROR(LEFT(发货清单!H481,SEARCH("-",发货清单!H481)-1),发货清单!H481)</f>
        <v>0</v>
      </c>
      <c r="C481" t="str">
        <f>IFERROR(VLOOKUP(发货清单!A481,数据库!A:D,4,0),"")</f>
        <v/>
      </c>
      <c r="D481" t="str">
        <f>IFERROR(VLOOKUP(发货清单!A481,数据库!A:C,3,0),"")</f>
        <v/>
      </c>
      <c r="E481">
        <f>发货清单!M481</f>
        <v>0</v>
      </c>
      <c r="F481">
        <f>发货清单!U481</f>
        <v>0</v>
      </c>
      <c r="G481" t="str">
        <f>IFERROR(VLOOKUP(发货清单!A481,数据库!A:B,2,0),"")</f>
        <v/>
      </c>
      <c r="H481">
        <f>发货清单!N481</f>
        <v>0</v>
      </c>
      <c r="I481" t="str">
        <f t="shared" si="63"/>
        <v/>
      </c>
      <c r="J481" t="str">
        <f t="shared" si="64"/>
        <v xml:space="preserve"> </v>
      </c>
      <c r="K481" t="str">
        <f t="shared" si="65"/>
        <v/>
      </c>
      <c r="L481" t="str">
        <f t="shared" si="66"/>
        <v/>
      </c>
      <c r="N481" s="245">
        <f t="shared" si="67"/>
        <v>0</v>
      </c>
      <c r="O481" s="245">
        <f t="shared" si="68"/>
        <v>0</v>
      </c>
      <c r="P481" t="str">
        <f t="shared" si="69"/>
        <v/>
      </c>
      <c r="Q481" t="str">
        <f>IFERROR(VLOOKUP(P481,数据库!C:M,11,0),"")</f>
        <v/>
      </c>
      <c r="R481" t="str">
        <f t="shared" si="70"/>
        <v/>
      </c>
      <c r="S481">
        <f t="shared" si="71"/>
        <v>0</v>
      </c>
    </row>
    <row r="482" spans="1:19">
      <c r="A482" t="str">
        <f>IF(B482=0,"",发货清单!A482*10^6+COUNTIF($D$2:D482,D482)*10^3+ROW(A481))</f>
        <v/>
      </c>
      <c r="B482">
        <f>IFERROR(LEFT(发货清单!H482,SEARCH("-",发货清单!H482)-1),发货清单!H482)</f>
        <v>0</v>
      </c>
      <c r="C482" t="str">
        <f>IFERROR(VLOOKUP(发货清单!A482,数据库!A:D,4,0),"")</f>
        <v/>
      </c>
      <c r="D482" t="str">
        <f>IFERROR(VLOOKUP(发货清单!A482,数据库!A:C,3,0),"")</f>
        <v/>
      </c>
      <c r="E482">
        <f>发货清单!M482</f>
        <v>0</v>
      </c>
      <c r="F482">
        <f>发货清单!U482</f>
        <v>0</v>
      </c>
      <c r="G482" t="str">
        <f>IFERROR(VLOOKUP(发货清单!A482,数据库!A:B,2,0),"")</f>
        <v/>
      </c>
      <c r="H482">
        <f>发货清单!N482</f>
        <v>0</v>
      </c>
      <c r="I482" t="str">
        <f t="shared" si="63"/>
        <v/>
      </c>
      <c r="J482" t="str">
        <f t="shared" si="64"/>
        <v xml:space="preserve"> </v>
      </c>
      <c r="K482" t="str">
        <f t="shared" si="65"/>
        <v/>
      </c>
      <c r="L482" t="str">
        <f t="shared" si="66"/>
        <v/>
      </c>
      <c r="N482" s="245">
        <f t="shared" si="67"/>
        <v>0</v>
      </c>
      <c r="O482" s="245">
        <f t="shared" si="68"/>
        <v>0</v>
      </c>
      <c r="P482" t="str">
        <f t="shared" si="69"/>
        <v/>
      </c>
      <c r="Q482" t="str">
        <f>IFERROR(VLOOKUP(P482,数据库!C:M,11,0),"")</f>
        <v/>
      </c>
      <c r="R482" t="str">
        <f t="shared" si="70"/>
        <v/>
      </c>
      <c r="S482">
        <f t="shared" si="71"/>
        <v>0</v>
      </c>
    </row>
    <row r="483" spans="1:19">
      <c r="A483" t="str">
        <f>IF(B483=0,"",发货清单!A483*10^6+COUNTIF($D$2:D483,D483)*10^3+ROW(A482))</f>
        <v/>
      </c>
      <c r="B483">
        <f>IFERROR(LEFT(发货清单!H483,SEARCH("-",发货清单!H483)-1),发货清单!H483)</f>
        <v>0</v>
      </c>
      <c r="C483" t="str">
        <f>IFERROR(VLOOKUP(发货清单!A483,数据库!A:D,4,0),"")</f>
        <v/>
      </c>
      <c r="D483" t="str">
        <f>IFERROR(VLOOKUP(发货清单!A483,数据库!A:C,3,0),"")</f>
        <v/>
      </c>
      <c r="E483">
        <f>发货清单!M483</f>
        <v>0</v>
      </c>
      <c r="F483">
        <f>发货清单!U483</f>
        <v>0</v>
      </c>
      <c r="G483" t="str">
        <f>IFERROR(VLOOKUP(发货清单!A483,数据库!A:B,2,0),"")</f>
        <v/>
      </c>
      <c r="H483">
        <f>发货清单!N483</f>
        <v>0</v>
      </c>
      <c r="I483" t="str">
        <f t="shared" si="63"/>
        <v/>
      </c>
      <c r="J483" t="str">
        <f t="shared" si="64"/>
        <v xml:space="preserve"> </v>
      </c>
      <c r="K483" t="str">
        <f t="shared" si="65"/>
        <v/>
      </c>
      <c r="L483" t="str">
        <f t="shared" si="66"/>
        <v/>
      </c>
      <c r="N483" s="245">
        <f t="shared" si="67"/>
        <v>0</v>
      </c>
      <c r="O483" s="245">
        <f t="shared" si="68"/>
        <v>0</v>
      </c>
      <c r="P483" t="str">
        <f t="shared" si="69"/>
        <v/>
      </c>
      <c r="Q483" t="str">
        <f>IFERROR(VLOOKUP(P483,数据库!C:M,11,0),"")</f>
        <v/>
      </c>
      <c r="R483" t="str">
        <f t="shared" si="70"/>
        <v/>
      </c>
      <c r="S483">
        <f t="shared" si="71"/>
        <v>0</v>
      </c>
    </row>
    <row r="484" spans="1:19">
      <c r="A484" t="str">
        <f>IF(B484=0,"",发货清单!A484*10^6+COUNTIF($D$2:D484,D484)*10^3+ROW(A483))</f>
        <v/>
      </c>
      <c r="B484">
        <f>IFERROR(LEFT(发货清单!H484,SEARCH("-",发货清单!H484)-1),发货清单!H484)</f>
        <v>0</v>
      </c>
      <c r="C484" t="str">
        <f>IFERROR(VLOOKUP(发货清单!A484,数据库!A:D,4,0),"")</f>
        <v/>
      </c>
      <c r="D484" t="str">
        <f>IFERROR(VLOOKUP(发货清单!A484,数据库!A:C,3,0),"")</f>
        <v/>
      </c>
      <c r="E484">
        <f>发货清单!M484</f>
        <v>0</v>
      </c>
      <c r="F484">
        <f>发货清单!U484</f>
        <v>0</v>
      </c>
      <c r="G484" t="str">
        <f>IFERROR(VLOOKUP(发货清单!A484,数据库!A:B,2,0),"")</f>
        <v/>
      </c>
      <c r="H484">
        <f>发货清单!N484</f>
        <v>0</v>
      </c>
      <c r="I484" t="str">
        <f t="shared" si="63"/>
        <v/>
      </c>
      <c r="J484" t="str">
        <f t="shared" si="64"/>
        <v xml:space="preserve"> </v>
      </c>
      <c r="K484" t="str">
        <f t="shared" si="65"/>
        <v/>
      </c>
      <c r="L484" t="str">
        <f t="shared" si="66"/>
        <v/>
      </c>
      <c r="N484" s="245">
        <f t="shared" si="67"/>
        <v>0</v>
      </c>
      <c r="O484" s="245">
        <f t="shared" si="68"/>
        <v>0</v>
      </c>
      <c r="P484" t="str">
        <f t="shared" si="69"/>
        <v/>
      </c>
      <c r="Q484" t="str">
        <f>IFERROR(VLOOKUP(P484,数据库!C:M,11,0),"")</f>
        <v/>
      </c>
      <c r="R484" t="str">
        <f t="shared" si="70"/>
        <v/>
      </c>
      <c r="S484">
        <f t="shared" si="71"/>
        <v>0</v>
      </c>
    </row>
    <row r="485" spans="1:19">
      <c r="A485" t="str">
        <f>IF(B485=0,"",发货清单!A485*10^6+COUNTIF($D$2:D485,D485)*10^3+ROW(A484))</f>
        <v/>
      </c>
      <c r="B485">
        <f>IFERROR(LEFT(发货清单!H485,SEARCH("-",发货清单!H485)-1),发货清单!H485)</f>
        <v>0</v>
      </c>
      <c r="C485" t="str">
        <f>IFERROR(VLOOKUP(发货清单!A485,数据库!A:D,4,0),"")</f>
        <v/>
      </c>
      <c r="D485" t="str">
        <f>IFERROR(VLOOKUP(发货清单!A485,数据库!A:C,3,0),"")</f>
        <v/>
      </c>
      <c r="E485">
        <f>发货清单!M485</f>
        <v>0</v>
      </c>
      <c r="F485">
        <f>发货清单!U485</f>
        <v>0</v>
      </c>
      <c r="G485" t="str">
        <f>IFERROR(VLOOKUP(发货清单!A485,数据库!A:B,2,0),"")</f>
        <v/>
      </c>
      <c r="H485">
        <f>发货清单!N485</f>
        <v>0</v>
      </c>
      <c r="I485" t="str">
        <f t="shared" si="63"/>
        <v/>
      </c>
      <c r="J485" t="str">
        <f t="shared" si="64"/>
        <v xml:space="preserve"> </v>
      </c>
      <c r="K485" t="str">
        <f t="shared" si="65"/>
        <v/>
      </c>
      <c r="L485" t="str">
        <f t="shared" si="66"/>
        <v/>
      </c>
      <c r="N485" s="245">
        <f t="shared" si="67"/>
        <v>0</v>
      </c>
      <c r="O485" s="245">
        <f t="shared" si="68"/>
        <v>0</v>
      </c>
      <c r="P485" t="str">
        <f t="shared" si="69"/>
        <v/>
      </c>
      <c r="Q485" t="str">
        <f>IFERROR(VLOOKUP(P485,数据库!C:M,11,0),"")</f>
        <v/>
      </c>
      <c r="R485" t="str">
        <f t="shared" si="70"/>
        <v/>
      </c>
      <c r="S485">
        <f t="shared" si="71"/>
        <v>0</v>
      </c>
    </row>
    <row r="486" spans="1:19">
      <c r="A486" t="str">
        <f>IF(B486=0,"",发货清单!A486*10^6+COUNTIF($D$2:D486,D486)*10^3+ROW(A485))</f>
        <v/>
      </c>
      <c r="B486">
        <f>IFERROR(LEFT(发货清单!H486,SEARCH("-",发货清单!H486)-1),发货清单!H486)</f>
        <v>0</v>
      </c>
      <c r="C486" t="str">
        <f>IFERROR(VLOOKUP(发货清单!A486,数据库!A:D,4,0),"")</f>
        <v/>
      </c>
      <c r="D486" t="str">
        <f>IFERROR(VLOOKUP(发货清单!A486,数据库!A:C,3,0),"")</f>
        <v/>
      </c>
      <c r="E486">
        <f>发货清单!M486</f>
        <v>0</v>
      </c>
      <c r="F486">
        <f>发货清单!U486</f>
        <v>0</v>
      </c>
      <c r="G486" t="str">
        <f>IFERROR(VLOOKUP(发货清单!A486,数据库!A:B,2,0),"")</f>
        <v/>
      </c>
      <c r="H486">
        <f>发货清单!N486</f>
        <v>0</v>
      </c>
      <c r="I486" t="str">
        <f t="shared" si="63"/>
        <v/>
      </c>
      <c r="J486" t="str">
        <f t="shared" si="64"/>
        <v xml:space="preserve"> </v>
      </c>
      <c r="K486" t="str">
        <f t="shared" si="65"/>
        <v/>
      </c>
      <c r="L486" t="str">
        <f t="shared" si="66"/>
        <v/>
      </c>
      <c r="N486" s="245">
        <f t="shared" si="67"/>
        <v>0</v>
      </c>
      <c r="O486" s="245">
        <f t="shared" si="68"/>
        <v>0</v>
      </c>
      <c r="P486" t="str">
        <f t="shared" si="69"/>
        <v/>
      </c>
      <c r="Q486" t="str">
        <f>IFERROR(VLOOKUP(P486,数据库!C:M,11,0),"")</f>
        <v/>
      </c>
      <c r="R486" t="str">
        <f t="shared" si="70"/>
        <v/>
      </c>
      <c r="S486">
        <f t="shared" si="71"/>
        <v>0</v>
      </c>
    </row>
    <row r="487" spans="1:19">
      <c r="A487" t="str">
        <f>IF(B487=0,"",发货清单!A487*10^6+COUNTIF($D$2:D487,D487)*10^3+ROW(A486))</f>
        <v/>
      </c>
      <c r="B487">
        <f>IFERROR(LEFT(发货清单!H487,SEARCH("-",发货清单!H487)-1),发货清单!H487)</f>
        <v>0</v>
      </c>
      <c r="C487" t="str">
        <f>IFERROR(VLOOKUP(发货清单!A487,数据库!A:D,4,0),"")</f>
        <v/>
      </c>
      <c r="D487" t="str">
        <f>IFERROR(VLOOKUP(发货清单!A487,数据库!A:C,3,0),"")</f>
        <v/>
      </c>
      <c r="E487">
        <f>发货清单!M487</f>
        <v>0</v>
      </c>
      <c r="F487">
        <f>发货清单!U487</f>
        <v>0</v>
      </c>
      <c r="G487" t="str">
        <f>IFERROR(VLOOKUP(发货清单!A487,数据库!A:B,2,0),"")</f>
        <v/>
      </c>
      <c r="H487">
        <f>发货清单!N487</f>
        <v>0</v>
      </c>
      <c r="I487" t="str">
        <f t="shared" si="63"/>
        <v/>
      </c>
      <c r="J487" t="str">
        <f t="shared" si="64"/>
        <v xml:space="preserve"> </v>
      </c>
      <c r="K487" t="str">
        <f t="shared" si="65"/>
        <v/>
      </c>
      <c r="L487" t="str">
        <f t="shared" si="66"/>
        <v/>
      </c>
      <c r="N487" s="245">
        <f t="shared" si="67"/>
        <v>0</v>
      </c>
      <c r="O487" s="245">
        <f t="shared" si="68"/>
        <v>0</v>
      </c>
      <c r="P487" t="str">
        <f t="shared" si="69"/>
        <v/>
      </c>
      <c r="Q487" t="str">
        <f>IFERROR(VLOOKUP(P487,数据库!C:M,11,0),"")</f>
        <v/>
      </c>
      <c r="R487" t="str">
        <f t="shared" si="70"/>
        <v/>
      </c>
      <c r="S487">
        <f t="shared" si="71"/>
        <v>0</v>
      </c>
    </row>
    <row r="488" spans="1:19">
      <c r="A488" t="str">
        <f>IF(B488=0,"",发货清单!A488*10^6+COUNTIF($D$2:D488,D488)*10^3+ROW(A487))</f>
        <v/>
      </c>
      <c r="B488">
        <f>IFERROR(LEFT(发货清单!H488,SEARCH("-",发货清单!H488)-1),发货清单!H488)</f>
        <v>0</v>
      </c>
      <c r="C488" t="str">
        <f>IFERROR(VLOOKUP(发货清单!A488,数据库!A:D,4,0),"")</f>
        <v/>
      </c>
      <c r="D488" t="str">
        <f>IFERROR(VLOOKUP(发货清单!A488,数据库!A:C,3,0),"")</f>
        <v/>
      </c>
      <c r="E488">
        <f>发货清单!M488</f>
        <v>0</v>
      </c>
      <c r="F488">
        <f>发货清单!U488</f>
        <v>0</v>
      </c>
      <c r="G488" t="str">
        <f>IFERROR(VLOOKUP(发货清单!A488,数据库!A:B,2,0),"")</f>
        <v/>
      </c>
      <c r="H488">
        <f>发货清单!N488</f>
        <v>0</v>
      </c>
      <c r="I488" t="str">
        <f t="shared" si="63"/>
        <v/>
      </c>
      <c r="J488" t="str">
        <f t="shared" si="64"/>
        <v xml:space="preserve"> </v>
      </c>
      <c r="K488" t="str">
        <f t="shared" si="65"/>
        <v/>
      </c>
      <c r="L488" t="str">
        <f t="shared" si="66"/>
        <v/>
      </c>
      <c r="N488" s="245">
        <f t="shared" si="67"/>
        <v>0</v>
      </c>
      <c r="O488" s="245">
        <f t="shared" si="68"/>
        <v>0</v>
      </c>
      <c r="P488" t="str">
        <f t="shared" si="69"/>
        <v/>
      </c>
      <c r="Q488" t="str">
        <f>IFERROR(VLOOKUP(P488,数据库!C:M,11,0),"")</f>
        <v/>
      </c>
      <c r="R488" t="str">
        <f t="shared" si="70"/>
        <v/>
      </c>
      <c r="S488">
        <f t="shared" si="71"/>
        <v>0</v>
      </c>
    </row>
    <row r="489" spans="1:19">
      <c r="A489" t="str">
        <f>IF(B489=0,"",发货清单!A489*10^6+COUNTIF($D$2:D489,D489)*10^3+ROW(A488))</f>
        <v/>
      </c>
      <c r="B489">
        <f>IFERROR(LEFT(发货清单!H489,SEARCH("-",发货清单!H489)-1),发货清单!H489)</f>
        <v>0</v>
      </c>
      <c r="C489" t="str">
        <f>IFERROR(VLOOKUP(发货清单!A489,数据库!A:D,4,0),"")</f>
        <v/>
      </c>
      <c r="D489" t="str">
        <f>IFERROR(VLOOKUP(发货清单!A489,数据库!A:C,3,0),"")</f>
        <v/>
      </c>
      <c r="E489">
        <f>发货清单!M489</f>
        <v>0</v>
      </c>
      <c r="F489">
        <f>发货清单!U489</f>
        <v>0</v>
      </c>
      <c r="G489" t="str">
        <f>IFERROR(VLOOKUP(发货清单!A489,数据库!A:B,2,0),"")</f>
        <v/>
      </c>
      <c r="H489">
        <f>发货清单!N489</f>
        <v>0</v>
      </c>
      <c r="I489" t="str">
        <f t="shared" si="63"/>
        <v/>
      </c>
      <c r="J489" t="str">
        <f t="shared" si="64"/>
        <v xml:space="preserve"> </v>
      </c>
      <c r="K489" t="str">
        <f t="shared" si="65"/>
        <v/>
      </c>
      <c r="L489" t="str">
        <f t="shared" si="66"/>
        <v/>
      </c>
      <c r="N489" s="245">
        <f t="shared" si="67"/>
        <v>0</v>
      </c>
      <c r="O489" s="245">
        <f t="shared" si="68"/>
        <v>0</v>
      </c>
      <c r="P489" t="str">
        <f t="shared" si="69"/>
        <v/>
      </c>
      <c r="Q489" t="str">
        <f>IFERROR(VLOOKUP(P489,数据库!C:M,11,0),"")</f>
        <v/>
      </c>
      <c r="R489" t="str">
        <f t="shared" si="70"/>
        <v/>
      </c>
      <c r="S489">
        <f t="shared" si="71"/>
        <v>0</v>
      </c>
    </row>
    <row r="490" spans="1:19">
      <c r="A490" t="str">
        <f>IF(B490=0,"",发货清单!A490*10^6+COUNTIF($D$2:D490,D490)*10^3+ROW(A489))</f>
        <v/>
      </c>
      <c r="B490">
        <f>IFERROR(LEFT(发货清单!H490,SEARCH("-",发货清单!H490)-1),发货清单!H490)</f>
        <v>0</v>
      </c>
      <c r="C490" t="str">
        <f>IFERROR(VLOOKUP(发货清单!A490,数据库!A:D,4,0),"")</f>
        <v/>
      </c>
      <c r="D490" t="str">
        <f>IFERROR(VLOOKUP(发货清单!A490,数据库!A:C,3,0),"")</f>
        <v/>
      </c>
      <c r="E490">
        <f>发货清单!M490</f>
        <v>0</v>
      </c>
      <c r="F490">
        <f>发货清单!U490</f>
        <v>0</v>
      </c>
      <c r="G490" t="str">
        <f>IFERROR(VLOOKUP(发货清单!A490,数据库!A:B,2,0),"")</f>
        <v/>
      </c>
      <c r="H490">
        <f>发货清单!N490</f>
        <v>0</v>
      </c>
      <c r="I490" t="str">
        <f t="shared" si="63"/>
        <v/>
      </c>
      <c r="J490" t="str">
        <f t="shared" si="64"/>
        <v xml:space="preserve"> </v>
      </c>
      <c r="K490" t="str">
        <f t="shared" si="65"/>
        <v/>
      </c>
      <c r="L490" t="str">
        <f t="shared" si="66"/>
        <v/>
      </c>
      <c r="N490" s="245">
        <f t="shared" si="67"/>
        <v>0</v>
      </c>
      <c r="O490" s="245">
        <f t="shared" si="68"/>
        <v>0</v>
      </c>
      <c r="P490" t="str">
        <f t="shared" si="69"/>
        <v/>
      </c>
      <c r="Q490" t="str">
        <f>IFERROR(VLOOKUP(P490,数据库!C:M,11,0),"")</f>
        <v/>
      </c>
      <c r="R490" t="str">
        <f t="shared" si="70"/>
        <v/>
      </c>
      <c r="S490">
        <f t="shared" si="71"/>
        <v>0</v>
      </c>
    </row>
    <row r="491" spans="1:19">
      <c r="A491" t="str">
        <f>IF(B491=0,"",发货清单!A491*10^6+COUNTIF($D$2:D491,D491)*10^3+ROW(A490))</f>
        <v/>
      </c>
      <c r="B491">
        <f>IFERROR(LEFT(发货清单!H491,SEARCH("-",发货清单!H491)-1),发货清单!H491)</f>
        <v>0</v>
      </c>
      <c r="C491" t="str">
        <f>IFERROR(VLOOKUP(发货清单!A491,数据库!A:D,4,0),"")</f>
        <v/>
      </c>
      <c r="D491" t="str">
        <f>IFERROR(VLOOKUP(发货清单!A491,数据库!A:C,3,0),"")</f>
        <v/>
      </c>
      <c r="E491">
        <f>发货清单!M491</f>
        <v>0</v>
      </c>
      <c r="F491">
        <f>发货清单!U491</f>
        <v>0</v>
      </c>
      <c r="G491" t="str">
        <f>IFERROR(VLOOKUP(发货清单!A491,数据库!A:B,2,0),"")</f>
        <v/>
      </c>
      <c r="H491">
        <f>发货清单!N491</f>
        <v>0</v>
      </c>
      <c r="I491" t="str">
        <f t="shared" si="63"/>
        <v/>
      </c>
      <c r="J491" t="str">
        <f t="shared" si="64"/>
        <v xml:space="preserve"> </v>
      </c>
      <c r="K491" t="str">
        <f t="shared" si="65"/>
        <v/>
      </c>
      <c r="L491" t="str">
        <f t="shared" si="66"/>
        <v/>
      </c>
      <c r="N491" s="245">
        <f t="shared" si="67"/>
        <v>0</v>
      </c>
      <c r="O491" s="245">
        <f t="shared" si="68"/>
        <v>0</v>
      </c>
      <c r="P491" t="str">
        <f t="shared" si="69"/>
        <v/>
      </c>
      <c r="Q491" t="str">
        <f>IFERROR(VLOOKUP(P491,数据库!C:M,11,0),"")</f>
        <v/>
      </c>
      <c r="R491" t="str">
        <f t="shared" si="70"/>
        <v/>
      </c>
      <c r="S491">
        <f t="shared" si="71"/>
        <v>0</v>
      </c>
    </row>
    <row r="492" spans="1:19">
      <c r="A492" t="str">
        <f>IF(B492=0,"",发货清单!A492*10^6+COUNTIF($D$2:D492,D492)*10^3+ROW(A491))</f>
        <v/>
      </c>
      <c r="B492">
        <f>IFERROR(LEFT(发货清单!H492,SEARCH("-",发货清单!H492)-1),发货清单!H492)</f>
        <v>0</v>
      </c>
      <c r="C492" t="str">
        <f>IFERROR(VLOOKUP(发货清单!A492,数据库!A:D,4,0),"")</f>
        <v/>
      </c>
      <c r="D492" t="str">
        <f>IFERROR(VLOOKUP(发货清单!A492,数据库!A:C,3,0),"")</f>
        <v/>
      </c>
      <c r="E492">
        <f>发货清单!M492</f>
        <v>0</v>
      </c>
      <c r="F492">
        <f>发货清单!U492</f>
        <v>0</v>
      </c>
      <c r="G492" t="str">
        <f>IFERROR(VLOOKUP(发货清单!A492,数据库!A:B,2,0),"")</f>
        <v/>
      </c>
      <c r="H492">
        <f>发货清单!N492</f>
        <v>0</v>
      </c>
      <c r="I492" t="str">
        <f t="shared" si="63"/>
        <v/>
      </c>
      <c r="J492" t="str">
        <f t="shared" si="64"/>
        <v xml:space="preserve"> </v>
      </c>
      <c r="K492" t="str">
        <f t="shared" si="65"/>
        <v/>
      </c>
      <c r="L492" t="str">
        <f t="shared" si="66"/>
        <v/>
      </c>
      <c r="N492" s="245">
        <f t="shared" si="67"/>
        <v>0</v>
      </c>
      <c r="O492" s="245">
        <f t="shared" si="68"/>
        <v>0</v>
      </c>
      <c r="P492" t="str">
        <f t="shared" si="69"/>
        <v/>
      </c>
      <c r="Q492" t="str">
        <f>IFERROR(VLOOKUP(P492,数据库!C:M,11,0),"")</f>
        <v/>
      </c>
      <c r="R492" t="str">
        <f t="shared" si="70"/>
        <v/>
      </c>
      <c r="S492">
        <f t="shared" si="71"/>
        <v>0</v>
      </c>
    </row>
    <row r="493" spans="1:19">
      <c r="A493" t="str">
        <f>IF(B493=0,"",发货清单!A493*10^6+COUNTIF($D$2:D493,D493)*10^3+ROW(A492))</f>
        <v/>
      </c>
      <c r="B493">
        <f>IFERROR(LEFT(发货清单!H493,SEARCH("-",发货清单!H493)-1),发货清单!H493)</f>
        <v>0</v>
      </c>
      <c r="C493" t="str">
        <f>IFERROR(VLOOKUP(发货清单!A493,数据库!A:D,4,0),"")</f>
        <v/>
      </c>
      <c r="D493" t="str">
        <f>IFERROR(VLOOKUP(发货清单!A493,数据库!A:C,3,0),"")</f>
        <v/>
      </c>
      <c r="E493">
        <f>发货清单!M493</f>
        <v>0</v>
      </c>
      <c r="F493">
        <f>发货清单!U493</f>
        <v>0</v>
      </c>
      <c r="G493" t="str">
        <f>IFERROR(VLOOKUP(发货清单!A493,数据库!A:B,2,0),"")</f>
        <v/>
      </c>
      <c r="H493">
        <f>发货清单!N493</f>
        <v>0</v>
      </c>
      <c r="I493" t="str">
        <f t="shared" si="63"/>
        <v/>
      </c>
      <c r="J493" t="str">
        <f t="shared" si="64"/>
        <v xml:space="preserve"> </v>
      </c>
      <c r="K493" t="str">
        <f t="shared" si="65"/>
        <v/>
      </c>
      <c r="L493" t="str">
        <f t="shared" si="66"/>
        <v/>
      </c>
      <c r="N493" s="245">
        <f t="shared" si="67"/>
        <v>0</v>
      </c>
      <c r="O493" s="245">
        <f t="shared" si="68"/>
        <v>0</v>
      </c>
      <c r="P493" t="str">
        <f t="shared" si="69"/>
        <v/>
      </c>
      <c r="Q493" t="str">
        <f>IFERROR(VLOOKUP(P493,数据库!C:M,11,0),"")</f>
        <v/>
      </c>
      <c r="R493" t="str">
        <f t="shared" si="70"/>
        <v/>
      </c>
      <c r="S493">
        <f t="shared" si="71"/>
        <v>0</v>
      </c>
    </row>
    <row r="494" spans="1:19">
      <c r="A494" t="str">
        <f>IF(B494=0,"",发货清单!A494*10^6+COUNTIF($D$2:D494,D494)*10^3+ROW(A493))</f>
        <v/>
      </c>
      <c r="B494">
        <f>IFERROR(LEFT(发货清单!H494,SEARCH("-",发货清单!H494)-1),发货清单!H494)</f>
        <v>0</v>
      </c>
      <c r="C494" t="str">
        <f>IFERROR(VLOOKUP(发货清单!A494,数据库!A:D,4,0),"")</f>
        <v/>
      </c>
      <c r="D494" t="str">
        <f>IFERROR(VLOOKUP(发货清单!A494,数据库!A:C,3,0),"")</f>
        <v/>
      </c>
      <c r="E494">
        <f>发货清单!M494</f>
        <v>0</v>
      </c>
      <c r="F494">
        <f>发货清单!U494</f>
        <v>0</v>
      </c>
      <c r="G494" t="str">
        <f>IFERROR(VLOOKUP(发货清单!A494,数据库!A:B,2,0),"")</f>
        <v/>
      </c>
      <c r="H494">
        <f>发货清单!N494</f>
        <v>0</v>
      </c>
      <c r="I494" t="str">
        <f t="shared" si="63"/>
        <v/>
      </c>
      <c r="J494" t="str">
        <f t="shared" si="64"/>
        <v xml:space="preserve"> </v>
      </c>
      <c r="K494" t="str">
        <f t="shared" si="65"/>
        <v/>
      </c>
      <c r="L494" t="str">
        <f t="shared" si="66"/>
        <v/>
      </c>
      <c r="N494" s="245">
        <f t="shared" si="67"/>
        <v>0</v>
      </c>
      <c r="O494" s="245">
        <f t="shared" si="68"/>
        <v>0</v>
      </c>
      <c r="P494" t="str">
        <f t="shared" si="69"/>
        <v/>
      </c>
      <c r="Q494" t="str">
        <f>IFERROR(VLOOKUP(P494,数据库!C:M,11,0),"")</f>
        <v/>
      </c>
      <c r="R494" t="str">
        <f t="shared" si="70"/>
        <v/>
      </c>
      <c r="S494">
        <f t="shared" si="71"/>
        <v>0</v>
      </c>
    </row>
    <row r="495" spans="1:19">
      <c r="A495" t="str">
        <f>IF(B495=0,"",发货清单!A495*10^6+COUNTIF($D$2:D495,D495)*10^3+ROW(A494))</f>
        <v/>
      </c>
      <c r="B495">
        <f>IFERROR(LEFT(发货清单!H495,SEARCH("-",发货清单!H495)-1),发货清单!H495)</f>
        <v>0</v>
      </c>
      <c r="C495" t="str">
        <f>IFERROR(VLOOKUP(发货清单!A495,数据库!A:D,4,0),"")</f>
        <v/>
      </c>
      <c r="D495" t="str">
        <f>IFERROR(VLOOKUP(发货清单!A495,数据库!A:C,3,0),"")</f>
        <v/>
      </c>
      <c r="E495">
        <f>发货清单!M495</f>
        <v>0</v>
      </c>
      <c r="F495">
        <f>发货清单!U495</f>
        <v>0</v>
      </c>
      <c r="G495" t="str">
        <f>IFERROR(VLOOKUP(发货清单!A495,数据库!A:B,2,0),"")</f>
        <v/>
      </c>
      <c r="H495">
        <f>发货清单!N495</f>
        <v>0</v>
      </c>
      <c r="I495" t="str">
        <f t="shared" si="63"/>
        <v/>
      </c>
      <c r="J495" t="str">
        <f t="shared" si="64"/>
        <v xml:space="preserve"> </v>
      </c>
      <c r="K495" t="str">
        <f t="shared" si="65"/>
        <v/>
      </c>
      <c r="L495" t="str">
        <f t="shared" si="66"/>
        <v/>
      </c>
      <c r="N495" s="245">
        <f t="shared" si="67"/>
        <v>0</v>
      </c>
      <c r="O495" s="245">
        <f t="shared" si="68"/>
        <v>0</v>
      </c>
      <c r="P495" t="str">
        <f t="shared" si="69"/>
        <v/>
      </c>
      <c r="Q495" t="str">
        <f>IFERROR(VLOOKUP(P495,数据库!C:M,11,0),"")</f>
        <v/>
      </c>
      <c r="R495" t="str">
        <f t="shared" si="70"/>
        <v/>
      </c>
      <c r="S495">
        <f t="shared" si="71"/>
        <v>0</v>
      </c>
    </row>
    <row r="496" spans="1:19">
      <c r="A496" t="str">
        <f>IF(B496=0,"",发货清单!A496*10^6+COUNTIF($D$2:D496,D496)*10^3+ROW(A495))</f>
        <v/>
      </c>
      <c r="B496">
        <f>IFERROR(LEFT(发货清单!H496,SEARCH("-",发货清单!H496)-1),发货清单!H496)</f>
        <v>0</v>
      </c>
      <c r="C496" t="str">
        <f>IFERROR(VLOOKUP(发货清单!A496,数据库!A:D,4,0),"")</f>
        <v/>
      </c>
      <c r="D496" t="str">
        <f>IFERROR(VLOOKUP(发货清单!A496,数据库!A:C,3,0),"")</f>
        <v/>
      </c>
      <c r="E496">
        <f>发货清单!M496</f>
        <v>0</v>
      </c>
      <c r="F496">
        <f>发货清单!U496</f>
        <v>0</v>
      </c>
      <c r="G496" t="str">
        <f>IFERROR(VLOOKUP(发货清单!A496,数据库!A:B,2,0),"")</f>
        <v/>
      </c>
      <c r="H496">
        <f>发货清单!N496</f>
        <v>0</v>
      </c>
      <c r="I496" t="str">
        <f t="shared" si="63"/>
        <v/>
      </c>
      <c r="J496" t="str">
        <f t="shared" si="64"/>
        <v xml:space="preserve"> </v>
      </c>
      <c r="K496" t="str">
        <f t="shared" si="65"/>
        <v/>
      </c>
      <c r="L496" t="str">
        <f t="shared" si="66"/>
        <v/>
      </c>
      <c r="N496" s="245">
        <f t="shared" si="67"/>
        <v>0</v>
      </c>
      <c r="O496" s="245">
        <f t="shared" si="68"/>
        <v>0</v>
      </c>
      <c r="P496" t="str">
        <f t="shared" si="69"/>
        <v/>
      </c>
      <c r="Q496" t="str">
        <f>IFERROR(VLOOKUP(P496,数据库!C:M,11,0),"")</f>
        <v/>
      </c>
      <c r="R496" t="str">
        <f t="shared" si="70"/>
        <v/>
      </c>
      <c r="S496">
        <f t="shared" si="71"/>
        <v>0</v>
      </c>
    </row>
    <row r="497" spans="1:19">
      <c r="A497" t="str">
        <f>IF(B497=0,"",发货清单!A497*10^6+COUNTIF($D$2:D497,D497)*10^3+ROW(A496))</f>
        <v/>
      </c>
      <c r="B497">
        <f>IFERROR(LEFT(发货清单!H497,SEARCH("-",发货清单!H497)-1),发货清单!H497)</f>
        <v>0</v>
      </c>
      <c r="C497" t="str">
        <f>IFERROR(VLOOKUP(发货清单!A497,数据库!A:D,4,0),"")</f>
        <v/>
      </c>
      <c r="D497" t="str">
        <f>IFERROR(VLOOKUP(发货清单!A497,数据库!A:C,3,0),"")</f>
        <v/>
      </c>
      <c r="E497">
        <f>发货清单!M497</f>
        <v>0</v>
      </c>
      <c r="F497">
        <f>发货清单!U497</f>
        <v>0</v>
      </c>
      <c r="G497" t="str">
        <f>IFERROR(VLOOKUP(发货清单!A497,数据库!A:B,2,0),"")</f>
        <v/>
      </c>
      <c r="H497">
        <f>发货清单!N497</f>
        <v>0</v>
      </c>
      <c r="I497" t="str">
        <f t="shared" si="63"/>
        <v/>
      </c>
      <c r="J497" t="str">
        <f t="shared" si="64"/>
        <v xml:space="preserve"> </v>
      </c>
      <c r="K497" t="str">
        <f t="shared" si="65"/>
        <v/>
      </c>
      <c r="L497" t="str">
        <f t="shared" si="66"/>
        <v/>
      </c>
      <c r="N497" s="245">
        <f t="shared" si="67"/>
        <v>0</v>
      </c>
      <c r="O497" s="245">
        <f t="shared" si="68"/>
        <v>0</v>
      </c>
      <c r="P497" t="str">
        <f t="shared" si="69"/>
        <v/>
      </c>
      <c r="Q497" t="str">
        <f>IFERROR(VLOOKUP(P497,数据库!C:M,11,0),"")</f>
        <v/>
      </c>
      <c r="R497" t="str">
        <f t="shared" si="70"/>
        <v/>
      </c>
      <c r="S497">
        <f t="shared" si="71"/>
        <v>0</v>
      </c>
    </row>
    <row r="498" spans="1:19">
      <c r="A498" t="str">
        <f>IF(B498=0,"",发货清单!A498*10^6+COUNTIF($D$2:D498,D498)*10^3+ROW(A497))</f>
        <v/>
      </c>
      <c r="B498">
        <f>IFERROR(LEFT(发货清单!H498,SEARCH("-",发货清单!H498)-1),发货清单!H498)</f>
        <v>0</v>
      </c>
      <c r="C498" t="str">
        <f>IFERROR(VLOOKUP(发货清单!A498,数据库!A:D,4,0),"")</f>
        <v/>
      </c>
      <c r="D498" t="str">
        <f>IFERROR(VLOOKUP(发货清单!A498,数据库!A:C,3,0),"")</f>
        <v/>
      </c>
      <c r="E498">
        <f>发货清单!M498</f>
        <v>0</v>
      </c>
      <c r="F498">
        <f>发货清单!U498</f>
        <v>0</v>
      </c>
      <c r="G498" t="str">
        <f>IFERROR(VLOOKUP(发货清单!A498,数据库!A:B,2,0),"")</f>
        <v/>
      </c>
      <c r="H498">
        <f>发货清单!N498</f>
        <v>0</v>
      </c>
      <c r="I498" t="str">
        <f t="shared" si="63"/>
        <v/>
      </c>
      <c r="J498" t="str">
        <f t="shared" si="64"/>
        <v xml:space="preserve"> </v>
      </c>
      <c r="K498" t="str">
        <f t="shared" si="65"/>
        <v/>
      </c>
      <c r="L498" t="str">
        <f t="shared" si="66"/>
        <v/>
      </c>
      <c r="N498" s="245">
        <f t="shared" si="67"/>
        <v>0</v>
      </c>
      <c r="O498" s="245">
        <f t="shared" si="68"/>
        <v>0</v>
      </c>
      <c r="P498" t="str">
        <f t="shared" si="69"/>
        <v/>
      </c>
      <c r="Q498" t="str">
        <f>IFERROR(VLOOKUP(P498,数据库!C:M,11,0),"")</f>
        <v/>
      </c>
      <c r="R498" t="str">
        <f t="shared" si="70"/>
        <v/>
      </c>
      <c r="S498">
        <f t="shared" si="71"/>
        <v>0</v>
      </c>
    </row>
    <row r="499" spans="1:19">
      <c r="A499" t="str">
        <f>IF(B499=0,"",发货清单!A499*10^6+COUNTIF($D$2:D499,D499)*10^3+ROW(A498))</f>
        <v/>
      </c>
      <c r="B499">
        <f>IFERROR(LEFT(发货清单!H499,SEARCH("-",发货清单!H499)-1),发货清单!H499)</f>
        <v>0</v>
      </c>
      <c r="C499" t="str">
        <f>IFERROR(VLOOKUP(发货清单!A499,数据库!A:D,4,0),"")</f>
        <v/>
      </c>
      <c r="D499" t="str">
        <f>IFERROR(VLOOKUP(发货清单!A499,数据库!A:C,3,0),"")</f>
        <v/>
      </c>
      <c r="E499">
        <f>发货清单!M499</f>
        <v>0</v>
      </c>
      <c r="F499">
        <f>发货清单!U499</f>
        <v>0</v>
      </c>
      <c r="G499" t="str">
        <f>IFERROR(VLOOKUP(发货清单!A499,数据库!A:B,2,0),"")</f>
        <v/>
      </c>
      <c r="H499">
        <f>发货清单!N499</f>
        <v>0</v>
      </c>
      <c r="I499" t="str">
        <f t="shared" si="63"/>
        <v/>
      </c>
      <c r="J499" t="str">
        <f t="shared" si="64"/>
        <v xml:space="preserve"> </v>
      </c>
      <c r="K499" t="str">
        <f t="shared" si="65"/>
        <v/>
      </c>
      <c r="L499" t="str">
        <f t="shared" si="66"/>
        <v/>
      </c>
      <c r="N499" s="245">
        <f t="shared" si="67"/>
        <v>0</v>
      </c>
      <c r="O499" s="245">
        <f t="shared" si="68"/>
        <v>0</v>
      </c>
      <c r="P499" t="str">
        <f t="shared" si="69"/>
        <v/>
      </c>
      <c r="Q499" t="str">
        <f>IFERROR(VLOOKUP(P499,数据库!C:M,11,0),"")</f>
        <v/>
      </c>
      <c r="R499" t="str">
        <f t="shared" si="70"/>
        <v/>
      </c>
      <c r="S499">
        <f t="shared" si="71"/>
        <v>0</v>
      </c>
    </row>
    <row r="500" spans="1:19">
      <c r="A500" t="str">
        <f>IF(B500=0,"",发货清单!A500*10^6+COUNTIF($D$2:D500,D500)*10^3+ROW(A499))</f>
        <v/>
      </c>
      <c r="B500">
        <f>IFERROR(LEFT(发货清单!H500,SEARCH("-",发货清单!H500)-1),发货清单!H500)</f>
        <v>0</v>
      </c>
      <c r="C500" t="str">
        <f>IFERROR(VLOOKUP(发货清单!A500,数据库!A:D,4,0),"")</f>
        <v/>
      </c>
      <c r="D500" t="str">
        <f>IFERROR(VLOOKUP(发货清单!A500,数据库!A:C,3,0),"")</f>
        <v/>
      </c>
      <c r="E500">
        <f>发货清单!M500</f>
        <v>0</v>
      </c>
      <c r="F500">
        <f>发货清单!U500</f>
        <v>0</v>
      </c>
      <c r="G500" t="str">
        <f>IFERROR(VLOOKUP(发货清单!A500,数据库!A:B,2,0),"")</f>
        <v/>
      </c>
      <c r="H500">
        <f>发货清单!N500</f>
        <v>0</v>
      </c>
      <c r="I500" t="str">
        <f t="shared" si="63"/>
        <v/>
      </c>
      <c r="J500" t="str">
        <f t="shared" si="64"/>
        <v xml:space="preserve"> </v>
      </c>
      <c r="K500" t="str">
        <f t="shared" si="65"/>
        <v/>
      </c>
      <c r="L500" t="str">
        <f t="shared" si="66"/>
        <v/>
      </c>
      <c r="N500" s="245">
        <f t="shared" si="67"/>
        <v>0</v>
      </c>
      <c r="O500" s="245">
        <f t="shared" si="68"/>
        <v>0</v>
      </c>
      <c r="P500" t="str">
        <f t="shared" si="69"/>
        <v/>
      </c>
      <c r="Q500" t="str">
        <f>IFERROR(VLOOKUP(P500,数据库!C:M,11,0),"")</f>
        <v/>
      </c>
      <c r="R500" t="str">
        <f t="shared" si="70"/>
        <v/>
      </c>
      <c r="S500">
        <f t="shared" si="71"/>
        <v>0</v>
      </c>
    </row>
    <row r="501" spans="1:19">
      <c r="A501" t="str">
        <f>IF(B501=0,"",发货清单!A501*10^6+COUNTIF($D$2:D501,D501)*10^3+ROW(A500))</f>
        <v/>
      </c>
      <c r="B501">
        <f>IFERROR(LEFT(发货清单!H501,SEARCH("-",发货清单!H501)-1),发货清单!H501)</f>
        <v>0</v>
      </c>
      <c r="C501" t="str">
        <f>IFERROR(VLOOKUP(发货清单!A501,数据库!A:D,4,0),"")</f>
        <v/>
      </c>
      <c r="D501" t="str">
        <f>IFERROR(VLOOKUP(发货清单!A501,数据库!A:C,3,0),"")</f>
        <v/>
      </c>
      <c r="E501">
        <f>发货清单!M501</f>
        <v>0</v>
      </c>
      <c r="F501">
        <f>发货清单!U501</f>
        <v>0</v>
      </c>
      <c r="G501" t="str">
        <f>IFERROR(VLOOKUP(发货清单!A501,数据库!A:B,2,0),"")</f>
        <v/>
      </c>
      <c r="H501">
        <f>发货清单!N501</f>
        <v>0</v>
      </c>
      <c r="I501" t="str">
        <f t="shared" si="63"/>
        <v/>
      </c>
      <c r="J501" t="str">
        <f t="shared" si="64"/>
        <v xml:space="preserve"> </v>
      </c>
      <c r="K501" t="str">
        <f t="shared" si="65"/>
        <v/>
      </c>
      <c r="L501" t="str">
        <f t="shared" si="66"/>
        <v/>
      </c>
      <c r="N501" s="245">
        <f t="shared" si="67"/>
        <v>0</v>
      </c>
      <c r="O501" s="245">
        <f t="shared" si="68"/>
        <v>0</v>
      </c>
      <c r="P501" t="str">
        <f t="shared" si="69"/>
        <v/>
      </c>
      <c r="Q501" t="str">
        <f>IFERROR(VLOOKUP(P501,数据库!C:M,11,0),"")</f>
        <v/>
      </c>
      <c r="R501" t="str">
        <f t="shared" si="70"/>
        <v/>
      </c>
      <c r="S501">
        <f t="shared" si="71"/>
        <v>0</v>
      </c>
    </row>
    <row r="502" spans="1:19">
      <c r="A502" t="str">
        <f>IF(B502=0,"",发货清单!A502*10^6+COUNTIF($D$2:D502,D502)*10^3+ROW(A501))</f>
        <v/>
      </c>
      <c r="B502">
        <f>IFERROR(LEFT(发货清单!H502,SEARCH("-",发货清单!H502)-1),发货清单!H502)</f>
        <v>0</v>
      </c>
      <c r="C502" t="str">
        <f>IFERROR(VLOOKUP(发货清单!A502,数据库!A:D,4,0),"")</f>
        <v/>
      </c>
      <c r="D502" t="str">
        <f>IFERROR(VLOOKUP(发货清单!A502,数据库!A:C,3,0),"")</f>
        <v/>
      </c>
      <c r="E502">
        <f>发货清单!M502</f>
        <v>0</v>
      </c>
      <c r="F502">
        <f>发货清单!U502</f>
        <v>0</v>
      </c>
      <c r="G502" t="str">
        <f>IFERROR(VLOOKUP(发货清单!A502,数据库!A:B,2,0),"")</f>
        <v/>
      </c>
      <c r="H502">
        <f>发货清单!N502</f>
        <v>0</v>
      </c>
      <c r="I502" t="str">
        <f t="shared" si="63"/>
        <v/>
      </c>
      <c r="J502" t="str">
        <f t="shared" si="64"/>
        <v xml:space="preserve"> </v>
      </c>
      <c r="K502" t="str">
        <f t="shared" si="65"/>
        <v/>
      </c>
      <c r="L502" t="str">
        <f t="shared" si="66"/>
        <v/>
      </c>
      <c r="N502" s="245">
        <f t="shared" si="67"/>
        <v>0</v>
      </c>
      <c r="O502" s="245">
        <f t="shared" si="68"/>
        <v>0</v>
      </c>
      <c r="P502" t="str">
        <f t="shared" si="69"/>
        <v/>
      </c>
      <c r="Q502" t="str">
        <f>IFERROR(VLOOKUP(P502,数据库!C:M,11,0),"")</f>
        <v/>
      </c>
      <c r="R502" t="str">
        <f t="shared" si="70"/>
        <v/>
      </c>
      <c r="S502">
        <f t="shared" si="71"/>
        <v>0</v>
      </c>
    </row>
    <row r="503" spans="1:19">
      <c r="A503" t="str">
        <f>IF(B503=0,"",发货清单!A503*10^6+COUNTIF($D$2:D503,D503)*10^3+ROW(A502))</f>
        <v/>
      </c>
      <c r="B503">
        <f>IFERROR(LEFT(发货清单!H503,SEARCH("-",发货清单!H503)-1),发货清单!H503)</f>
        <v>0</v>
      </c>
      <c r="C503" t="str">
        <f>IFERROR(VLOOKUP(发货清单!A503,数据库!A:D,4,0),"")</f>
        <v/>
      </c>
      <c r="D503" t="str">
        <f>IFERROR(VLOOKUP(发货清单!A503,数据库!A:C,3,0),"")</f>
        <v/>
      </c>
      <c r="E503">
        <f>发货清单!M503</f>
        <v>0</v>
      </c>
      <c r="F503">
        <f>发货清单!U503</f>
        <v>0</v>
      </c>
      <c r="G503" t="str">
        <f>IFERROR(VLOOKUP(发货清单!A503,数据库!A:B,2,0),"")</f>
        <v/>
      </c>
      <c r="H503">
        <f>发货清单!N503</f>
        <v>0</v>
      </c>
      <c r="I503" t="str">
        <f t="shared" si="63"/>
        <v/>
      </c>
      <c r="J503" t="str">
        <f t="shared" si="64"/>
        <v xml:space="preserve"> </v>
      </c>
      <c r="K503" t="str">
        <f t="shared" si="65"/>
        <v/>
      </c>
      <c r="L503" t="str">
        <f t="shared" si="66"/>
        <v/>
      </c>
      <c r="N503" s="245">
        <f t="shared" si="67"/>
        <v>0</v>
      </c>
      <c r="O503" s="245">
        <f t="shared" si="68"/>
        <v>0</v>
      </c>
      <c r="P503" t="str">
        <f t="shared" si="69"/>
        <v/>
      </c>
      <c r="Q503" t="str">
        <f>IFERROR(VLOOKUP(P503,数据库!C:M,11,0),"")</f>
        <v/>
      </c>
      <c r="R503" t="str">
        <f t="shared" si="70"/>
        <v/>
      </c>
      <c r="S503">
        <f t="shared" si="71"/>
        <v>0</v>
      </c>
    </row>
    <row r="504" spans="1:19">
      <c r="A504" t="str">
        <f>IF(B504=0,"",发货清单!A504*10^6+COUNTIF($D$2:D504,D504)*10^3+ROW(A503))</f>
        <v/>
      </c>
      <c r="B504">
        <f>IFERROR(LEFT(发货清单!H504,SEARCH("-",发货清单!H504)-1),发货清单!H504)</f>
        <v>0</v>
      </c>
      <c r="C504" t="str">
        <f>IFERROR(VLOOKUP(发货清单!A504,数据库!A:D,4,0),"")</f>
        <v/>
      </c>
      <c r="D504" t="str">
        <f>IFERROR(VLOOKUP(发货清单!A504,数据库!A:C,3,0),"")</f>
        <v/>
      </c>
      <c r="E504">
        <f>发货清单!M504</f>
        <v>0</v>
      </c>
      <c r="F504">
        <f>发货清单!U504</f>
        <v>0</v>
      </c>
      <c r="G504" t="str">
        <f>IFERROR(VLOOKUP(发货清单!A504,数据库!A:B,2,0),"")</f>
        <v/>
      </c>
      <c r="H504">
        <f>发货清单!N504</f>
        <v>0</v>
      </c>
      <c r="I504" t="str">
        <f t="shared" si="63"/>
        <v/>
      </c>
      <c r="J504" t="str">
        <f t="shared" si="64"/>
        <v xml:space="preserve"> </v>
      </c>
      <c r="K504" t="str">
        <f t="shared" si="65"/>
        <v/>
      </c>
      <c r="L504" t="str">
        <f t="shared" si="66"/>
        <v/>
      </c>
      <c r="N504" s="245">
        <f t="shared" si="67"/>
        <v>0</v>
      </c>
      <c r="O504" s="245">
        <f t="shared" si="68"/>
        <v>0</v>
      </c>
      <c r="P504" t="str">
        <f t="shared" si="69"/>
        <v/>
      </c>
      <c r="Q504" t="str">
        <f>IFERROR(VLOOKUP(P504,数据库!C:M,11,0),"")</f>
        <v/>
      </c>
      <c r="R504" t="str">
        <f t="shared" si="70"/>
        <v/>
      </c>
      <c r="S504">
        <f t="shared" si="71"/>
        <v>0</v>
      </c>
    </row>
    <row r="505" spans="1:19">
      <c r="A505" t="str">
        <f>IF(B505=0,"",发货清单!A505*10^6+COUNTIF($D$2:D505,D505)*10^3+ROW(A504))</f>
        <v/>
      </c>
      <c r="B505">
        <f>IFERROR(LEFT(发货清单!H505,SEARCH("-",发货清单!H505)-1),发货清单!H505)</f>
        <v>0</v>
      </c>
      <c r="C505" t="str">
        <f>IFERROR(VLOOKUP(发货清单!A505,数据库!A:D,4,0),"")</f>
        <v/>
      </c>
      <c r="D505" t="str">
        <f>IFERROR(VLOOKUP(发货清单!A505,数据库!A:C,3,0),"")</f>
        <v/>
      </c>
      <c r="E505">
        <f>发货清单!M505</f>
        <v>0</v>
      </c>
      <c r="F505">
        <f>发货清单!U505</f>
        <v>0</v>
      </c>
      <c r="G505" t="str">
        <f>IFERROR(VLOOKUP(发货清单!A505,数据库!A:B,2,0),"")</f>
        <v/>
      </c>
      <c r="H505">
        <f>发货清单!N505</f>
        <v>0</v>
      </c>
      <c r="I505" t="str">
        <f t="shared" si="63"/>
        <v/>
      </c>
      <c r="J505" t="str">
        <f t="shared" si="64"/>
        <v xml:space="preserve"> </v>
      </c>
      <c r="K505" t="str">
        <f t="shared" si="65"/>
        <v/>
      </c>
      <c r="L505" t="str">
        <f t="shared" si="66"/>
        <v/>
      </c>
      <c r="N505" s="245">
        <f t="shared" si="67"/>
        <v>0</v>
      </c>
      <c r="O505" s="245">
        <f t="shared" si="68"/>
        <v>0</v>
      </c>
      <c r="P505" t="str">
        <f t="shared" si="69"/>
        <v/>
      </c>
      <c r="Q505" t="str">
        <f>IFERROR(VLOOKUP(P505,数据库!C:M,11,0),"")</f>
        <v/>
      </c>
      <c r="R505" t="str">
        <f t="shared" si="70"/>
        <v/>
      </c>
      <c r="S505">
        <f t="shared" si="71"/>
        <v>0</v>
      </c>
    </row>
    <row r="506" spans="1:19">
      <c r="A506" t="str">
        <f>IF(B506=0,"",发货清单!A506*10^6+COUNTIF($D$2:D506,D506)*10^3+ROW(A505))</f>
        <v/>
      </c>
      <c r="B506">
        <f>IFERROR(LEFT(发货清单!H506,SEARCH("-",发货清单!H506)-1),发货清单!H506)</f>
        <v>0</v>
      </c>
      <c r="C506" t="str">
        <f>IFERROR(VLOOKUP(发货清单!A506,数据库!A:D,4,0),"")</f>
        <v/>
      </c>
      <c r="D506" t="str">
        <f>IFERROR(VLOOKUP(发货清单!A506,数据库!A:C,3,0),"")</f>
        <v/>
      </c>
      <c r="E506">
        <f>发货清单!M506</f>
        <v>0</v>
      </c>
      <c r="F506">
        <f>发货清单!U506</f>
        <v>0</v>
      </c>
      <c r="G506" t="str">
        <f>IFERROR(VLOOKUP(发货清单!A506,数据库!A:B,2,0),"")</f>
        <v/>
      </c>
      <c r="H506">
        <f>发货清单!N506</f>
        <v>0</v>
      </c>
      <c r="I506" t="str">
        <f t="shared" si="63"/>
        <v/>
      </c>
      <c r="J506" t="str">
        <f t="shared" si="64"/>
        <v xml:space="preserve"> </v>
      </c>
      <c r="K506" t="str">
        <f t="shared" si="65"/>
        <v/>
      </c>
      <c r="L506" t="str">
        <f t="shared" si="66"/>
        <v/>
      </c>
      <c r="N506" s="245">
        <f t="shared" si="67"/>
        <v>0</v>
      </c>
      <c r="O506" s="245">
        <f t="shared" si="68"/>
        <v>0</v>
      </c>
      <c r="P506" t="str">
        <f t="shared" si="69"/>
        <v/>
      </c>
      <c r="Q506" t="str">
        <f>IFERROR(VLOOKUP(P506,数据库!C:M,11,0),"")</f>
        <v/>
      </c>
      <c r="R506" t="str">
        <f t="shared" si="70"/>
        <v/>
      </c>
      <c r="S506">
        <f t="shared" si="71"/>
        <v>0</v>
      </c>
    </row>
    <row r="507" spans="1:19">
      <c r="A507" t="str">
        <f>IF(B507=0,"",发货清单!A507*10^6+COUNTIF($D$2:D507,D507)*10^3+ROW(A506))</f>
        <v/>
      </c>
      <c r="B507">
        <f>IFERROR(LEFT(发货清单!H507,SEARCH("-",发货清单!H507)-1),发货清单!H507)</f>
        <v>0</v>
      </c>
      <c r="C507" t="str">
        <f>IFERROR(VLOOKUP(发货清单!A507,数据库!A:D,4,0),"")</f>
        <v/>
      </c>
      <c r="D507" t="str">
        <f>IFERROR(VLOOKUP(发货清单!A507,数据库!A:C,3,0),"")</f>
        <v/>
      </c>
      <c r="E507">
        <f>发货清单!M507</f>
        <v>0</v>
      </c>
      <c r="F507">
        <f>发货清单!U507</f>
        <v>0</v>
      </c>
      <c r="G507" t="str">
        <f>IFERROR(VLOOKUP(发货清单!A507,数据库!A:B,2,0),"")</f>
        <v/>
      </c>
      <c r="H507">
        <f>发货清单!N507</f>
        <v>0</v>
      </c>
      <c r="I507" t="str">
        <f t="shared" si="63"/>
        <v/>
      </c>
      <c r="J507" t="str">
        <f t="shared" si="64"/>
        <v xml:space="preserve"> </v>
      </c>
      <c r="K507" t="str">
        <f t="shared" si="65"/>
        <v/>
      </c>
      <c r="L507" t="str">
        <f t="shared" si="66"/>
        <v/>
      </c>
      <c r="N507" s="245">
        <f t="shared" si="67"/>
        <v>0</v>
      </c>
      <c r="O507" s="245">
        <f t="shared" si="68"/>
        <v>0</v>
      </c>
      <c r="P507" t="str">
        <f t="shared" si="69"/>
        <v/>
      </c>
      <c r="Q507" t="str">
        <f>IFERROR(VLOOKUP(P507,数据库!C:M,11,0),"")</f>
        <v/>
      </c>
      <c r="R507" t="str">
        <f t="shared" si="70"/>
        <v/>
      </c>
      <c r="S507">
        <f t="shared" si="71"/>
        <v>0</v>
      </c>
    </row>
    <row r="508" spans="1:19">
      <c r="A508" t="str">
        <f>IF(B508=0,"",发货清单!A508*10^6+COUNTIF($D$2:D508,D508)*10^3+ROW(A507))</f>
        <v/>
      </c>
      <c r="B508">
        <f>IFERROR(LEFT(发货清单!H508,SEARCH("-",发货清单!H508)-1),发货清单!H508)</f>
        <v>0</v>
      </c>
      <c r="C508" t="str">
        <f>IFERROR(VLOOKUP(发货清单!A508,数据库!A:D,4,0),"")</f>
        <v/>
      </c>
      <c r="D508" t="str">
        <f>IFERROR(VLOOKUP(发货清单!A508,数据库!A:C,3,0),"")</f>
        <v/>
      </c>
      <c r="E508">
        <f>发货清单!M508</f>
        <v>0</v>
      </c>
      <c r="F508">
        <f>发货清单!U508</f>
        <v>0</v>
      </c>
      <c r="G508" t="str">
        <f>IFERROR(VLOOKUP(发货清单!A508,数据库!A:B,2,0),"")</f>
        <v/>
      </c>
      <c r="H508">
        <f>发货清单!N508</f>
        <v>0</v>
      </c>
      <c r="I508" t="str">
        <f t="shared" si="63"/>
        <v/>
      </c>
      <c r="J508" t="str">
        <f t="shared" si="64"/>
        <v xml:space="preserve"> </v>
      </c>
      <c r="K508" t="str">
        <f t="shared" si="65"/>
        <v/>
      </c>
      <c r="L508" t="str">
        <f t="shared" si="66"/>
        <v/>
      </c>
      <c r="N508" s="245">
        <f t="shared" si="67"/>
        <v>0</v>
      </c>
      <c r="O508" s="245">
        <f t="shared" si="68"/>
        <v>0</v>
      </c>
      <c r="P508" t="str">
        <f t="shared" si="69"/>
        <v/>
      </c>
      <c r="Q508" t="str">
        <f>IFERROR(VLOOKUP(P508,数据库!C:M,11,0),"")</f>
        <v/>
      </c>
      <c r="R508" t="str">
        <f t="shared" si="70"/>
        <v/>
      </c>
      <c r="S508">
        <f t="shared" si="71"/>
        <v>0</v>
      </c>
    </row>
    <row r="509" spans="1:19">
      <c r="A509" t="str">
        <f>IF(B509=0,"",发货清单!A509*10^6+COUNTIF($D$2:D509,D509)*10^3+ROW(A508))</f>
        <v/>
      </c>
      <c r="B509">
        <f>IFERROR(LEFT(发货清单!H509,SEARCH("-",发货清单!H509)-1),发货清单!H509)</f>
        <v>0</v>
      </c>
      <c r="C509" t="str">
        <f>IFERROR(VLOOKUP(发货清单!A509,数据库!A:D,4,0),"")</f>
        <v/>
      </c>
      <c r="D509" t="str">
        <f>IFERROR(VLOOKUP(发货清单!A509,数据库!A:C,3,0),"")</f>
        <v/>
      </c>
      <c r="E509">
        <f>发货清单!M509</f>
        <v>0</v>
      </c>
      <c r="F509">
        <f>发货清单!U509</f>
        <v>0</v>
      </c>
      <c r="G509" t="str">
        <f>IFERROR(VLOOKUP(发货清单!A509,数据库!A:B,2,0),"")</f>
        <v/>
      </c>
      <c r="H509">
        <f>发货清单!N509</f>
        <v>0</v>
      </c>
      <c r="I509" t="str">
        <f t="shared" si="63"/>
        <v/>
      </c>
      <c r="J509" t="str">
        <f t="shared" si="64"/>
        <v xml:space="preserve"> </v>
      </c>
      <c r="K509" t="str">
        <f t="shared" si="65"/>
        <v/>
      </c>
      <c r="L509" t="str">
        <f t="shared" si="66"/>
        <v/>
      </c>
      <c r="N509" s="245">
        <f t="shared" si="67"/>
        <v>0</v>
      </c>
      <c r="O509" s="245">
        <f t="shared" si="68"/>
        <v>0</v>
      </c>
      <c r="P509" t="str">
        <f t="shared" si="69"/>
        <v/>
      </c>
      <c r="Q509" t="str">
        <f>IFERROR(VLOOKUP(P509,数据库!C:M,11,0),"")</f>
        <v/>
      </c>
      <c r="R509" t="str">
        <f t="shared" si="70"/>
        <v/>
      </c>
      <c r="S509">
        <f t="shared" si="71"/>
        <v>0</v>
      </c>
    </row>
    <row r="510" spans="1:19">
      <c r="A510" t="str">
        <f>IF(B510=0,"",发货清单!A510*10^6+COUNTIF($D$2:D510,D510)*10^3+ROW(A509))</f>
        <v/>
      </c>
      <c r="B510">
        <f>IFERROR(LEFT(发货清单!H510,SEARCH("-",发货清单!H510)-1),发货清单!H510)</f>
        <v>0</v>
      </c>
      <c r="C510" t="str">
        <f>IFERROR(VLOOKUP(发货清单!A510,数据库!A:D,4,0),"")</f>
        <v/>
      </c>
      <c r="D510" t="str">
        <f>IFERROR(VLOOKUP(发货清单!A510,数据库!A:C,3,0),"")</f>
        <v/>
      </c>
      <c r="E510">
        <f>发货清单!M510</f>
        <v>0</v>
      </c>
      <c r="F510">
        <f>发货清单!U510</f>
        <v>0</v>
      </c>
      <c r="G510" t="str">
        <f>IFERROR(VLOOKUP(发货清单!A510,数据库!A:B,2,0),"")</f>
        <v/>
      </c>
      <c r="H510">
        <f>发货清单!N510</f>
        <v>0</v>
      </c>
      <c r="I510" t="str">
        <f t="shared" si="63"/>
        <v/>
      </c>
      <c r="J510" t="str">
        <f t="shared" si="64"/>
        <v xml:space="preserve"> </v>
      </c>
      <c r="K510" t="str">
        <f t="shared" si="65"/>
        <v/>
      </c>
      <c r="L510" t="str">
        <f t="shared" si="66"/>
        <v/>
      </c>
      <c r="N510" s="245">
        <f t="shared" si="67"/>
        <v>0</v>
      </c>
      <c r="O510" s="245">
        <f t="shared" si="68"/>
        <v>0</v>
      </c>
      <c r="P510" t="str">
        <f t="shared" si="69"/>
        <v/>
      </c>
      <c r="Q510" t="str">
        <f>IFERROR(VLOOKUP(P510,数据库!C:M,11,0),"")</f>
        <v/>
      </c>
      <c r="R510" t="str">
        <f t="shared" si="70"/>
        <v/>
      </c>
      <c r="S510">
        <f t="shared" si="71"/>
        <v>0</v>
      </c>
    </row>
    <row r="511" spans="1:19">
      <c r="A511" t="str">
        <f>IF(B511=0,"",发货清单!A511*10^6+COUNTIF($D$2:D511,D511)*10^3+ROW(A510))</f>
        <v/>
      </c>
      <c r="B511">
        <f>IFERROR(LEFT(发货清单!H511,SEARCH("-",发货清单!H511)-1),发货清单!H511)</f>
        <v>0</v>
      </c>
      <c r="C511" t="str">
        <f>IFERROR(VLOOKUP(发货清单!A511,数据库!A:D,4,0),"")</f>
        <v/>
      </c>
      <c r="D511" t="str">
        <f>IFERROR(VLOOKUP(发货清单!A511,数据库!A:C,3,0),"")</f>
        <v/>
      </c>
      <c r="E511">
        <f>发货清单!M511</f>
        <v>0</v>
      </c>
      <c r="F511">
        <f>发货清单!U511</f>
        <v>0</v>
      </c>
      <c r="G511" t="str">
        <f>IFERROR(VLOOKUP(发货清单!A511,数据库!A:B,2,0),"")</f>
        <v/>
      </c>
      <c r="H511">
        <f>发货清单!N511</f>
        <v>0</v>
      </c>
      <c r="I511" t="str">
        <f t="shared" si="63"/>
        <v/>
      </c>
      <c r="J511" t="str">
        <f t="shared" si="64"/>
        <v xml:space="preserve"> </v>
      </c>
      <c r="K511" t="str">
        <f t="shared" si="65"/>
        <v/>
      </c>
      <c r="L511" t="str">
        <f t="shared" si="66"/>
        <v/>
      </c>
      <c r="N511" s="245">
        <f t="shared" si="67"/>
        <v>0</v>
      </c>
      <c r="O511" s="245">
        <f t="shared" si="68"/>
        <v>0</v>
      </c>
      <c r="P511" t="str">
        <f t="shared" si="69"/>
        <v/>
      </c>
      <c r="Q511" t="str">
        <f>IFERROR(VLOOKUP(P511,数据库!C:M,11,0),"")</f>
        <v/>
      </c>
      <c r="R511" t="str">
        <f t="shared" si="70"/>
        <v/>
      </c>
      <c r="S511">
        <f t="shared" si="71"/>
        <v>0</v>
      </c>
    </row>
    <row r="512" spans="1:19">
      <c r="A512" t="str">
        <f>IF(B512=0,"",发货清单!A512*10^6+COUNTIF($D$2:D512,D512)*10^3+ROW(A511))</f>
        <v/>
      </c>
      <c r="B512">
        <f>IFERROR(LEFT(发货清单!H512,SEARCH("-",发货清单!H512)-1),发货清单!H512)</f>
        <v>0</v>
      </c>
      <c r="C512" t="str">
        <f>IFERROR(VLOOKUP(发货清单!A512,数据库!A:D,4,0),"")</f>
        <v/>
      </c>
      <c r="D512" t="str">
        <f>IFERROR(VLOOKUP(发货清单!A512,数据库!A:C,3,0),"")</f>
        <v/>
      </c>
      <c r="E512">
        <f>发货清单!M512</f>
        <v>0</v>
      </c>
      <c r="F512">
        <f>发货清单!U512</f>
        <v>0</v>
      </c>
      <c r="G512" t="str">
        <f>IFERROR(VLOOKUP(发货清单!A512,数据库!A:B,2,0),"")</f>
        <v/>
      </c>
      <c r="H512">
        <f>发货清单!N512</f>
        <v>0</v>
      </c>
      <c r="I512" t="str">
        <f t="shared" si="63"/>
        <v/>
      </c>
      <c r="J512" t="str">
        <f t="shared" si="64"/>
        <v xml:space="preserve"> </v>
      </c>
      <c r="K512" t="str">
        <f t="shared" si="65"/>
        <v/>
      </c>
      <c r="L512" t="str">
        <f t="shared" si="66"/>
        <v/>
      </c>
      <c r="N512" s="245">
        <f t="shared" si="67"/>
        <v>0</v>
      </c>
      <c r="O512" s="245">
        <f t="shared" si="68"/>
        <v>0</v>
      </c>
      <c r="P512" t="str">
        <f t="shared" si="69"/>
        <v/>
      </c>
      <c r="Q512" t="str">
        <f>IFERROR(VLOOKUP(P512,数据库!C:M,11,0),"")</f>
        <v/>
      </c>
      <c r="R512" t="str">
        <f t="shared" si="70"/>
        <v/>
      </c>
      <c r="S512">
        <f t="shared" si="71"/>
        <v>0</v>
      </c>
    </row>
    <row r="513" spans="1:19">
      <c r="A513" t="str">
        <f>IF(B513=0,"",发货清单!A513*10^6+COUNTIF($D$2:D513,D513)*10^3+ROW(A512))</f>
        <v/>
      </c>
      <c r="B513">
        <f>IFERROR(LEFT(发货清单!H513,SEARCH("-",发货清单!H513)-1),发货清单!H513)</f>
        <v>0</v>
      </c>
      <c r="C513" t="str">
        <f>IFERROR(VLOOKUP(发货清单!A513,数据库!A:D,4,0),"")</f>
        <v/>
      </c>
      <c r="D513" t="str">
        <f>IFERROR(VLOOKUP(发货清单!A513,数据库!A:C,3,0),"")</f>
        <v/>
      </c>
      <c r="E513">
        <f>发货清单!M513</f>
        <v>0</v>
      </c>
      <c r="F513">
        <f>发货清单!U513</f>
        <v>0</v>
      </c>
      <c r="G513" t="str">
        <f>IFERROR(VLOOKUP(发货清单!A513,数据库!A:B,2,0),"")</f>
        <v/>
      </c>
      <c r="H513">
        <f>发货清单!N513</f>
        <v>0</v>
      </c>
      <c r="I513" t="str">
        <f t="shared" si="63"/>
        <v/>
      </c>
      <c r="J513" t="str">
        <f t="shared" si="64"/>
        <v xml:space="preserve"> </v>
      </c>
      <c r="K513" t="str">
        <f t="shared" si="65"/>
        <v/>
      </c>
      <c r="L513" t="str">
        <f t="shared" si="66"/>
        <v/>
      </c>
      <c r="N513" s="245">
        <f t="shared" si="67"/>
        <v>0</v>
      </c>
      <c r="O513" s="245">
        <f t="shared" si="68"/>
        <v>0</v>
      </c>
      <c r="P513" t="str">
        <f t="shared" si="69"/>
        <v/>
      </c>
      <c r="Q513" t="str">
        <f>IFERROR(VLOOKUP(P513,数据库!C:M,11,0),"")</f>
        <v/>
      </c>
      <c r="R513" t="str">
        <f t="shared" si="70"/>
        <v/>
      </c>
      <c r="S513">
        <f t="shared" si="71"/>
        <v>0</v>
      </c>
    </row>
    <row r="514" spans="1:19">
      <c r="A514" t="str">
        <f>IF(B514=0,"",发货清单!A514*10^6+COUNTIF($D$2:D514,D514)*10^3+ROW(A513))</f>
        <v/>
      </c>
      <c r="B514">
        <f>IFERROR(LEFT(发货清单!H514,SEARCH("-",发货清单!H514)-1),发货清单!H514)</f>
        <v>0</v>
      </c>
      <c r="C514" t="str">
        <f>IFERROR(VLOOKUP(发货清单!A514,数据库!A:D,4,0),"")</f>
        <v/>
      </c>
      <c r="D514" t="str">
        <f>IFERROR(VLOOKUP(发货清单!A514,数据库!A:C,3,0),"")</f>
        <v/>
      </c>
      <c r="E514">
        <f>发货清单!M514</f>
        <v>0</v>
      </c>
      <c r="F514">
        <f>发货清单!U514</f>
        <v>0</v>
      </c>
      <c r="G514" t="str">
        <f>IFERROR(VLOOKUP(发货清单!A514,数据库!A:B,2,0),"")</f>
        <v/>
      </c>
      <c r="H514">
        <f>发货清单!N514</f>
        <v>0</v>
      </c>
      <c r="I514" t="str">
        <f t="shared" si="63"/>
        <v/>
      </c>
      <c r="J514" t="str">
        <f t="shared" si="64"/>
        <v xml:space="preserve"> </v>
      </c>
      <c r="K514" t="str">
        <f t="shared" si="65"/>
        <v/>
      </c>
      <c r="L514" t="str">
        <f t="shared" si="66"/>
        <v/>
      </c>
      <c r="N514" s="245">
        <f t="shared" si="67"/>
        <v>0</v>
      </c>
      <c r="O514" s="245">
        <f t="shared" si="68"/>
        <v>0</v>
      </c>
      <c r="P514" t="str">
        <f t="shared" si="69"/>
        <v/>
      </c>
      <c r="Q514" t="str">
        <f>IFERROR(VLOOKUP(P514,数据库!C:M,11,0),"")</f>
        <v/>
      </c>
      <c r="R514" t="str">
        <f t="shared" si="70"/>
        <v/>
      </c>
      <c r="S514">
        <f t="shared" si="71"/>
        <v>0</v>
      </c>
    </row>
    <row r="515" spans="1:19">
      <c r="A515" t="str">
        <f>IF(B515=0,"",发货清单!A515*10^6+COUNTIF($D$2:D515,D515)*10^3+ROW(A514))</f>
        <v/>
      </c>
      <c r="B515">
        <f>IFERROR(LEFT(发货清单!H515,SEARCH("-",发货清单!H515)-1),发货清单!H515)</f>
        <v>0</v>
      </c>
      <c r="C515" t="str">
        <f>IFERROR(VLOOKUP(发货清单!A515,数据库!A:D,4,0),"")</f>
        <v/>
      </c>
      <c r="D515" t="str">
        <f>IFERROR(VLOOKUP(发货清单!A515,数据库!A:C,3,0),"")</f>
        <v/>
      </c>
      <c r="E515">
        <f>发货清单!M515</f>
        <v>0</v>
      </c>
      <c r="F515">
        <f>发货清单!U515</f>
        <v>0</v>
      </c>
      <c r="G515" t="str">
        <f>IFERROR(VLOOKUP(发货清单!A515,数据库!A:B,2,0),"")</f>
        <v/>
      </c>
      <c r="H515">
        <f>发货清单!N515</f>
        <v>0</v>
      </c>
      <c r="I515" t="str">
        <f t="shared" ref="I515:I578" si="72">IFERROR(SMALL(A:A,ROW(A514)),"")</f>
        <v/>
      </c>
      <c r="J515" t="str">
        <f t="shared" ref="J515:J578" si="73">IFERROR(IF(RIGHT(I515,6)-2000&gt;0," ",I515)," ")</f>
        <v xml:space="preserve"> </v>
      </c>
      <c r="K515" t="str">
        <f t="shared" ref="K515:K578" si="74">IFERROR(SMALL(J:J,ROW(A514)),"")</f>
        <v/>
      </c>
      <c r="L515" t="str">
        <f t="shared" ref="L515:L578" si="75">IFERROR(VLOOKUP(K515,A:G,7,0)," ")</f>
        <v/>
      </c>
      <c r="N515" s="245">
        <f t="shared" ref="N515:N578" si="76">IF(P515=" ",0,SUMIF(D:D,P515,E:E))</f>
        <v>0</v>
      </c>
      <c r="O515" s="245">
        <f t="shared" ref="O515:O578" si="77">SUMIF(D:D,P515,F:F)</f>
        <v>0</v>
      </c>
      <c r="P515" t="str">
        <f t="shared" ref="P515:P578" si="78">IFERROR(VLOOKUP(K515,A:D,4,0)," ")</f>
        <v/>
      </c>
      <c r="Q515" t="str">
        <f>IFERROR(VLOOKUP(P515,数据库!C:M,11,0),"")</f>
        <v/>
      </c>
      <c r="R515" t="str">
        <f t="shared" ref="R515:R578" si="79">IFERROR(VLOOKUP(K515,A:C,3,0)," ")</f>
        <v/>
      </c>
      <c r="S515">
        <f t="shared" ref="S515:S578" si="80">IFERROR(VLOOKUP(K515,A:H,8,0)," ")</f>
        <v>0</v>
      </c>
    </row>
    <row r="516" spans="1:19">
      <c r="A516" t="str">
        <f>IF(B516=0,"",发货清单!A516*10^6+COUNTIF($D$2:D516,D516)*10^3+ROW(A515))</f>
        <v/>
      </c>
      <c r="B516">
        <f>IFERROR(LEFT(发货清单!H516,SEARCH("-",发货清单!H516)-1),发货清单!H516)</f>
        <v>0</v>
      </c>
      <c r="C516" t="str">
        <f>IFERROR(VLOOKUP(发货清单!A516,数据库!A:D,4,0),"")</f>
        <v/>
      </c>
      <c r="D516" t="str">
        <f>IFERROR(VLOOKUP(发货清单!A516,数据库!A:C,3,0),"")</f>
        <v/>
      </c>
      <c r="E516">
        <f>发货清单!M516</f>
        <v>0</v>
      </c>
      <c r="F516">
        <f>发货清单!U516</f>
        <v>0</v>
      </c>
      <c r="G516" t="str">
        <f>IFERROR(VLOOKUP(发货清单!A516,数据库!A:B,2,0),"")</f>
        <v/>
      </c>
      <c r="H516">
        <f>发货清单!N516</f>
        <v>0</v>
      </c>
      <c r="I516" t="str">
        <f t="shared" si="72"/>
        <v/>
      </c>
      <c r="J516" t="str">
        <f t="shared" si="73"/>
        <v xml:space="preserve"> </v>
      </c>
      <c r="K516" t="str">
        <f t="shared" si="74"/>
        <v/>
      </c>
      <c r="L516" t="str">
        <f t="shared" si="75"/>
        <v/>
      </c>
      <c r="N516" s="245">
        <f t="shared" si="76"/>
        <v>0</v>
      </c>
      <c r="O516" s="245">
        <f t="shared" si="77"/>
        <v>0</v>
      </c>
      <c r="P516" t="str">
        <f t="shared" si="78"/>
        <v/>
      </c>
      <c r="Q516" t="str">
        <f>IFERROR(VLOOKUP(P516,数据库!C:M,11,0),"")</f>
        <v/>
      </c>
      <c r="R516" t="str">
        <f t="shared" si="79"/>
        <v/>
      </c>
      <c r="S516">
        <f t="shared" si="80"/>
        <v>0</v>
      </c>
    </row>
    <row r="517" spans="1:19">
      <c r="A517" t="str">
        <f>IF(B517=0,"",发货清单!A517*10^6+COUNTIF($D$2:D517,D517)*10^3+ROW(A516))</f>
        <v/>
      </c>
      <c r="B517">
        <f>IFERROR(LEFT(发货清单!H517,SEARCH("-",发货清单!H517)-1),发货清单!H517)</f>
        <v>0</v>
      </c>
      <c r="C517" t="str">
        <f>IFERROR(VLOOKUP(发货清单!A517,数据库!A:D,4,0),"")</f>
        <v/>
      </c>
      <c r="D517" t="str">
        <f>IFERROR(VLOOKUP(发货清单!A517,数据库!A:C,3,0),"")</f>
        <v/>
      </c>
      <c r="E517">
        <f>发货清单!M517</f>
        <v>0</v>
      </c>
      <c r="F517">
        <f>发货清单!U517</f>
        <v>0</v>
      </c>
      <c r="G517" t="str">
        <f>IFERROR(VLOOKUP(发货清单!A517,数据库!A:B,2,0),"")</f>
        <v/>
      </c>
      <c r="H517">
        <f>发货清单!N517</f>
        <v>0</v>
      </c>
      <c r="I517" t="str">
        <f t="shared" si="72"/>
        <v/>
      </c>
      <c r="J517" t="str">
        <f t="shared" si="73"/>
        <v xml:space="preserve"> </v>
      </c>
      <c r="K517" t="str">
        <f t="shared" si="74"/>
        <v/>
      </c>
      <c r="L517" t="str">
        <f t="shared" si="75"/>
        <v/>
      </c>
      <c r="N517" s="245">
        <f t="shared" si="76"/>
        <v>0</v>
      </c>
      <c r="O517" s="245">
        <f t="shared" si="77"/>
        <v>0</v>
      </c>
      <c r="P517" t="str">
        <f t="shared" si="78"/>
        <v/>
      </c>
      <c r="Q517" t="str">
        <f>IFERROR(VLOOKUP(P517,数据库!C:M,11,0),"")</f>
        <v/>
      </c>
      <c r="R517" t="str">
        <f t="shared" si="79"/>
        <v/>
      </c>
      <c r="S517">
        <f t="shared" si="80"/>
        <v>0</v>
      </c>
    </row>
    <row r="518" spans="1:19">
      <c r="A518" t="str">
        <f>IF(B518=0,"",发货清单!A518*10^6+COUNTIF($D$2:D518,D518)*10^3+ROW(A517))</f>
        <v/>
      </c>
      <c r="B518">
        <f>IFERROR(LEFT(发货清单!H518,SEARCH("-",发货清单!H518)-1),发货清单!H518)</f>
        <v>0</v>
      </c>
      <c r="C518" t="str">
        <f>IFERROR(VLOOKUP(发货清单!A518,数据库!A:D,4,0),"")</f>
        <v/>
      </c>
      <c r="D518" t="str">
        <f>IFERROR(VLOOKUP(发货清单!A518,数据库!A:C,3,0),"")</f>
        <v/>
      </c>
      <c r="E518">
        <f>发货清单!M518</f>
        <v>0</v>
      </c>
      <c r="F518">
        <f>发货清单!U518</f>
        <v>0</v>
      </c>
      <c r="G518" t="str">
        <f>IFERROR(VLOOKUP(发货清单!A518,数据库!A:B,2,0),"")</f>
        <v/>
      </c>
      <c r="H518">
        <f>发货清单!N518</f>
        <v>0</v>
      </c>
      <c r="I518" t="str">
        <f t="shared" si="72"/>
        <v/>
      </c>
      <c r="J518" t="str">
        <f t="shared" si="73"/>
        <v xml:space="preserve"> </v>
      </c>
      <c r="K518" t="str">
        <f t="shared" si="74"/>
        <v/>
      </c>
      <c r="L518" t="str">
        <f t="shared" si="75"/>
        <v/>
      </c>
      <c r="N518" s="245">
        <f t="shared" si="76"/>
        <v>0</v>
      </c>
      <c r="O518" s="245">
        <f t="shared" si="77"/>
        <v>0</v>
      </c>
      <c r="P518" t="str">
        <f t="shared" si="78"/>
        <v/>
      </c>
      <c r="Q518" t="str">
        <f>IFERROR(VLOOKUP(P518,数据库!C:M,11,0),"")</f>
        <v/>
      </c>
      <c r="R518" t="str">
        <f t="shared" si="79"/>
        <v/>
      </c>
      <c r="S518">
        <f t="shared" si="80"/>
        <v>0</v>
      </c>
    </row>
    <row r="519" spans="1:19">
      <c r="A519" t="str">
        <f>IF(B519=0,"",发货清单!A519*10^6+COUNTIF($D$2:D519,D519)*10^3+ROW(A518))</f>
        <v/>
      </c>
      <c r="B519">
        <f>IFERROR(LEFT(发货清单!H519,SEARCH("-",发货清单!H519)-1),发货清单!H519)</f>
        <v>0</v>
      </c>
      <c r="C519" t="str">
        <f>IFERROR(VLOOKUP(发货清单!A519,数据库!A:D,4,0),"")</f>
        <v/>
      </c>
      <c r="D519" t="str">
        <f>IFERROR(VLOOKUP(发货清单!A519,数据库!A:C,3,0),"")</f>
        <v/>
      </c>
      <c r="E519">
        <f>发货清单!M519</f>
        <v>0</v>
      </c>
      <c r="F519">
        <f>发货清单!U519</f>
        <v>0</v>
      </c>
      <c r="G519" t="str">
        <f>IFERROR(VLOOKUP(发货清单!A519,数据库!A:B,2,0),"")</f>
        <v/>
      </c>
      <c r="H519">
        <f>发货清单!N519</f>
        <v>0</v>
      </c>
      <c r="I519" t="str">
        <f t="shared" si="72"/>
        <v/>
      </c>
      <c r="J519" t="str">
        <f t="shared" si="73"/>
        <v xml:space="preserve"> </v>
      </c>
      <c r="K519" t="str">
        <f t="shared" si="74"/>
        <v/>
      </c>
      <c r="L519" t="str">
        <f t="shared" si="75"/>
        <v/>
      </c>
      <c r="N519" s="245">
        <f t="shared" si="76"/>
        <v>0</v>
      </c>
      <c r="O519" s="245">
        <f t="shared" si="77"/>
        <v>0</v>
      </c>
      <c r="P519" t="str">
        <f t="shared" si="78"/>
        <v/>
      </c>
      <c r="Q519" t="str">
        <f>IFERROR(VLOOKUP(P519,数据库!C:M,11,0),"")</f>
        <v/>
      </c>
      <c r="R519" t="str">
        <f t="shared" si="79"/>
        <v/>
      </c>
      <c r="S519">
        <f t="shared" si="80"/>
        <v>0</v>
      </c>
    </row>
    <row r="520" spans="1:19">
      <c r="A520" t="str">
        <f>IF(B520=0,"",发货清单!A520*10^6+COUNTIF($D$2:D520,D520)*10^3+ROW(A519))</f>
        <v/>
      </c>
      <c r="B520">
        <f>IFERROR(LEFT(发货清单!H520,SEARCH("-",发货清单!H520)-1),发货清单!H520)</f>
        <v>0</v>
      </c>
      <c r="C520" t="str">
        <f>IFERROR(VLOOKUP(发货清单!A520,数据库!A:D,4,0),"")</f>
        <v/>
      </c>
      <c r="D520" t="str">
        <f>IFERROR(VLOOKUP(发货清单!A520,数据库!A:C,3,0),"")</f>
        <v/>
      </c>
      <c r="E520">
        <f>发货清单!M520</f>
        <v>0</v>
      </c>
      <c r="F520">
        <f>发货清单!U520</f>
        <v>0</v>
      </c>
      <c r="G520" t="str">
        <f>IFERROR(VLOOKUP(发货清单!A520,数据库!A:B,2,0),"")</f>
        <v/>
      </c>
      <c r="H520">
        <f>发货清单!N520</f>
        <v>0</v>
      </c>
      <c r="I520" t="str">
        <f t="shared" si="72"/>
        <v/>
      </c>
      <c r="J520" t="str">
        <f t="shared" si="73"/>
        <v xml:space="preserve"> </v>
      </c>
      <c r="K520" t="str">
        <f t="shared" si="74"/>
        <v/>
      </c>
      <c r="L520" t="str">
        <f t="shared" si="75"/>
        <v/>
      </c>
      <c r="N520" s="245">
        <f t="shared" si="76"/>
        <v>0</v>
      </c>
      <c r="O520" s="245">
        <f t="shared" si="77"/>
        <v>0</v>
      </c>
      <c r="P520" t="str">
        <f t="shared" si="78"/>
        <v/>
      </c>
      <c r="Q520" t="str">
        <f>IFERROR(VLOOKUP(P520,数据库!C:M,11,0),"")</f>
        <v/>
      </c>
      <c r="R520" t="str">
        <f t="shared" si="79"/>
        <v/>
      </c>
      <c r="S520">
        <f t="shared" si="80"/>
        <v>0</v>
      </c>
    </row>
    <row r="521" spans="1:19">
      <c r="A521" t="str">
        <f>IF(B521=0,"",发货清单!A521*10^6+COUNTIF($D$2:D521,D521)*10^3+ROW(A520))</f>
        <v/>
      </c>
      <c r="B521">
        <f>IFERROR(LEFT(发货清单!H521,SEARCH("-",发货清单!H521)-1),发货清单!H521)</f>
        <v>0</v>
      </c>
      <c r="C521" t="str">
        <f>IFERROR(VLOOKUP(发货清单!A521,数据库!A:D,4,0),"")</f>
        <v/>
      </c>
      <c r="D521" t="str">
        <f>IFERROR(VLOOKUP(发货清单!A521,数据库!A:C,3,0),"")</f>
        <v/>
      </c>
      <c r="E521">
        <f>发货清单!M521</f>
        <v>0</v>
      </c>
      <c r="F521">
        <f>发货清单!U521</f>
        <v>0</v>
      </c>
      <c r="G521" t="str">
        <f>IFERROR(VLOOKUP(发货清单!A521,数据库!A:B,2,0),"")</f>
        <v/>
      </c>
      <c r="H521">
        <f>发货清单!N521</f>
        <v>0</v>
      </c>
      <c r="I521" t="str">
        <f t="shared" si="72"/>
        <v/>
      </c>
      <c r="J521" t="str">
        <f t="shared" si="73"/>
        <v xml:space="preserve"> </v>
      </c>
      <c r="K521" t="str">
        <f t="shared" si="74"/>
        <v/>
      </c>
      <c r="L521" t="str">
        <f t="shared" si="75"/>
        <v/>
      </c>
      <c r="N521" s="245">
        <f t="shared" si="76"/>
        <v>0</v>
      </c>
      <c r="O521" s="245">
        <f t="shared" si="77"/>
        <v>0</v>
      </c>
      <c r="P521" t="str">
        <f t="shared" si="78"/>
        <v/>
      </c>
      <c r="Q521" t="str">
        <f>IFERROR(VLOOKUP(P521,数据库!C:M,11,0),"")</f>
        <v/>
      </c>
      <c r="R521" t="str">
        <f t="shared" si="79"/>
        <v/>
      </c>
      <c r="S521">
        <f t="shared" si="80"/>
        <v>0</v>
      </c>
    </row>
    <row r="522" spans="1:19">
      <c r="A522" t="str">
        <f>IF(B522=0,"",发货清单!A522*10^6+COUNTIF($D$2:D522,D522)*10^3+ROW(A521))</f>
        <v/>
      </c>
      <c r="B522">
        <f>IFERROR(LEFT(发货清单!H522,SEARCH("-",发货清单!H522)-1),发货清单!H522)</f>
        <v>0</v>
      </c>
      <c r="C522" t="str">
        <f>IFERROR(VLOOKUP(发货清单!A522,数据库!A:D,4,0),"")</f>
        <v/>
      </c>
      <c r="D522" t="str">
        <f>IFERROR(VLOOKUP(发货清单!A522,数据库!A:C,3,0),"")</f>
        <v/>
      </c>
      <c r="E522">
        <f>发货清单!M522</f>
        <v>0</v>
      </c>
      <c r="F522">
        <f>发货清单!U522</f>
        <v>0</v>
      </c>
      <c r="G522" t="str">
        <f>IFERROR(VLOOKUP(发货清单!A522,数据库!A:B,2,0),"")</f>
        <v/>
      </c>
      <c r="H522">
        <f>发货清单!N522</f>
        <v>0</v>
      </c>
      <c r="I522" t="str">
        <f t="shared" si="72"/>
        <v/>
      </c>
      <c r="J522" t="str">
        <f t="shared" si="73"/>
        <v xml:space="preserve"> </v>
      </c>
      <c r="K522" t="str">
        <f t="shared" si="74"/>
        <v/>
      </c>
      <c r="L522" t="str">
        <f t="shared" si="75"/>
        <v/>
      </c>
      <c r="N522" s="245">
        <f t="shared" si="76"/>
        <v>0</v>
      </c>
      <c r="O522" s="245">
        <f t="shared" si="77"/>
        <v>0</v>
      </c>
      <c r="P522" t="str">
        <f t="shared" si="78"/>
        <v/>
      </c>
      <c r="Q522" t="str">
        <f>IFERROR(VLOOKUP(P522,数据库!C:M,11,0),"")</f>
        <v/>
      </c>
      <c r="R522" t="str">
        <f t="shared" si="79"/>
        <v/>
      </c>
      <c r="S522">
        <f t="shared" si="80"/>
        <v>0</v>
      </c>
    </row>
    <row r="523" spans="1:19">
      <c r="A523" t="str">
        <f>IF(B523=0,"",发货清单!A523*10^6+COUNTIF($D$2:D523,D523)*10^3+ROW(A522))</f>
        <v/>
      </c>
      <c r="B523">
        <f>IFERROR(LEFT(发货清单!H523,SEARCH("-",发货清单!H523)-1),发货清单!H523)</f>
        <v>0</v>
      </c>
      <c r="C523" t="str">
        <f>IFERROR(VLOOKUP(发货清单!A523,数据库!A:D,4,0),"")</f>
        <v/>
      </c>
      <c r="D523" t="str">
        <f>IFERROR(VLOOKUP(发货清单!A523,数据库!A:C,3,0),"")</f>
        <v/>
      </c>
      <c r="E523">
        <f>发货清单!M523</f>
        <v>0</v>
      </c>
      <c r="F523">
        <f>发货清单!U523</f>
        <v>0</v>
      </c>
      <c r="G523" t="str">
        <f>IFERROR(VLOOKUP(发货清单!A523,数据库!A:B,2,0),"")</f>
        <v/>
      </c>
      <c r="H523">
        <f>发货清单!N523</f>
        <v>0</v>
      </c>
      <c r="I523" t="str">
        <f t="shared" si="72"/>
        <v/>
      </c>
      <c r="J523" t="str">
        <f t="shared" si="73"/>
        <v xml:space="preserve"> </v>
      </c>
      <c r="K523" t="str">
        <f t="shared" si="74"/>
        <v/>
      </c>
      <c r="L523" t="str">
        <f t="shared" si="75"/>
        <v/>
      </c>
      <c r="N523" s="245">
        <f t="shared" si="76"/>
        <v>0</v>
      </c>
      <c r="O523" s="245">
        <f t="shared" si="77"/>
        <v>0</v>
      </c>
      <c r="P523" t="str">
        <f t="shared" si="78"/>
        <v/>
      </c>
      <c r="Q523" t="str">
        <f>IFERROR(VLOOKUP(P523,数据库!C:M,11,0),"")</f>
        <v/>
      </c>
      <c r="R523" t="str">
        <f t="shared" si="79"/>
        <v/>
      </c>
      <c r="S523">
        <f t="shared" si="80"/>
        <v>0</v>
      </c>
    </row>
    <row r="524" spans="1:19">
      <c r="A524" t="str">
        <f>IF(B524=0,"",发货清单!A524*10^6+COUNTIF($D$2:D524,D524)*10^3+ROW(A523))</f>
        <v/>
      </c>
      <c r="B524">
        <f>IFERROR(LEFT(发货清单!H524,SEARCH("-",发货清单!H524)-1),发货清单!H524)</f>
        <v>0</v>
      </c>
      <c r="C524" t="str">
        <f>IFERROR(VLOOKUP(发货清单!A524,数据库!A:D,4,0),"")</f>
        <v/>
      </c>
      <c r="D524" t="str">
        <f>IFERROR(VLOOKUP(发货清单!A524,数据库!A:C,3,0),"")</f>
        <v/>
      </c>
      <c r="E524">
        <f>发货清单!M524</f>
        <v>0</v>
      </c>
      <c r="F524">
        <f>发货清单!U524</f>
        <v>0</v>
      </c>
      <c r="G524" t="str">
        <f>IFERROR(VLOOKUP(发货清单!A524,数据库!A:B,2,0),"")</f>
        <v/>
      </c>
      <c r="H524">
        <f>发货清单!N524</f>
        <v>0</v>
      </c>
      <c r="I524" t="str">
        <f t="shared" si="72"/>
        <v/>
      </c>
      <c r="J524" t="str">
        <f t="shared" si="73"/>
        <v xml:space="preserve"> </v>
      </c>
      <c r="K524" t="str">
        <f t="shared" si="74"/>
        <v/>
      </c>
      <c r="L524" t="str">
        <f t="shared" si="75"/>
        <v/>
      </c>
      <c r="N524" s="245">
        <f t="shared" si="76"/>
        <v>0</v>
      </c>
      <c r="O524" s="245">
        <f t="shared" si="77"/>
        <v>0</v>
      </c>
      <c r="P524" t="str">
        <f t="shared" si="78"/>
        <v/>
      </c>
      <c r="Q524" t="str">
        <f>IFERROR(VLOOKUP(P524,数据库!C:M,11,0),"")</f>
        <v/>
      </c>
      <c r="R524" t="str">
        <f t="shared" si="79"/>
        <v/>
      </c>
      <c r="S524">
        <f t="shared" si="80"/>
        <v>0</v>
      </c>
    </row>
    <row r="525" spans="1:19">
      <c r="A525" t="str">
        <f>IF(B525=0,"",发货清单!A525*10^6+COUNTIF($D$2:D525,D525)*10^3+ROW(A524))</f>
        <v/>
      </c>
      <c r="B525">
        <f>IFERROR(LEFT(发货清单!H525,SEARCH("-",发货清单!H525)-1),发货清单!H525)</f>
        <v>0</v>
      </c>
      <c r="C525" t="str">
        <f>IFERROR(VLOOKUP(发货清单!A525,数据库!A:D,4,0),"")</f>
        <v/>
      </c>
      <c r="D525" t="str">
        <f>IFERROR(VLOOKUP(发货清单!A525,数据库!A:C,3,0),"")</f>
        <v/>
      </c>
      <c r="E525">
        <f>发货清单!M525</f>
        <v>0</v>
      </c>
      <c r="F525">
        <f>发货清单!U525</f>
        <v>0</v>
      </c>
      <c r="G525" t="str">
        <f>IFERROR(VLOOKUP(发货清单!A525,数据库!A:B,2,0),"")</f>
        <v/>
      </c>
      <c r="H525">
        <f>发货清单!N525</f>
        <v>0</v>
      </c>
      <c r="I525" t="str">
        <f t="shared" si="72"/>
        <v/>
      </c>
      <c r="J525" t="str">
        <f t="shared" si="73"/>
        <v xml:space="preserve"> </v>
      </c>
      <c r="K525" t="str">
        <f t="shared" si="74"/>
        <v/>
      </c>
      <c r="L525" t="str">
        <f t="shared" si="75"/>
        <v/>
      </c>
      <c r="N525" s="245">
        <f t="shared" si="76"/>
        <v>0</v>
      </c>
      <c r="O525" s="245">
        <f t="shared" si="77"/>
        <v>0</v>
      </c>
      <c r="P525" t="str">
        <f t="shared" si="78"/>
        <v/>
      </c>
      <c r="Q525" t="str">
        <f>IFERROR(VLOOKUP(P525,数据库!C:M,11,0),"")</f>
        <v/>
      </c>
      <c r="R525" t="str">
        <f t="shared" si="79"/>
        <v/>
      </c>
      <c r="S525">
        <f t="shared" si="80"/>
        <v>0</v>
      </c>
    </row>
    <row r="526" spans="1:19">
      <c r="A526" t="str">
        <f>IF(B526=0,"",发货清单!A526*10^6+COUNTIF($D$2:D526,D526)*10^3+ROW(A525))</f>
        <v/>
      </c>
      <c r="B526">
        <f>IFERROR(LEFT(发货清单!H526,SEARCH("-",发货清单!H526)-1),发货清单!H526)</f>
        <v>0</v>
      </c>
      <c r="C526" t="str">
        <f>IFERROR(VLOOKUP(发货清单!A526,数据库!A:D,4,0),"")</f>
        <v/>
      </c>
      <c r="D526" t="str">
        <f>IFERROR(VLOOKUP(发货清单!A526,数据库!A:C,3,0),"")</f>
        <v/>
      </c>
      <c r="E526">
        <f>发货清单!M526</f>
        <v>0</v>
      </c>
      <c r="F526">
        <f>发货清单!U526</f>
        <v>0</v>
      </c>
      <c r="G526" t="str">
        <f>IFERROR(VLOOKUP(发货清单!A526,数据库!A:B,2,0),"")</f>
        <v/>
      </c>
      <c r="H526">
        <f>发货清单!N526</f>
        <v>0</v>
      </c>
      <c r="I526" t="str">
        <f t="shared" si="72"/>
        <v/>
      </c>
      <c r="J526" t="str">
        <f t="shared" si="73"/>
        <v xml:space="preserve"> </v>
      </c>
      <c r="K526" t="str">
        <f t="shared" si="74"/>
        <v/>
      </c>
      <c r="L526" t="str">
        <f t="shared" si="75"/>
        <v/>
      </c>
      <c r="N526" s="245">
        <f t="shared" si="76"/>
        <v>0</v>
      </c>
      <c r="O526" s="245">
        <f t="shared" si="77"/>
        <v>0</v>
      </c>
      <c r="P526" t="str">
        <f t="shared" si="78"/>
        <v/>
      </c>
      <c r="Q526" t="str">
        <f>IFERROR(VLOOKUP(P526,数据库!C:M,11,0),"")</f>
        <v/>
      </c>
      <c r="R526" t="str">
        <f t="shared" si="79"/>
        <v/>
      </c>
      <c r="S526">
        <f t="shared" si="80"/>
        <v>0</v>
      </c>
    </row>
    <row r="527" spans="1:19">
      <c r="A527" t="str">
        <f>IF(B527=0,"",发货清单!A527*10^6+COUNTIF($D$2:D527,D527)*10^3+ROW(A526))</f>
        <v/>
      </c>
      <c r="B527">
        <f>IFERROR(LEFT(发货清单!H527,SEARCH("-",发货清单!H527)-1),发货清单!H527)</f>
        <v>0</v>
      </c>
      <c r="C527" t="str">
        <f>IFERROR(VLOOKUP(发货清单!A527,数据库!A:D,4,0),"")</f>
        <v/>
      </c>
      <c r="D527" t="str">
        <f>IFERROR(VLOOKUP(发货清单!A527,数据库!A:C,3,0),"")</f>
        <v/>
      </c>
      <c r="E527">
        <f>发货清单!M527</f>
        <v>0</v>
      </c>
      <c r="F527">
        <f>发货清单!U527</f>
        <v>0</v>
      </c>
      <c r="G527" t="str">
        <f>IFERROR(VLOOKUP(发货清单!A527,数据库!A:B,2,0),"")</f>
        <v/>
      </c>
      <c r="H527">
        <f>发货清单!N527</f>
        <v>0</v>
      </c>
      <c r="I527" t="str">
        <f t="shared" si="72"/>
        <v/>
      </c>
      <c r="J527" t="str">
        <f t="shared" si="73"/>
        <v xml:space="preserve"> </v>
      </c>
      <c r="K527" t="str">
        <f t="shared" si="74"/>
        <v/>
      </c>
      <c r="L527" t="str">
        <f t="shared" si="75"/>
        <v/>
      </c>
      <c r="N527" s="245">
        <f t="shared" si="76"/>
        <v>0</v>
      </c>
      <c r="O527" s="245">
        <f t="shared" si="77"/>
        <v>0</v>
      </c>
      <c r="P527" t="str">
        <f t="shared" si="78"/>
        <v/>
      </c>
      <c r="Q527" t="str">
        <f>IFERROR(VLOOKUP(P527,数据库!C:M,11,0),"")</f>
        <v/>
      </c>
      <c r="R527" t="str">
        <f t="shared" si="79"/>
        <v/>
      </c>
      <c r="S527">
        <f t="shared" si="80"/>
        <v>0</v>
      </c>
    </row>
    <row r="528" spans="1:19">
      <c r="A528" t="str">
        <f>IF(B528=0,"",发货清单!A528*10^6+COUNTIF($D$2:D528,D528)*10^3+ROW(A527))</f>
        <v/>
      </c>
      <c r="B528">
        <f>IFERROR(LEFT(发货清单!H528,SEARCH("-",发货清单!H528)-1),发货清单!H528)</f>
        <v>0</v>
      </c>
      <c r="C528" t="str">
        <f>IFERROR(VLOOKUP(发货清单!A528,数据库!A:D,4,0),"")</f>
        <v/>
      </c>
      <c r="D528" t="str">
        <f>IFERROR(VLOOKUP(发货清单!A528,数据库!A:C,3,0),"")</f>
        <v/>
      </c>
      <c r="E528">
        <f>发货清单!M528</f>
        <v>0</v>
      </c>
      <c r="F528">
        <f>发货清单!U528</f>
        <v>0</v>
      </c>
      <c r="G528" t="str">
        <f>IFERROR(VLOOKUP(发货清单!A528,数据库!A:B,2,0),"")</f>
        <v/>
      </c>
      <c r="H528">
        <f>发货清单!N528</f>
        <v>0</v>
      </c>
      <c r="I528" t="str">
        <f t="shared" si="72"/>
        <v/>
      </c>
      <c r="J528" t="str">
        <f t="shared" si="73"/>
        <v xml:space="preserve"> </v>
      </c>
      <c r="K528" t="str">
        <f t="shared" si="74"/>
        <v/>
      </c>
      <c r="L528" t="str">
        <f t="shared" si="75"/>
        <v/>
      </c>
      <c r="N528" s="245">
        <f t="shared" si="76"/>
        <v>0</v>
      </c>
      <c r="O528" s="245">
        <f t="shared" si="77"/>
        <v>0</v>
      </c>
      <c r="P528" t="str">
        <f t="shared" si="78"/>
        <v/>
      </c>
      <c r="Q528" t="str">
        <f>IFERROR(VLOOKUP(P528,数据库!C:M,11,0),"")</f>
        <v/>
      </c>
      <c r="R528" t="str">
        <f t="shared" si="79"/>
        <v/>
      </c>
      <c r="S528">
        <f t="shared" si="80"/>
        <v>0</v>
      </c>
    </row>
    <row r="529" spans="1:19">
      <c r="A529" t="str">
        <f>IF(B529=0,"",发货清单!A529*10^6+COUNTIF($D$2:D529,D529)*10^3+ROW(A528))</f>
        <v/>
      </c>
      <c r="B529">
        <f>IFERROR(LEFT(发货清单!H529,SEARCH("-",发货清单!H529)-1),发货清单!H529)</f>
        <v>0</v>
      </c>
      <c r="C529" t="str">
        <f>IFERROR(VLOOKUP(发货清单!A529,数据库!A:D,4,0),"")</f>
        <v/>
      </c>
      <c r="D529" t="str">
        <f>IFERROR(VLOOKUP(发货清单!A529,数据库!A:C,3,0),"")</f>
        <v/>
      </c>
      <c r="E529">
        <f>发货清单!M529</f>
        <v>0</v>
      </c>
      <c r="F529">
        <f>发货清单!U529</f>
        <v>0</v>
      </c>
      <c r="G529" t="str">
        <f>IFERROR(VLOOKUP(发货清单!A529,数据库!A:B,2,0),"")</f>
        <v/>
      </c>
      <c r="H529">
        <f>发货清单!N529</f>
        <v>0</v>
      </c>
      <c r="I529" t="str">
        <f t="shared" si="72"/>
        <v/>
      </c>
      <c r="J529" t="str">
        <f t="shared" si="73"/>
        <v xml:space="preserve"> </v>
      </c>
      <c r="K529" t="str">
        <f t="shared" si="74"/>
        <v/>
      </c>
      <c r="L529" t="str">
        <f t="shared" si="75"/>
        <v/>
      </c>
      <c r="N529" s="245">
        <f t="shared" si="76"/>
        <v>0</v>
      </c>
      <c r="O529" s="245">
        <f t="shared" si="77"/>
        <v>0</v>
      </c>
      <c r="P529" t="str">
        <f t="shared" si="78"/>
        <v/>
      </c>
      <c r="Q529" t="str">
        <f>IFERROR(VLOOKUP(P529,数据库!C:M,11,0),"")</f>
        <v/>
      </c>
      <c r="R529" t="str">
        <f t="shared" si="79"/>
        <v/>
      </c>
      <c r="S529">
        <f t="shared" si="80"/>
        <v>0</v>
      </c>
    </row>
    <row r="530" spans="1:19">
      <c r="A530" t="str">
        <f>IF(B530=0,"",发货清单!A530*10^6+COUNTIF($D$2:D530,D530)*10^3+ROW(A529))</f>
        <v/>
      </c>
      <c r="B530">
        <f>IFERROR(LEFT(发货清单!H530,SEARCH("-",发货清单!H530)-1),发货清单!H530)</f>
        <v>0</v>
      </c>
      <c r="C530" t="str">
        <f>IFERROR(VLOOKUP(发货清单!A530,数据库!A:D,4,0),"")</f>
        <v/>
      </c>
      <c r="D530" t="str">
        <f>IFERROR(VLOOKUP(发货清单!A530,数据库!A:C,3,0),"")</f>
        <v/>
      </c>
      <c r="E530">
        <f>发货清单!M530</f>
        <v>0</v>
      </c>
      <c r="F530">
        <f>发货清单!U530</f>
        <v>0</v>
      </c>
      <c r="G530" t="str">
        <f>IFERROR(VLOOKUP(发货清单!A530,数据库!A:B,2,0),"")</f>
        <v/>
      </c>
      <c r="H530">
        <f>发货清单!N530</f>
        <v>0</v>
      </c>
      <c r="I530" t="str">
        <f t="shared" si="72"/>
        <v/>
      </c>
      <c r="J530" t="str">
        <f t="shared" si="73"/>
        <v xml:space="preserve"> </v>
      </c>
      <c r="K530" t="str">
        <f t="shared" si="74"/>
        <v/>
      </c>
      <c r="L530" t="str">
        <f t="shared" si="75"/>
        <v/>
      </c>
      <c r="N530" s="245">
        <f t="shared" si="76"/>
        <v>0</v>
      </c>
      <c r="O530" s="245">
        <f t="shared" si="77"/>
        <v>0</v>
      </c>
      <c r="P530" t="str">
        <f t="shared" si="78"/>
        <v/>
      </c>
      <c r="Q530" t="str">
        <f>IFERROR(VLOOKUP(P530,数据库!C:M,11,0),"")</f>
        <v/>
      </c>
      <c r="R530" t="str">
        <f t="shared" si="79"/>
        <v/>
      </c>
      <c r="S530">
        <f t="shared" si="80"/>
        <v>0</v>
      </c>
    </row>
    <row r="531" spans="1:19">
      <c r="A531" t="str">
        <f>IF(B531=0,"",发货清单!A531*10^6+COUNTIF($D$2:D531,D531)*10^3+ROW(A530))</f>
        <v/>
      </c>
      <c r="B531">
        <f>IFERROR(LEFT(发货清单!H531,SEARCH("-",发货清单!H531)-1),发货清单!H531)</f>
        <v>0</v>
      </c>
      <c r="C531" t="str">
        <f>IFERROR(VLOOKUP(发货清单!A531,数据库!A:D,4,0),"")</f>
        <v/>
      </c>
      <c r="D531" t="str">
        <f>IFERROR(VLOOKUP(发货清单!A531,数据库!A:C,3,0),"")</f>
        <v/>
      </c>
      <c r="E531">
        <f>发货清单!M531</f>
        <v>0</v>
      </c>
      <c r="F531">
        <f>发货清单!U531</f>
        <v>0</v>
      </c>
      <c r="G531" t="str">
        <f>IFERROR(VLOOKUP(发货清单!A531,数据库!A:B,2,0),"")</f>
        <v/>
      </c>
      <c r="H531">
        <f>发货清单!N531</f>
        <v>0</v>
      </c>
      <c r="I531" t="str">
        <f t="shared" si="72"/>
        <v/>
      </c>
      <c r="J531" t="str">
        <f t="shared" si="73"/>
        <v xml:space="preserve"> </v>
      </c>
      <c r="K531" t="str">
        <f t="shared" si="74"/>
        <v/>
      </c>
      <c r="L531" t="str">
        <f t="shared" si="75"/>
        <v/>
      </c>
      <c r="N531" s="245">
        <f t="shared" si="76"/>
        <v>0</v>
      </c>
      <c r="O531" s="245">
        <f t="shared" si="77"/>
        <v>0</v>
      </c>
      <c r="P531" t="str">
        <f t="shared" si="78"/>
        <v/>
      </c>
      <c r="Q531" t="str">
        <f>IFERROR(VLOOKUP(P531,数据库!C:M,11,0),"")</f>
        <v/>
      </c>
      <c r="R531" t="str">
        <f t="shared" si="79"/>
        <v/>
      </c>
      <c r="S531">
        <f t="shared" si="80"/>
        <v>0</v>
      </c>
    </row>
    <row r="532" spans="1:19">
      <c r="A532" t="str">
        <f>IF(B532=0,"",发货清单!A532*10^6+COUNTIF($D$2:D532,D532)*10^3+ROW(A531))</f>
        <v/>
      </c>
      <c r="B532">
        <f>IFERROR(LEFT(发货清单!H532,SEARCH("-",发货清单!H532)-1),发货清单!H532)</f>
        <v>0</v>
      </c>
      <c r="C532" t="str">
        <f>IFERROR(VLOOKUP(发货清单!A532,数据库!A:D,4,0),"")</f>
        <v/>
      </c>
      <c r="D532" t="str">
        <f>IFERROR(VLOOKUP(发货清单!A532,数据库!A:C,3,0),"")</f>
        <v/>
      </c>
      <c r="E532">
        <f>发货清单!M532</f>
        <v>0</v>
      </c>
      <c r="F532">
        <f>发货清单!U532</f>
        <v>0</v>
      </c>
      <c r="G532" t="str">
        <f>IFERROR(VLOOKUP(发货清单!A532,数据库!A:B,2,0),"")</f>
        <v/>
      </c>
      <c r="H532">
        <f>发货清单!N532</f>
        <v>0</v>
      </c>
      <c r="I532" t="str">
        <f t="shared" si="72"/>
        <v/>
      </c>
      <c r="J532" t="str">
        <f t="shared" si="73"/>
        <v xml:space="preserve"> </v>
      </c>
      <c r="K532" t="str">
        <f t="shared" si="74"/>
        <v/>
      </c>
      <c r="L532" t="str">
        <f t="shared" si="75"/>
        <v/>
      </c>
      <c r="N532" s="245">
        <f t="shared" si="76"/>
        <v>0</v>
      </c>
      <c r="O532" s="245">
        <f t="shared" si="77"/>
        <v>0</v>
      </c>
      <c r="P532" t="str">
        <f t="shared" si="78"/>
        <v/>
      </c>
      <c r="Q532" t="str">
        <f>IFERROR(VLOOKUP(P532,数据库!C:M,11,0),"")</f>
        <v/>
      </c>
      <c r="R532" t="str">
        <f t="shared" si="79"/>
        <v/>
      </c>
      <c r="S532">
        <f t="shared" si="80"/>
        <v>0</v>
      </c>
    </row>
    <row r="533" spans="1:19">
      <c r="A533" t="str">
        <f>IF(B533=0,"",发货清单!A533*10^6+COUNTIF($D$2:D533,D533)*10^3+ROW(A532))</f>
        <v/>
      </c>
      <c r="B533">
        <f>IFERROR(LEFT(发货清单!H533,SEARCH("-",发货清单!H533)-1),发货清单!H533)</f>
        <v>0</v>
      </c>
      <c r="C533" t="str">
        <f>IFERROR(VLOOKUP(发货清单!A533,数据库!A:D,4,0),"")</f>
        <v/>
      </c>
      <c r="D533" t="str">
        <f>IFERROR(VLOOKUP(发货清单!A533,数据库!A:C,3,0),"")</f>
        <v/>
      </c>
      <c r="E533">
        <f>发货清单!M533</f>
        <v>0</v>
      </c>
      <c r="F533">
        <f>发货清单!U533</f>
        <v>0</v>
      </c>
      <c r="G533" t="str">
        <f>IFERROR(VLOOKUP(发货清单!A533,数据库!A:B,2,0),"")</f>
        <v/>
      </c>
      <c r="H533">
        <f>发货清单!N533</f>
        <v>0</v>
      </c>
      <c r="I533" t="str">
        <f t="shared" si="72"/>
        <v/>
      </c>
      <c r="J533" t="str">
        <f t="shared" si="73"/>
        <v xml:space="preserve"> </v>
      </c>
      <c r="K533" t="str">
        <f t="shared" si="74"/>
        <v/>
      </c>
      <c r="L533" t="str">
        <f t="shared" si="75"/>
        <v/>
      </c>
      <c r="N533" s="245">
        <f t="shared" si="76"/>
        <v>0</v>
      </c>
      <c r="O533" s="245">
        <f t="shared" si="77"/>
        <v>0</v>
      </c>
      <c r="P533" t="str">
        <f t="shared" si="78"/>
        <v/>
      </c>
      <c r="Q533" t="str">
        <f>IFERROR(VLOOKUP(P533,数据库!C:M,11,0),"")</f>
        <v/>
      </c>
      <c r="R533" t="str">
        <f t="shared" si="79"/>
        <v/>
      </c>
      <c r="S533">
        <f t="shared" si="80"/>
        <v>0</v>
      </c>
    </row>
    <row r="534" spans="1:19">
      <c r="A534" t="str">
        <f>IF(B534=0,"",发货清单!A534*10^6+COUNTIF($D$2:D534,D534)*10^3+ROW(A533))</f>
        <v/>
      </c>
      <c r="B534">
        <f>IFERROR(LEFT(发货清单!H534,SEARCH("-",发货清单!H534)-1),发货清单!H534)</f>
        <v>0</v>
      </c>
      <c r="C534" t="str">
        <f>IFERROR(VLOOKUP(发货清单!A534,数据库!A:D,4,0),"")</f>
        <v/>
      </c>
      <c r="D534" t="str">
        <f>IFERROR(VLOOKUP(发货清单!A534,数据库!A:C,3,0),"")</f>
        <v/>
      </c>
      <c r="E534">
        <f>发货清单!M534</f>
        <v>0</v>
      </c>
      <c r="F534">
        <f>发货清单!U534</f>
        <v>0</v>
      </c>
      <c r="G534" t="str">
        <f>IFERROR(VLOOKUP(发货清单!A534,数据库!A:B,2,0),"")</f>
        <v/>
      </c>
      <c r="H534">
        <f>发货清单!N534</f>
        <v>0</v>
      </c>
      <c r="I534" t="str">
        <f t="shared" si="72"/>
        <v/>
      </c>
      <c r="J534" t="str">
        <f t="shared" si="73"/>
        <v xml:space="preserve"> </v>
      </c>
      <c r="K534" t="str">
        <f t="shared" si="74"/>
        <v/>
      </c>
      <c r="L534" t="str">
        <f t="shared" si="75"/>
        <v/>
      </c>
      <c r="N534" s="245">
        <f t="shared" si="76"/>
        <v>0</v>
      </c>
      <c r="O534" s="245">
        <f t="shared" si="77"/>
        <v>0</v>
      </c>
      <c r="P534" t="str">
        <f t="shared" si="78"/>
        <v/>
      </c>
      <c r="Q534" t="str">
        <f>IFERROR(VLOOKUP(P534,数据库!C:M,11,0),"")</f>
        <v/>
      </c>
      <c r="R534" t="str">
        <f t="shared" si="79"/>
        <v/>
      </c>
      <c r="S534">
        <f t="shared" si="80"/>
        <v>0</v>
      </c>
    </row>
    <row r="535" spans="1:19">
      <c r="A535" t="str">
        <f>IF(B535=0,"",发货清单!A535*10^6+COUNTIF($D$2:D535,D535)*10^3+ROW(A534))</f>
        <v/>
      </c>
      <c r="B535">
        <f>IFERROR(LEFT(发货清单!H535,SEARCH("-",发货清单!H535)-1),发货清单!H535)</f>
        <v>0</v>
      </c>
      <c r="C535" t="str">
        <f>IFERROR(VLOOKUP(发货清单!A535,数据库!A:D,4,0),"")</f>
        <v/>
      </c>
      <c r="D535" t="str">
        <f>IFERROR(VLOOKUP(发货清单!A535,数据库!A:C,3,0),"")</f>
        <v/>
      </c>
      <c r="E535">
        <f>发货清单!M535</f>
        <v>0</v>
      </c>
      <c r="F535">
        <f>发货清单!U535</f>
        <v>0</v>
      </c>
      <c r="G535" t="str">
        <f>IFERROR(VLOOKUP(发货清单!A535,数据库!A:B,2,0),"")</f>
        <v/>
      </c>
      <c r="H535">
        <f>发货清单!N535</f>
        <v>0</v>
      </c>
      <c r="I535" t="str">
        <f t="shared" si="72"/>
        <v/>
      </c>
      <c r="J535" t="str">
        <f t="shared" si="73"/>
        <v xml:space="preserve"> </v>
      </c>
      <c r="K535" t="str">
        <f t="shared" si="74"/>
        <v/>
      </c>
      <c r="L535" t="str">
        <f t="shared" si="75"/>
        <v/>
      </c>
      <c r="N535" s="245">
        <f t="shared" si="76"/>
        <v>0</v>
      </c>
      <c r="O535" s="245">
        <f t="shared" si="77"/>
        <v>0</v>
      </c>
      <c r="P535" t="str">
        <f t="shared" si="78"/>
        <v/>
      </c>
      <c r="Q535" t="str">
        <f>IFERROR(VLOOKUP(P535,数据库!C:M,11,0),"")</f>
        <v/>
      </c>
      <c r="R535" t="str">
        <f t="shared" si="79"/>
        <v/>
      </c>
      <c r="S535">
        <f t="shared" si="80"/>
        <v>0</v>
      </c>
    </row>
    <row r="536" spans="1:19">
      <c r="A536" t="str">
        <f>IF(B536=0,"",发货清单!A536*10^6+COUNTIF($D$2:D536,D536)*10^3+ROW(A535))</f>
        <v/>
      </c>
      <c r="B536">
        <f>IFERROR(LEFT(发货清单!H536,SEARCH("-",发货清单!H536)-1),发货清单!H536)</f>
        <v>0</v>
      </c>
      <c r="C536" t="str">
        <f>IFERROR(VLOOKUP(发货清单!A536,数据库!A:D,4,0),"")</f>
        <v/>
      </c>
      <c r="D536" t="str">
        <f>IFERROR(VLOOKUP(发货清单!A536,数据库!A:C,3,0),"")</f>
        <v/>
      </c>
      <c r="E536">
        <f>发货清单!M536</f>
        <v>0</v>
      </c>
      <c r="F536">
        <f>发货清单!U536</f>
        <v>0</v>
      </c>
      <c r="G536" t="str">
        <f>IFERROR(VLOOKUP(发货清单!A536,数据库!A:B,2,0),"")</f>
        <v/>
      </c>
      <c r="H536">
        <f>发货清单!N536</f>
        <v>0</v>
      </c>
      <c r="I536" t="str">
        <f t="shared" si="72"/>
        <v/>
      </c>
      <c r="J536" t="str">
        <f t="shared" si="73"/>
        <v xml:space="preserve"> </v>
      </c>
      <c r="K536" t="str">
        <f t="shared" si="74"/>
        <v/>
      </c>
      <c r="L536" t="str">
        <f t="shared" si="75"/>
        <v/>
      </c>
      <c r="N536" s="245">
        <f t="shared" si="76"/>
        <v>0</v>
      </c>
      <c r="O536" s="245">
        <f t="shared" si="77"/>
        <v>0</v>
      </c>
      <c r="P536" t="str">
        <f t="shared" si="78"/>
        <v/>
      </c>
      <c r="Q536" t="str">
        <f>IFERROR(VLOOKUP(P536,数据库!C:M,11,0),"")</f>
        <v/>
      </c>
      <c r="R536" t="str">
        <f t="shared" si="79"/>
        <v/>
      </c>
      <c r="S536">
        <f t="shared" si="80"/>
        <v>0</v>
      </c>
    </row>
    <row r="537" spans="1:19">
      <c r="A537" t="str">
        <f>IF(B537=0,"",发货清单!A537*10^6+COUNTIF($D$2:D537,D537)*10^3+ROW(A536))</f>
        <v/>
      </c>
      <c r="B537">
        <f>IFERROR(LEFT(发货清单!H537,SEARCH("-",发货清单!H537)-1),发货清单!H537)</f>
        <v>0</v>
      </c>
      <c r="C537" t="str">
        <f>IFERROR(VLOOKUP(发货清单!A537,数据库!A:D,4,0),"")</f>
        <v/>
      </c>
      <c r="D537" t="str">
        <f>IFERROR(VLOOKUP(发货清单!A537,数据库!A:C,3,0),"")</f>
        <v/>
      </c>
      <c r="E537">
        <f>发货清单!M537</f>
        <v>0</v>
      </c>
      <c r="F537">
        <f>发货清单!U537</f>
        <v>0</v>
      </c>
      <c r="G537" t="str">
        <f>IFERROR(VLOOKUP(发货清单!A537,数据库!A:B,2,0),"")</f>
        <v/>
      </c>
      <c r="H537">
        <f>发货清单!N537</f>
        <v>0</v>
      </c>
      <c r="I537" t="str">
        <f t="shared" si="72"/>
        <v/>
      </c>
      <c r="J537" t="str">
        <f t="shared" si="73"/>
        <v xml:space="preserve"> </v>
      </c>
      <c r="K537" t="str">
        <f t="shared" si="74"/>
        <v/>
      </c>
      <c r="L537" t="str">
        <f t="shared" si="75"/>
        <v/>
      </c>
      <c r="N537" s="245">
        <f t="shared" si="76"/>
        <v>0</v>
      </c>
      <c r="O537" s="245">
        <f t="shared" si="77"/>
        <v>0</v>
      </c>
      <c r="P537" t="str">
        <f t="shared" si="78"/>
        <v/>
      </c>
      <c r="Q537" t="str">
        <f>IFERROR(VLOOKUP(P537,数据库!C:M,11,0),"")</f>
        <v/>
      </c>
      <c r="R537" t="str">
        <f t="shared" si="79"/>
        <v/>
      </c>
      <c r="S537">
        <f t="shared" si="80"/>
        <v>0</v>
      </c>
    </row>
    <row r="538" spans="1:19">
      <c r="A538" t="str">
        <f>IF(B538=0,"",发货清单!A538*10^6+COUNTIF($D$2:D538,D538)*10^3+ROW(A537))</f>
        <v/>
      </c>
      <c r="B538">
        <f>IFERROR(LEFT(发货清单!H538,SEARCH("-",发货清单!H538)-1),发货清单!H538)</f>
        <v>0</v>
      </c>
      <c r="C538" t="str">
        <f>IFERROR(VLOOKUP(发货清单!A538,数据库!A:D,4,0),"")</f>
        <v/>
      </c>
      <c r="D538" t="str">
        <f>IFERROR(VLOOKUP(发货清单!A538,数据库!A:C,3,0),"")</f>
        <v/>
      </c>
      <c r="E538">
        <f>发货清单!M538</f>
        <v>0</v>
      </c>
      <c r="F538">
        <f>发货清单!U538</f>
        <v>0</v>
      </c>
      <c r="G538" t="str">
        <f>IFERROR(VLOOKUP(发货清单!A538,数据库!A:B,2,0),"")</f>
        <v/>
      </c>
      <c r="H538">
        <f>发货清单!N538</f>
        <v>0</v>
      </c>
      <c r="I538" t="str">
        <f t="shared" si="72"/>
        <v/>
      </c>
      <c r="J538" t="str">
        <f t="shared" si="73"/>
        <v xml:space="preserve"> </v>
      </c>
      <c r="K538" t="str">
        <f t="shared" si="74"/>
        <v/>
      </c>
      <c r="L538" t="str">
        <f t="shared" si="75"/>
        <v/>
      </c>
      <c r="N538" s="245">
        <f t="shared" si="76"/>
        <v>0</v>
      </c>
      <c r="O538" s="245">
        <f t="shared" si="77"/>
        <v>0</v>
      </c>
      <c r="P538" t="str">
        <f t="shared" si="78"/>
        <v/>
      </c>
      <c r="Q538" t="str">
        <f>IFERROR(VLOOKUP(P538,数据库!C:M,11,0),"")</f>
        <v/>
      </c>
      <c r="R538" t="str">
        <f t="shared" si="79"/>
        <v/>
      </c>
      <c r="S538">
        <f t="shared" si="80"/>
        <v>0</v>
      </c>
    </row>
    <row r="539" spans="1:19">
      <c r="A539" t="str">
        <f>IF(B539=0,"",发货清单!A539*10^6+COUNTIF($D$2:D539,D539)*10^3+ROW(A538))</f>
        <v/>
      </c>
      <c r="B539">
        <f>IFERROR(LEFT(发货清单!H539,SEARCH("-",发货清单!H539)-1),发货清单!H539)</f>
        <v>0</v>
      </c>
      <c r="C539" t="str">
        <f>IFERROR(VLOOKUP(发货清单!A539,数据库!A:D,4,0),"")</f>
        <v/>
      </c>
      <c r="D539" t="str">
        <f>IFERROR(VLOOKUP(发货清单!A539,数据库!A:C,3,0),"")</f>
        <v/>
      </c>
      <c r="E539">
        <f>发货清单!M539</f>
        <v>0</v>
      </c>
      <c r="F539">
        <f>发货清单!U539</f>
        <v>0</v>
      </c>
      <c r="G539" t="str">
        <f>IFERROR(VLOOKUP(发货清单!A539,数据库!A:B,2,0),"")</f>
        <v/>
      </c>
      <c r="H539">
        <f>发货清单!N539</f>
        <v>0</v>
      </c>
      <c r="I539" t="str">
        <f t="shared" si="72"/>
        <v/>
      </c>
      <c r="J539" t="str">
        <f t="shared" si="73"/>
        <v xml:space="preserve"> </v>
      </c>
      <c r="K539" t="str">
        <f t="shared" si="74"/>
        <v/>
      </c>
      <c r="L539" t="str">
        <f t="shared" si="75"/>
        <v/>
      </c>
      <c r="N539" s="245">
        <f t="shared" si="76"/>
        <v>0</v>
      </c>
      <c r="O539" s="245">
        <f t="shared" si="77"/>
        <v>0</v>
      </c>
      <c r="P539" t="str">
        <f t="shared" si="78"/>
        <v/>
      </c>
      <c r="Q539" t="str">
        <f>IFERROR(VLOOKUP(P539,数据库!C:M,11,0),"")</f>
        <v/>
      </c>
      <c r="R539" t="str">
        <f t="shared" si="79"/>
        <v/>
      </c>
      <c r="S539">
        <f t="shared" si="80"/>
        <v>0</v>
      </c>
    </row>
    <row r="540" spans="1:19">
      <c r="A540" t="str">
        <f>IF(B540=0,"",发货清单!A540*10^6+COUNTIF($D$2:D540,D540)*10^3+ROW(A539))</f>
        <v/>
      </c>
      <c r="B540">
        <f>IFERROR(LEFT(发货清单!H540,SEARCH("-",发货清单!H540)-1),发货清单!H540)</f>
        <v>0</v>
      </c>
      <c r="C540" t="str">
        <f>IFERROR(VLOOKUP(发货清单!A540,数据库!A:D,4,0),"")</f>
        <v/>
      </c>
      <c r="D540" t="str">
        <f>IFERROR(VLOOKUP(发货清单!A540,数据库!A:C,3,0),"")</f>
        <v/>
      </c>
      <c r="E540">
        <f>发货清单!M540</f>
        <v>0</v>
      </c>
      <c r="F540">
        <f>发货清单!U540</f>
        <v>0</v>
      </c>
      <c r="G540" t="str">
        <f>IFERROR(VLOOKUP(发货清单!A540,数据库!A:B,2,0),"")</f>
        <v/>
      </c>
      <c r="H540">
        <f>发货清单!N540</f>
        <v>0</v>
      </c>
      <c r="I540" t="str">
        <f t="shared" si="72"/>
        <v/>
      </c>
      <c r="J540" t="str">
        <f t="shared" si="73"/>
        <v xml:space="preserve"> </v>
      </c>
      <c r="K540" t="str">
        <f t="shared" si="74"/>
        <v/>
      </c>
      <c r="L540" t="str">
        <f t="shared" si="75"/>
        <v/>
      </c>
      <c r="N540" s="245">
        <f t="shared" si="76"/>
        <v>0</v>
      </c>
      <c r="O540" s="245">
        <f t="shared" si="77"/>
        <v>0</v>
      </c>
      <c r="P540" t="str">
        <f t="shared" si="78"/>
        <v/>
      </c>
      <c r="Q540" t="str">
        <f>IFERROR(VLOOKUP(P540,数据库!C:M,11,0),"")</f>
        <v/>
      </c>
      <c r="R540" t="str">
        <f t="shared" si="79"/>
        <v/>
      </c>
      <c r="S540">
        <f t="shared" si="80"/>
        <v>0</v>
      </c>
    </row>
    <row r="541" spans="1:19">
      <c r="A541" t="str">
        <f>IF(B541=0,"",发货清单!A541*10^6+COUNTIF($D$2:D541,D541)*10^3+ROW(A540))</f>
        <v/>
      </c>
      <c r="B541">
        <f>IFERROR(LEFT(发货清单!H541,SEARCH("-",发货清单!H541)-1),发货清单!H541)</f>
        <v>0</v>
      </c>
      <c r="C541" t="str">
        <f>IFERROR(VLOOKUP(发货清单!A541,数据库!A:D,4,0),"")</f>
        <v/>
      </c>
      <c r="D541" t="str">
        <f>IFERROR(VLOOKUP(发货清单!A541,数据库!A:C,3,0),"")</f>
        <v/>
      </c>
      <c r="E541">
        <f>发货清单!M541</f>
        <v>0</v>
      </c>
      <c r="F541">
        <f>发货清单!U541</f>
        <v>0</v>
      </c>
      <c r="G541" t="str">
        <f>IFERROR(VLOOKUP(发货清单!A541,数据库!A:B,2,0),"")</f>
        <v/>
      </c>
      <c r="H541">
        <f>发货清单!N541</f>
        <v>0</v>
      </c>
      <c r="I541" t="str">
        <f t="shared" si="72"/>
        <v/>
      </c>
      <c r="J541" t="str">
        <f t="shared" si="73"/>
        <v xml:space="preserve"> </v>
      </c>
      <c r="K541" t="str">
        <f t="shared" si="74"/>
        <v/>
      </c>
      <c r="L541" t="str">
        <f t="shared" si="75"/>
        <v/>
      </c>
      <c r="N541" s="245">
        <f t="shared" si="76"/>
        <v>0</v>
      </c>
      <c r="O541" s="245">
        <f t="shared" si="77"/>
        <v>0</v>
      </c>
      <c r="P541" t="str">
        <f t="shared" si="78"/>
        <v/>
      </c>
      <c r="Q541" t="str">
        <f>IFERROR(VLOOKUP(P541,数据库!C:M,11,0),"")</f>
        <v/>
      </c>
      <c r="R541" t="str">
        <f t="shared" si="79"/>
        <v/>
      </c>
      <c r="S541">
        <f t="shared" si="80"/>
        <v>0</v>
      </c>
    </row>
    <row r="542" spans="1:19">
      <c r="A542" t="str">
        <f>IF(B542=0,"",发货清单!A542*10^6+COUNTIF($D$2:D542,D542)*10^3+ROW(A541))</f>
        <v/>
      </c>
      <c r="B542">
        <f>IFERROR(LEFT(发货清单!H542,SEARCH("-",发货清单!H542)-1),发货清单!H542)</f>
        <v>0</v>
      </c>
      <c r="C542" t="str">
        <f>IFERROR(VLOOKUP(发货清单!A542,数据库!A:D,4,0),"")</f>
        <v/>
      </c>
      <c r="D542" t="str">
        <f>IFERROR(VLOOKUP(发货清单!A542,数据库!A:C,3,0),"")</f>
        <v/>
      </c>
      <c r="E542">
        <f>发货清单!M542</f>
        <v>0</v>
      </c>
      <c r="F542">
        <f>发货清单!U542</f>
        <v>0</v>
      </c>
      <c r="G542" t="str">
        <f>IFERROR(VLOOKUP(发货清单!A542,数据库!A:B,2,0),"")</f>
        <v/>
      </c>
      <c r="H542">
        <f>发货清单!N542</f>
        <v>0</v>
      </c>
      <c r="I542" t="str">
        <f t="shared" si="72"/>
        <v/>
      </c>
      <c r="J542" t="str">
        <f t="shared" si="73"/>
        <v xml:space="preserve"> </v>
      </c>
      <c r="K542" t="str">
        <f t="shared" si="74"/>
        <v/>
      </c>
      <c r="L542" t="str">
        <f t="shared" si="75"/>
        <v/>
      </c>
      <c r="N542" s="245">
        <f t="shared" si="76"/>
        <v>0</v>
      </c>
      <c r="O542" s="245">
        <f t="shared" si="77"/>
        <v>0</v>
      </c>
      <c r="P542" t="str">
        <f t="shared" si="78"/>
        <v/>
      </c>
      <c r="Q542" t="str">
        <f>IFERROR(VLOOKUP(P542,数据库!C:M,11,0),"")</f>
        <v/>
      </c>
      <c r="R542" t="str">
        <f t="shared" si="79"/>
        <v/>
      </c>
      <c r="S542">
        <f t="shared" si="80"/>
        <v>0</v>
      </c>
    </row>
    <row r="543" spans="1:19">
      <c r="A543" t="str">
        <f>IF(B543=0,"",发货清单!A543*10^6+COUNTIF($D$2:D543,D543)*10^3+ROW(A542))</f>
        <v/>
      </c>
      <c r="B543">
        <f>IFERROR(LEFT(发货清单!H543,SEARCH("-",发货清单!H543)-1),发货清单!H543)</f>
        <v>0</v>
      </c>
      <c r="C543" t="str">
        <f>IFERROR(VLOOKUP(发货清单!A543,数据库!A:D,4,0),"")</f>
        <v/>
      </c>
      <c r="D543" t="str">
        <f>IFERROR(VLOOKUP(发货清单!A543,数据库!A:C,3,0),"")</f>
        <v/>
      </c>
      <c r="E543">
        <f>发货清单!M543</f>
        <v>0</v>
      </c>
      <c r="F543">
        <f>发货清单!U543</f>
        <v>0</v>
      </c>
      <c r="G543" t="str">
        <f>IFERROR(VLOOKUP(发货清单!A543,数据库!A:B,2,0),"")</f>
        <v/>
      </c>
      <c r="H543">
        <f>发货清单!N543</f>
        <v>0</v>
      </c>
      <c r="I543" t="str">
        <f t="shared" si="72"/>
        <v/>
      </c>
      <c r="J543" t="str">
        <f t="shared" si="73"/>
        <v xml:space="preserve"> </v>
      </c>
      <c r="K543" t="str">
        <f t="shared" si="74"/>
        <v/>
      </c>
      <c r="L543" t="str">
        <f t="shared" si="75"/>
        <v/>
      </c>
      <c r="N543" s="245">
        <f t="shared" si="76"/>
        <v>0</v>
      </c>
      <c r="O543" s="245">
        <f t="shared" si="77"/>
        <v>0</v>
      </c>
      <c r="P543" t="str">
        <f t="shared" si="78"/>
        <v/>
      </c>
      <c r="Q543" t="str">
        <f>IFERROR(VLOOKUP(P543,数据库!C:M,11,0),"")</f>
        <v/>
      </c>
      <c r="R543" t="str">
        <f t="shared" si="79"/>
        <v/>
      </c>
      <c r="S543">
        <f t="shared" si="80"/>
        <v>0</v>
      </c>
    </row>
    <row r="544" spans="1:19">
      <c r="A544" t="str">
        <f>IF(B544=0,"",发货清单!A544*10^6+COUNTIF($D$2:D544,D544)*10^3+ROW(A543))</f>
        <v/>
      </c>
      <c r="B544">
        <f>IFERROR(LEFT(发货清单!H544,SEARCH("-",发货清单!H544)-1),发货清单!H544)</f>
        <v>0</v>
      </c>
      <c r="C544" t="str">
        <f>IFERROR(VLOOKUP(发货清单!A544,数据库!A:D,4,0),"")</f>
        <v/>
      </c>
      <c r="D544" t="str">
        <f>IFERROR(VLOOKUP(发货清单!A544,数据库!A:C,3,0),"")</f>
        <v/>
      </c>
      <c r="E544">
        <f>发货清单!M544</f>
        <v>0</v>
      </c>
      <c r="F544">
        <f>发货清单!U544</f>
        <v>0</v>
      </c>
      <c r="G544" t="str">
        <f>IFERROR(VLOOKUP(发货清单!A544,数据库!A:B,2,0),"")</f>
        <v/>
      </c>
      <c r="H544">
        <f>发货清单!N544</f>
        <v>0</v>
      </c>
      <c r="I544" t="str">
        <f t="shared" si="72"/>
        <v/>
      </c>
      <c r="J544" t="str">
        <f t="shared" si="73"/>
        <v xml:space="preserve"> </v>
      </c>
      <c r="K544" t="str">
        <f t="shared" si="74"/>
        <v/>
      </c>
      <c r="L544" t="str">
        <f t="shared" si="75"/>
        <v/>
      </c>
      <c r="N544" s="245">
        <f t="shared" si="76"/>
        <v>0</v>
      </c>
      <c r="O544" s="245">
        <f t="shared" si="77"/>
        <v>0</v>
      </c>
      <c r="P544" t="str">
        <f t="shared" si="78"/>
        <v/>
      </c>
      <c r="Q544" t="str">
        <f>IFERROR(VLOOKUP(P544,数据库!C:M,11,0),"")</f>
        <v/>
      </c>
      <c r="R544" t="str">
        <f t="shared" si="79"/>
        <v/>
      </c>
      <c r="S544">
        <f t="shared" si="80"/>
        <v>0</v>
      </c>
    </row>
    <row r="545" spans="1:19">
      <c r="A545" t="str">
        <f>IF(B545=0,"",发货清单!A545*10^6+COUNTIF($D$2:D545,D545)*10^3+ROW(A544))</f>
        <v/>
      </c>
      <c r="B545">
        <f>IFERROR(LEFT(发货清单!H545,SEARCH("-",发货清单!H545)-1),发货清单!H545)</f>
        <v>0</v>
      </c>
      <c r="C545" t="str">
        <f>IFERROR(VLOOKUP(发货清单!A545,数据库!A:D,4,0),"")</f>
        <v/>
      </c>
      <c r="D545" t="str">
        <f>IFERROR(VLOOKUP(发货清单!A545,数据库!A:C,3,0),"")</f>
        <v/>
      </c>
      <c r="E545">
        <f>发货清单!M545</f>
        <v>0</v>
      </c>
      <c r="F545">
        <f>发货清单!U545</f>
        <v>0</v>
      </c>
      <c r="G545" t="str">
        <f>IFERROR(VLOOKUP(发货清单!A545,数据库!A:B,2,0),"")</f>
        <v/>
      </c>
      <c r="H545">
        <f>发货清单!N545</f>
        <v>0</v>
      </c>
      <c r="I545" t="str">
        <f t="shared" si="72"/>
        <v/>
      </c>
      <c r="J545" t="str">
        <f t="shared" si="73"/>
        <v xml:space="preserve"> </v>
      </c>
      <c r="K545" t="str">
        <f t="shared" si="74"/>
        <v/>
      </c>
      <c r="L545" t="str">
        <f t="shared" si="75"/>
        <v/>
      </c>
      <c r="N545" s="245">
        <f t="shared" si="76"/>
        <v>0</v>
      </c>
      <c r="O545" s="245">
        <f t="shared" si="77"/>
        <v>0</v>
      </c>
      <c r="P545" t="str">
        <f t="shared" si="78"/>
        <v/>
      </c>
      <c r="Q545" t="str">
        <f>IFERROR(VLOOKUP(P545,数据库!C:M,11,0),"")</f>
        <v/>
      </c>
      <c r="R545" t="str">
        <f t="shared" si="79"/>
        <v/>
      </c>
      <c r="S545">
        <f t="shared" si="80"/>
        <v>0</v>
      </c>
    </row>
    <row r="546" spans="1:19">
      <c r="A546" t="str">
        <f>IF(B546=0,"",发货清单!A546*10^6+COUNTIF($D$2:D546,D546)*10^3+ROW(A545))</f>
        <v/>
      </c>
      <c r="B546">
        <f>IFERROR(LEFT(发货清单!H546,SEARCH("-",发货清单!H546)-1),发货清单!H546)</f>
        <v>0</v>
      </c>
      <c r="C546" t="str">
        <f>IFERROR(VLOOKUP(发货清单!A546,数据库!A:D,4,0),"")</f>
        <v/>
      </c>
      <c r="D546" t="str">
        <f>IFERROR(VLOOKUP(发货清单!A546,数据库!A:C,3,0),"")</f>
        <v/>
      </c>
      <c r="E546">
        <f>发货清单!M546</f>
        <v>0</v>
      </c>
      <c r="F546">
        <f>发货清单!U546</f>
        <v>0</v>
      </c>
      <c r="G546" t="str">
        <f>IFERROR(VLOOKUP(发货清单!A546,数据库!A:B,2,0),"")</f>
        <v/>
      </c>
      <c r="H546">
        <f>发货清单!N546</f>
        <v>0</v>
      </c>
      <c r="I546" t="str">
        <f t="shared" si="72"/>
        <v/>
      </c>
      <c r="J546" t="str">
        <f t="shared" si="73"/>
        <v xml:space="preserve"> </v>
      </c>
      <c r="K546" t="str">
        <f t="shared" si="74"/>
        <v/>
      </c>
      <c r="L546" t="str">
        <f t="shared" si="75"/>
        <v/>
      </c>
      <c r="N546" s="245">
        <f t="shared" si="76"/>
        <v>0</v>
      </c>
      <c r="O546" s="245">
        <f t="shared" si="77"/>
        <v>0</v>
      </c>
      <c r="P546" t="str">
        <f t="shared" si="78"/>
        <v/>
      </c>
      <c r="Q546" t="str">
        <f>IFERROR(VLOOKUP(P546,数据库!C:M,11,0),"")</f>
        <v/>
      </c>
      <c r="R546" t="str">
        <f t="shared" si="79"/>
        <v/>
      </c>
      <c r="S546">
        <f t="shared" si="80"/>
        <v>0</v>
      </c>
    </row>
    <row r="547" spans="1:19">
      <c r="A547" t="str">
        <f>IF(B547=0,"",发货清单!A547*10^6+COUNTIF($D$2:D547,D547)*10^3+ROW(A546))</f>
        <v/>
      </c>
      <c r="B547">
        <f>IFERROR(LEFT(发货清单!H547,SEARCH("-",发货清单!H547)-1),发货清单!H547)</f>
        <v>0</v>
      </c>
      <c r="C547" t="str">
        <f>IFERROR(VLOOKUP(发货清单!A547,数据库!A:D,4,0),"")</f>
        <v/>
      </c>
      <c r="D547" t="str">
        <f>IFERROR(VLOOKUP(发货清单!A547,数据库!A:C,3,0),"")</f>
        <v/>
      </c>
      <c r="E547">
        <f>发货清单!M547</f>
        <v>0</v>
      </c>
      <c r="F547">
        <f>发货清单!U547</f>
        <v>0</v>
      </c>
      <c r="G547" t="str">
        <f>IFERROR(VLOOKUP(发货清单!A547,数据库!A:B,2,0),"")</f>
        <v/>
      </c>
      <c r="H547">
        <f>发货清单!N547</f>
        <v>0</v>
      </c>
      <c r="I547" t="str">
        <f t="shared" si="72"/>
        <v/>
      </c>
      <c r="J547" t="str">
        <f t="shared" si="73"/>
        <v xml:space="preserve"> </v>
      </c>
      <c r="K547" t="str">
        <f t="shared" si="74"/>
        <v/>
      </c>
      <c r="L547" t="str">
        <f t="shared" si="75"/>
        <v/>
      </c>
      <c r="N547" s="245">
        <f t="shared" si="76"/>
        <v>0</v>
      </c>
      <c r="O547" s="245">
        <f t="shared" si="77"/>
        <v>0</v>
      </c>
      <c r="P547" t="str">
        <f t="shared" si="78"/>
        <v/>
      </c>
      <c r="Q547" t="str">
        <f>IFERROR(VLOOKUP(P547,数据库!C:M,11,0),"")</f>
        <v/>
      </c>
      <c r="R547" t="str">
        <f t="shared" si="79"/>
        <v/>
      </c>
      <c r="S547">
        <f t="shared" si="80"/>
        <v>0</v>
      </c>
    </row>
    <row r="548" spans="1:19">
      <c r="A548" t="str">
        <f>IF(B548=0,"",发货清单!A548*10^6+COUNTIF($D$2:D548,D548)*10^3+ROW(A547))</f>
        <v/>
      </c>
      <c r="B548">
        <f>IFERROR(LEFT(发货清单!H548,SEARCH("-",发货清单!H548)-1),发货清单!H548)</f>
        <v>0</v>
      </c>
      <c r="C548" t="str">
        <f>IFERROR(VLOOKUP(发货清单!A548,数据库!A:D,4,0),"")</f>
        <v/>
      </c>
      <c r="D548" t="str">
        <f>IFERROR(VLOOKUP(发货清单!A548,数据库!A:C,3,0),"")</f>
        <v/>
      </c>
      <c r="E548">
        <f>发货清单!M548</f>
        <v>0</v>
      </c>
      <c r="F548">
        <f>发货清单!U548</f>
        <v>0</v>
      </c>
      <c r="G548" t="str">
        <f>IFERROR(VLOOKUP(发货清单!A548,数据库!A:B,2,0),"")</f>
        <v/>
      </c>
      <c r="H548">
        <f>发货清单!N548</f>
        <v>0</v>
      </c>
      <c r="I548" t="str">
        <f t="shared" si="72"/>
        <v/>
      </c>
      <c r="J548" t="str">
        <f t="shared" si="73"/>
        <v xml:space="preserve"> </v>
      </c>
      <c r="K548" t="str">
        <f t="shared" si="74"/>
        <v/>
      </c>
      <c r="L548" t="str">
        <f t="shared" si="75"/>
        <v/>
      </c>
      <c r="N548" s="245">
        <f t="shared" si="76"/>
        <v>0</v>
      </c>
      <c r="O548" s="245">
        <f t="shared" si="77"/>
        <v>0</v>
      </c>
      <c r="P548" t="str">
        <f t="shared" si="78"/>
        <v/>
      </c>
      <c r="Q548" t="str">
        <f>IFERROR(VLOOKUP(P548,数据库!C:M,11,0),"")</f>
        <v/>
      </c>
      <c r="R548" t="str">
        <f t="shared" si="79"/>
        <v/>
      </c>
      <c r="S548">
        <f t="shared" si="80"/>
        <v>0</v>
      </c>
    </row>
    <row r="549" spans="1:19">
      <c r="A549" t="str">
        <f>IF(B549=0,"",发货清单!A549*10^6+COUNTIF($D$2:D549,D549)*10^3+ROW(A548))</f>
        <v/>
      </c>
      <c r="B549">
        <f>IFERROR(LEFT(发货清单!H549,SEARCH("-",发货清单!H549)-1),发货清单!H549)</f>
        <v>0</v>
      </c>
      <c r="C549" t="str">
        <f>IFERROR(VLOOKUP(发货清单!A549,数据库!A:D,4,0),"")</f>
        <v/>
      </c>
      <c r="D549" t="str">
        <f>IFERROR(VLOOKUP(发货清单!A549,数据库!A:C,3,0),"")</f>
        <v/>
      </c>
      <c r="E549">
        <f>发货清单!M549</f>
        <v>0</v>
      </c>
      <c r="F549">
        <f>发货清单!U549</f>
        <v>0</v>
      </c>
      <c r="G549" t="str">
        <f>IFERROR(VLOOKUP(发货清单!A549,数据库!A:B,2,0),"")</f>
        <v/>
      </c>
      <c r="H549">
        <f>发货清单!N549</f>
        <v>0</v>
      </c>
      <c r="I549" t="str">
        <f t="shared" si="72"/>
        <v/>
      </c>
      <c r="J549" t="str">
        <f t="shared" si="73"/>
        <v xml:space="preserve"> </v>
      </c>
      <c r="K549" t="str">
        <f t="shared" si="74"/>
        <v/>
      </c>
      <c r="L549" t="str">
        <f t="shared" si="75"/>
        <v/>
      </c>
      <c r="N549" s="245">
        <f t="shared" si="76"/>
        <v>0</v>
      </c>
      <c r="O549" s="245">
        <f t="shared" si="77"/>
        <v>0</v>
      </c>
      <c r="P549" t="str">
        <f t="shared" si="78"/>
        <v/>
      </c>
      <c r="Q549" t="str">
        <f>IFERROR(VLOOKUP(P549,数据库!C:M,11,0),"")</f>
        <v/>
      </c>
      <c r="R549" t="str">
        <f t="shared" si="79"/>
        <v/>
      </c>
      <c r="S549">
        <f t="shared" si="80"/>
        <v>0</v>
      </c>
    </row>
    <row r="550" spans="1:19">
      <c r="A550" t="str">
        <f>IF(B550=0,"",发货清单!A550*10^6+COUNTIF($D$2:D550,D550)*10^3+ROW(A549))</f>
        <v/>
      </c>
      <c r="B550">
        <f>IFERROR(LEFT(发货清单!H550,SEARCH("-",发货清单!H550)-1),发货清单!H550)</f>
        <v>0</v>
      </c>
      <c r="C550" t="str">
        <f>IFERROR(VLOOKUP(发货清单!A550,数据库!A:D,4,0),"")</f>
        <v/>
      </c>
      <c r="D550" t="str">
        <f>IFERROR(VLOOKUP(发货清单!A550,数据库!A:C,3,0),"")</f>
        <v/>
      </c>
      <c r="E550">
        <f>发货清单!M550</f>
        <v>0</v>
      </c>
      <c r="F550">
        <f>发货清单!U550</f>
        <v>0</v>
      </c>
      <c r="G550" t="str">
        <f>IFERROR(VLOOKUP(发货清单!A550,数据库!A:B,2,0),"")</f>
        <v/>
      </c>
      <c r="H550">
        <f>发货清单!N550</f>
        <v>0</v>
      </c>
      <c r="I550" t="str">
        <f t="shared" si="72"/>
        <v/>
      </c>
      <c r="J550" t="str">
        <f t="shared" si="73"/>
        <v xml:space="preserve"> </v>
      </c>
      <c r="K550" t="str">
        <f t="shared" si="74"/>
        <v/>
      </c>
      <c r="L550" t="str">
        <f t="shared" si="75"/>
        <v/>
      </c>
      <c r="N550" s="245">
        <f t="shared" si="76"/>
        <v>0</v>
      </c>
      <c r="O550" s="245">
        <f t="shared" si="77"/>
        <v>0</v>
      </c>
      <c r="P550" t="str">
        <f t="shared" si="78"/>
        <v/>
      </c>
      <c r="Q550" t="str">
        <f>IFERROR(VLOOKUP(P550,数据库!C:M,11,0),"")</f>
        <v/>
      </c>
      <c r="R550" t="str">
        <f t="shared" si="79"/>
        <v/>
      </c>
      <c r="S550">
        <f t="shared" si="80"/>
        <v>0</v>
      </c>
    </row>
    <row r="551" spans="1:19">
      <c r="A551" t="str">
        <f>IF(B551=0,"",发货清单!A551*10^6+COUNTIF($D$2:D551,D551)*10^3+ROW(A550))</f>
        <v/>
      </c>
      <c r="B551">
        <f>IFERROR(LEFT(发货清单!H551,SEARCH("-",发货清单!H551)-1),发货清单!H551)</f>
        <v>0</v>
      </c>
      <c r="C551" t="str">
        <f>IFERROR(VLOOKUP(发货清单!A551,数据库!A:D,4,0),"")</f>
        <v/>
      </c>
      <c r="D551" t="str">
        <f>IFERROR(VLOOKUP(发货清单!A551,数据库!A:C,3,0),"")</f>
        <v/>
      </c>
      <c r="E551">
        <f>发货清单!M551</f>
        <v>0</v>
      </c>
      <c r="F551">
        <f>发货清单!U551</f>
        <v>0</v>
      </c>
      <c r="G551" t="str">
        <f>IFERROR(VLOOKUP(发货清单!A551,数据库!A:B,2,0),"")</f>
        <v/>
      </c>
      <c r="H551">
        <f>发货清单!N551</f>
        <v>0</v>
      </c>
      <c r="I551" t="str">
        <f t="shared" si="72"/>
        <v/>
      </c>
      <c r="J551" t="str">
        <f t="shared" si="73"/>
        <v xml:space="preserve"> </v>
      </c>
      <c r="K551" t="str">
        <f t="shared" si="74"/>
        <v/>
      </c>
      <c r="L551" t="str">
        <f t="shared" si="75"/>
        <v/>
      </c>
      <c r="N551" s="245">
        <f t="shared" si="76"/>
        <v>0</v>
      </c>
      <c r="O551" s="245">
        <f t="shared" si="77"/>
        <v>0</v>
      </c>
      <c r="P551" t="str">
        <f t="shared" si="78"/>
        <v/>
      </c>
      <c r="Q551" t="str">
        <f>IFERROR(VLOOKUP(P551,数据库!C:M,11,0),"")</f>
        <v/>
      </c>
      <c r="R551" t="str">
        <f t="shared" si="79"/>
        <v/>
      </c>
      <c r="S551">
        <f t="shared" si="80"/>
        <v>0</v>
      </c>
    </row>
    <row r="552" spans="1:19">
      <c r="A552" t="str">
        <f>IF(B552=0,"",发货清单!A552*10^6+COUNTIF($D$2:D552,D552)*10^3+ROW(A551))</f>
        <v/>
      </c>
      <c r="B552">
        <f>IFERROR(LEFT(发货清单!H552,SEARCH("-",发货清单!H552)-1),发货清单!H552)</f>
        <v>0</v>
      </c>
      <c r="C552" t="str">
        <f>IFERROR(VLOOKUP(发货清单!A552,数据库!A:D,4,0),"")</f>
        <v/>
      </c>
      <c r="D552" t="str">
        <f>IFERROR(VLOOKUP(发货清单!A552,数据库!A:C,3,0),"")</f>
        <v/>
      </c>
      <c r="E552">
        <f>发货清单!M552</f>
        <v>0</v>
      </c>
      <c r="F552">
        <f>发货清单!U552</f>
        <v>0</v>
      </c>
      <c r="G552" t="str">
        <f>IFERROR(VLOOKUP(发货清单!A552,数据库!A:B,2,0),"")</f>
        <v/>
      </c>
      <c r="H552">
        <f>发货清单!N552</f>
        <v>0</v>
      </c>
      <c r="I552" t="str">
        <f t="shared" si="72"/>
        <v/>
      </c>
      <c r="J552" t="str">
        <f t="shared" si="73"/>
        <v xml:space="preserve"> </v>
      </c>
      <c r="K552" t="str">
        <f t="shared" si="74"/>
        <v/>
      </c>
      <c r="L552" t="str">
        <f t="shared" si="75"/>
        <v/>
      </c>
      <c r="N552" s="245">
        <f t="shared" si="76"/>
        <v>0</v>
      </c>
      <c r="O552" s="245">
        <f t="shared" si="77"/>
        <v>0</v>
      </c>
      <c r="P552" t="str">
        <f t="shared" si="78"/>
        <v/>
      </c>
      <c r="Q552" t="str">
        <f>IFERROR(VLOOKUP(P552,数据库!C:M,11,0),"")</f>
        <v/>
      </c>
      <c r="R552" t="str">
        <f t="shared" si="79"/>
        <v/>
      </c>
      <c r="S552">
        <f t="shared" si="80"/>
        <v>0</v>
      </c>
    </row>
    <row r="553" spans="1:19">
      <c r="A553" t="str">
        <f>IF(B553=0,"",发货清单!A553*10^6+COUNTIF($D$2:D553,D553)*10^3+ROW(A552))</f>
        <v/>
      </c>
      <c r="B553">
        <f>IFERROR(LEFT(发货清单!H553,SEARCH("-",发货清单!H553)-1),发货清单!H553)</f>
        <v>0</v>
      </c>
      <c r="C553" t="str">
        <f>IFERROR(VLOOKUP(发货清单!A553,数据库!A:D,4,0),"")</f>
        <v/>
      </c>
      <c r="D553" t="str">
        <f>IFERROR(VLOOKUP(发货清单!A553,数据库!A:C,3,0),"")</f>
        <v/>
      </c>
      <c r="E553">
        <f>发货清单!M553</f>
        <v>0</v>
      </c>
      <c r="F553">
        <f>发货清单!U553</f>
        <v>0</v>
      </c>
      <c r="G553" t="str">
        <f>IFERROR(VLOOKUP(发货清单!A553,数据库!A:B,2,0),"")</f>
        <v/>
      </c>
      <c r="H553">
        <f>发货清单!N553</f>
        <v>0</v>
      </c>
      <c r="I553" t="str">
        <f t="shared" si="72"/>
        <v/>
      </c>
      <c r="J553" t="str">
        <f t="shared" si="73"/>
        <v xml:space="preserve"> </v>
      </c>
      <c r="K553" t="str">
        <f t="shared" si="74"/>
        <v/>
      </c>
      <c r="L553" t="str">
        <f t="shared" si="75"/>
        <v/>
      </c>
      <c r="N553" s="245">
        <f t="shared" si="76"/>
        <v>0</v>
      </c>
      <c r="O553" s="245">
        <f t="shared" si="77"/>
        <v>0</v>
      </c>
      <c r="P553" t="str">
        <f t="shared" si="78"/>
        <v/>
      </c>
      <c r="Q553" t="str">
        <f>IFERROR(VLOOKUP(P553,数据库!C:M,11,0),"")</f>
        <v/>
      </c>
      <c r="R553" t="str">
        <f t="shared" si="79"/>
        <v/>
      </c>
      <c r="S553">
        <f t="shared" si="80"/>
        <v>0</v>
      </c>
    </row>
    <row r="554" spans="1:19">
      <c r="A554" t="str">
        <f>IF(B554=0,"",发货清单!A554*10^6+COUNTIF($D$2:D554,D554)*10^3+ROW(A553))</f>
        <v/>
      </c>
      <c r="B554">
        <f>IFERROR(LEFT(发货清单!H554,SEARCH("-",发货清单!H554)-1),发货清单!H554)</f>
        <v>0</v>
      </c>
      <c r="C554" t="str">
        <f>IFERROR(VLOOKUP(发货清单!A554,数据库!A:D,4,0),"")</f>
        <v/>
      </c>
      <c r="D554" t="str">
        <f>IFERROR(VLOOKUP(发货清单!A554,数据库!A:C,3,0),"")</f>
        <v/>
      </c>
      <c r="E554">
        <f>发货清单!M554</f>
        <v>0</v>
      </c>
      <c r="F554">
        <f>发货清单!U554</f>
        <v>0</v>
      </c>
      <c r="G554" t="str">
        <f>IFERROR(VLOOKUP(发货清单!A554,数据库!A:B,2,0),"")</f>
        <v/>
      </c>
      <c r="H554">
        <f>发货清单!N554</f>
        <v>0</v>
      </c>
      <c r="I554" t="str">
        <f t="shared" si="72"/>
        <v/>
      </c>
      <c r="J554" t="str">
        <f t="shared" si="73"/>
        <v xml:space="preserve"> </v>
      </c>
      <c r="K554" t="str">
        <f t="shared" si="74"/>
        <v/>
      </c>
      <c r="L554" t="str">
        <f t="shared" si="75"/>
        <v/>
      </c>
      <c r="N554" s="245">
        <f t="shared" si="76"/>
        <v>0</v>
      </c>
      <c r="O554" s="245">
        <f t="shared" si="77"/>
        <v>0</v>
      </c>
      <c r="P554" t="str">
        <f t="shared" si="78"/>
        <v/>
      </c>
      <c r="Q554" t="str">
        <f>IFERROR(VLOOKUP(P554,数据库!C:M,11,0),"")</f>
        <v/>
      </c>
      <c r="R554" t="str">
        <f t="shared" si="79"/>
        <v/>
      </c>
      <c r="S554">
        <f t="shared" si="80"/>
        <v>0</v>
      </c>
    </row>
    <row r="555" spans="1:19">
      <c r="A555" t="str">
        <f>IF(B555=0,"",发货清单!A555*10^6+COUNTIF($D$2:D555,D555)*10^3+ROW(A554))</f>
        <v/>
      </c>
      <c r="B555">
        <f>IFERROR(LEFT(发货清单!H555,SEARCH("-",发货清单!H555)-1),发货清单!H555)</f>
        <v>0</v>
      </c>
      <c r="C555" t="str">
        <f>IFERROR(VLOOKUP(发货清单!A555,数据库!A:D,4,0),"")</f>
        <v/>
      </c>
      <c r="D555" t="str">
        <f>IFERROR(VLOOKUP(发货清单!A555,数据库!A:C,3,0),"")</f>
        <v/>
      </c>
      <c r="E555">
        <f>发货清单!M555</f>
        <v>0</v>
      </c>
      <c r="F555">
        <f>发货清单!U555</f>
        <v>0</v>
      </c>
      <c r="G555" t="str">
        <f>IFERROR(VLOOKUP(发货清单!A555,数据库!A:B,2,0),"")</f>
        <v/>
      </c>
      <c r="H555">
        <f>发货清单!N555</f>
        <v>0</v>
      </c>
      <c r="I555" t="str">
        <f t="shared" si="72"/>
        <v/>
      </c>
      <c r="J555" t="str">
        <f t="shared" si="73"/>
        <v xml:space="preserve"> </v>
      </c>
      <c r="K555" t="str">
        <f t="shared" si="74"/>
        <v/>
      </c>
      <c r="L555" t="str">
        <f t="shared" si="75"/>
        <v/>
      </c>
      <c r="N555" s="245">
        <f t="shared" si="76"/>
        <v>0</v>
      </c>
      <c r="O555" s="245">
        <f t="shared" si="77"/>
        <v>0</v>
      </c>
      <c r="P555" t="str">
        <f t="shared" si="78"/>
        <v/>
      </c>
      <c r="Q555" t="str">
        <f>IFERROR(VLOOKUP(P555,数据库!C:M,11,0),"")</f>
        <v/>
      </c>
      <c r="R555" t="str">
        <f t="shared" si="79"/>
        <v/>
      </c>
      <c r="S555">
        <f t="shared" si="80"/>
        <v>0</v>
      </c>
    </row>
    <row r="556" spans="1:19">
      <c r="A556" t="str">
        <f>IF(B556=0,"",发货清单!A556*10^6+COUNTIF($D$2:D556,D556)*10^3+ROW(A555))</f>
        <v/>
      </c>
      <c r="B556">
        <f>IFERROR(LEFT(发货清单!H556,SEARCH("-",发货清单!H556)-1),发货清单!H556)</f>
        <v>0</v>
      </c>
      <c r="C556" t="str">
        <f>IFERROR(VLOOKUP(发货清单!A556,数据库!A:D,4,0),"")</f>
        <v/>
      </c>
      <c r="D556" t="str">
        <f>IFERROR(VLOOKUP(发货清单!A556,数据库!A:C,3,0),"")</f>
        <v/>
      </c>
      <c r="E556">
        <f>发货清单!M556</f>
        <v>0</v>
      </c>
      <c r="F556">
        <f>发货清单!U556</f>
        <v>0</v>
      </c>
      <c r="G556" t="str">
        <f>IFERROR(VLOOKUP(发货清单!A556,数据库!A:B,2,0),"")</f>
        <v/>
      </c>
      <c r="H556">
        <f>发货清单!N556</f>
        <v>0</v>
      </c>
      <c r="I556" t="str">
        <f t="shared" si="72"/>
        <v/>
      </c>
      <c r="J556" t="str">
        <f t="shared" si="73"/>
        <v xml:space="preserve"> </v>
      </c>
      <c r="K556" t="str">
        <f t="shared" si="74"/>
        <v/>
      </c>
      <c r="L556" t="str">
        <f t="shared" si="75"/>
        <v/>
      </c>
      <c r="N556" s="245">
        <f t="shared" si="76"/>
        <v>0</v>
      </c>
      <c r="O556" s="245">
        <f t="shared" si="77"/>
        <v>0</v>
      </c>
      <c r="P556" t="str">
        <f t="shared" si="78"/>
        <v/>
      </c>
      <c r="Q556" t="str">
        <f>IFERROR(VLOOKUP(P556,数据库!C:M,11,0),"")</f>
        <v/>
      </c>
      <c r="R556" t="str">
        <f t="shared" si="79"/>
        <v/>
      </c>
      <c r="S556">
        <f t="shared" si="80"/>
        <v>0</v>
      </c>
    </row>
    <row r="557" spans="1:19">
      <c r="A557" t="str">
        <f>IF(B557=0,"",发货清单!A557*10^6+COUNTIF($D$2:D557,D557)*10^3+ROW(A556))</f>
        <v/>
      </c>
      <c r="B557">
        <f>IFERROR(LEFT(发货清单!H557,SEARCH("-",发货清单!H557)-1),发货清单!H557)</f>
        <v>0</v>
      </c>
      <c r="C557" t="str">
        <f>IFERROR(VLOOKUP(发货清单!A557,数据库!A:D,4,0),"")</f>
        <v/>
      </c>
      <c r="D557" t="str">
        <f>IFERROR(VLOOKUP(发货清单!A557,数据库!A:C,3,0),"")</f>
        <v/>
      </c>
      <c r="E557">
        <f>发货清单!M557</f>
        <v>0</v>
      </c>
      <c r="F557">
        <f>发货清单!U557</f>
        <v>0</v>
      </c>
      <c r="G557" t="str">
        <f>IFERROR(VLOOKUP(发货清单!A557,数据库!A:B,2,0),"")</f>
        <v/>
      </c>
      <c r="H557">
        <f>发货清单!N557</f>
        <v>0</v>
      </c>
      <c r="I557" t="str">
        <f t="shared" si="72"/>
        <v/>
      </c>
      <c r="J557" t="str">
        <f t="shared" si="73"/>
        <v xml:space="preserve"> </v>
      </c>
      <c r="K557" t="str">
        <f t="shared" si="74"/>
        <v/>
      </c>
      <c r="L557" t="str">
        <f t="shared" si="75"/>
        <v/>
      </c>
      <c r="N557" s="245">
        <f t="shared" si="76"/>
        <v>0</v>
      </c>
      <c r="O557" s="245">
        <f t="shared" si="77"/>
        <v>0</v>
      </c>
      <c r="P557" t="str">
        <f t="shared" si="78"/>
        <v/>
      </c>
      <c r="Q557" t="str">
        <f>IFERROR(VLOOKUP(P557,数据库!C:M,11,0),"")</f>
        <v/>
      </c>
      <c r="R557" t="str">
        <f t="shared" si="79"/>
        <v/>
      </c>
      <c r="S557">
        <f t="shared" si="80"/>
        <v>0</v>
      </c>
    </row>
    <row r="558" spans="1:19">
      <c r="A558" t="str">
        <f>IF(B558=0,"",发货清单!A558*10^6+COUNTIF($D$2:D558,D558)*10^3+ROW(A557))</f>
        <v/>
      </c>
      <c r="B558">
        <f>IFERROR(LEFT(发货清单!H558,SEARCH("-",发货清单!H558)-1),发货清单!H558)</f>
        <v>0</v>
      </c>
      <c r="C558" t="str">
        <f>IFERROR(VLOOKUP(发货清单!A558,数据库!A:D,4,0),"")</f>
        <v/>
      </c>
      <c r="D558" t="str">
        <f>IFERROR(VLOOKUP(发货清单!A558,数据库!A:C,3,0),"")</f>
        <v/>
      </c>
      <c r="E558">
        <f>发货清单!M558</f>
        <v>0</v>
      </c>
      <c r="F558">
        <f>发货清单!U558</f>
        <v>0</v>
      </c>
      <c r="G558" t="str">
        <f>IFERROR(VLOOKUP(发货清单!A558,数据库!A:B,2,0),"")</f>
        <v/>
      </c>
      <c r="H558">
        <f>发货清单!N558</f>
        <v>0</v>
      </c>
      <c r="I558" t="str">
        <f t="shared" si="72"/>
        <v/>
      </c>
      <c r="J558" t="str">
        <f t="shared" si="73"/>
        <v xml:space="preserve"> </v>
      </c>
      <c r="K558" t="str">
        <f t="shared" si="74"/>
        <v/>
      </c>
      <c r="L558" t="str">
        <f t="shared" si="75"/>
        <v/>
      </c>
      <c r="N558" s="245">
        <f t="shared" si="76"/>
        <v>0</v>
      </c>
      <c r="O558" s="245">
        <f t="shared" si="77"/>
        <v>0</v>
      </c>
      <c r="P558" t="str">
        <f t="shared" si="78"/>
        <v/>
      </c>
      <c r="Q558" t="str">
        <f>IFERROR(VLOOKUP(P558,数据库!C:M,11,0),"")</f>
        <v/>
      </c>
      <c r="R558" t="str">
        <f t="shared" si="79"/>
        <v/>
      </c>
      <c r="S558">
        <f t="shared" si="80"/>
        <v>0</v>
      </c>
    </row>
    <row r="559" spans="1:19">
      <c r="A559" t="str">
        <f>IF(B559=0,"",发货清单!A559*10^6+COUNTIF($D$2:D559,D559)*10^3+ROW(A558))</f>
        <v/>
      </c>
      <c r="B559">
        <f>IFERROR(LEFT(发货清单!H559,SEARCH("-",发货清单!H559)-1),发货清单!H559)</f>
        <v>0</v>
      </c>
      <c r="C559" t="str">
        <f>IFERROR(VLOOKUP(发货清单!A559,数据库!A:D,4,0),"")</f>
        <v/>
      </c>
      <c r="D559" t="str">
        <f>IFERROR(VLOOKUP(发货清单!A559,数据库!A:C,3,0),"")</f>
        <v/>
      </c>
      <c r="E559">
        <f>发货清单!M559</f>
        <v>0</v>
      </c>
      <c r="F559">
        <f>发货清单!U559</f>
        <v>0</v>
      </c>
      <c r="G559" t="str">
        <f>IFERROR(VLOOKUP(发货清单!A559,数据库!A:B,2,0),"")</f>
        <v/>
      </c>
      <c r="H559">
        <f>发货清单!N559</f>
        <v>0</v>
      </c>
      <c r="I559" t="str">
        <f t="shared" si="72"/>
        <v/>
      </c>
      <c r="J559" t="str">
        <f t="shared" si="73"/>
        <v xml:space="preserve"> </v>
      </c>
      <c r="K559" t="str">
        <f t="shared" si="74"/>
        <v/>
      </c>
      <c r="L559" t="str">
        <f t="shared" si="75"/>
        <v/>
      </c>
      <c r="N559" s="245">
        <f t="shared" si="76"/>
        <v>0</v>
      </c>
      <c r="O559" s="245">
        <f t="shared" si="77"/>
        <v>0</v>
      </c>
      <c r="P559" t="str">
        <f t="shared" si="78"/>
        <v/>
      </c>
      <c r="Q559" t="str">
        <f>IFERROR(VLOOKUP(P559,数据库!C:M,11,0),"")</f>
        <v/>
      </c>
      <c r="R559" t="str">
        <f t="shared" si="79"/>
        <v/>
      </c>
      <c r="S559">
        <f t="shared" si="80"/>
        <v>0</v>
      </c>
    </row>
    <row r="560" spans="1:19">
      <c r="A560" t="str">
        <f>IF(B560=0,"",发货清单!A560*10^6+COUNTIF($D$2:D560,D560)*10^3+ROW(A559))</f>
        <v/>
      </c>
      <c r="B560">
        <f>IFERROR(LEFT(发货清单!H560,SEARCH("-",发货清单!H560)-1),发货清单!H560)</f>
        <v>0</v>
      </c>
      <c r="C560" t="str">
        <f>IFERROR(VLOOKUP(发货清单!A560,数据库!A:D,4,0),"")</f>
        <v/>
      </c>
      <c r="D560" t="str">
        <f>IFERROR(VLOOKUP(发货清单!A560,数据库!A:C,3,0),"")</f>
        <v/>
      </c>
      <c r="E560">
        <f>发货清单!M560</f>
        <v>0</v>
      </c>
      <c r="F560">
        <f>发货清单!U560</f>
        <v>0</v>
      </c>
      <c r="G560" t="str">
        <f>IFERROR(VLOOKUP(发货清单!A560,数据库!A:B,2,0),"")</f>
        <v/>
      </c>
      <c r="H560">
        <f>发货清单!N560</f>
        <v>0</v>
      </c>
      <c r="I560" t="str">
        <f t="shared" si="72"/>
        <v/>
      </c>
      <c r="J560" t="str">
        <f t="shared" si="73"/>
        <v xml:space="preserve"> </v>
      </c>
      <c r="K560" t="str">
        <f t="shared" si="74"/>
        <v/>
      </c>
      <c r="L560" t="str">
        <f t="shared" si="75"/>
        <v/>
      </c>
      <c r="N560" s="245">
        <f t="shared" si="76"/>
        <v>0</v>
      </c>
      <c r="O560" s="245">
        <f t="shared" si="77"/>
        <v>0</v>
      </c>
      <c r="P560" t="str">
        <f t="shared" si="78"/>
        <v/>
      </c>
      <c r="Q560" t="str">
        <f>IFERROR(VLOOKUP(P560,数据库!C:M,11,0),"")</f>
        <v/>
      </c>
      <c r="R560" t="str">
        <f t="shared" si="79"/>
        <v/>
      </c>
      <c r="S560">
        <f t="shared" si="80"/>
        <v>0</v>
      </c>
    </row>
    <row r="561" spans="1:19">
      <c r="A561" t="str">
        <f>IF(B561=0,"",发货清单!A561*10^6+COUNTIF($D$2:D561,D561)*10^3+ROW(A560))</f>
        <v/>
      </c>
      <c r="B561">
        <f>IFERROR(LEFT(发货清单!H561,SEARCH("-",发货清单!H561)-1),发货清单!H561)</f>
        <v>0</v>
      </c>
      <c r="C561" t="str">
        <f>IFERROR(VLOOKUP(发货清单!A561,数据库!A:D,4,0),"")</f>
        <v/>
      </c>
      <c r="D561" t="str">
        <f>IFERROR(VLOOKUP(发货清单!A561,数据库!A:C,3,0),"")</f>
        <v/>
      </c>
      <c r="E561">
        <f>发货清单!M561</f>
        <v>0</v>
      </c>
      <c r="F561">
        <f>发货清单!U561</f>
        <v>0</v>
      </c>
      <c r="G561" t="str">
        <f>IFERROR(VLOOKUP(发货清单!A561,数据库!A:B,2,0),"")</f>
        <v/>
      </c>
      <c r="H561">
        <f>发货清单!N561</f>
        <v>0</v>
      </c>
      <c r="I561" t="str">
        <f t="shared" si="72"/>
        <v/>
      </c>
      <c r="J561" t="str">
        <f t="shared" si="73"/>
        <v xml:space="preserve"> </v>
      </c>
      <c r="K561" t="str">
        <f t="shared" si="74"/>
        <v/>
      </c>
      <c r="L561" t="str">
        <f t="shared" si="75"/>
        <v/>
      </c>
      <c r="N561" s="245">
        <f t="shared" si="76"/>
        <v>0</v>
      </c>
      <c r="O561" s="245">
        <f t="shared" si="77"/>
        <v>0</v>
      </c>
      <c r="P561" t="str">
        <f t="shared" si="78"/>
        <v/>
      </c>
      <c r="Q561" t="str">
        <f>IFERROR(VLOOKUP(P561,数据库!C:M,11,0),"")</f>
        <v/>
      </c>
      <c r="R561" t="str">
        <f t="shared" si="79"/>
        <v/>
      </c>
      <c r="S561">
        <f t="shared" si="80"/>
        <v>0</v>
      </c>
    </row>
    <row r="562" spans="1:19">
      <c r="A562" t="str">
        <f>IF(B562=0,"",发货清单!A562*10^6+COUNTIF($D$2:D562,D562)*10^3+ROW(A561))</f>
        <v/>
      </c>
      <c r="B562">
        <f>IFERROR(LEFT(发货清单!H562,SEARCH("-",发货清单!H562)-1),发货清单!H562)</f>
        <v>0</v>
      </c>
      <c r="C562" t="str">
        <f>IFERROR(VLOOKUP(发货清单!A562,数据库!A:D,4,0),"")</f>
        <v/>
      </c>
      <c r="D562" t="str">
        <f>IFERROR(VLOOKUP(发货清单!A562,数据库!A:C,3,0),"")</f>
        <v/>
      </c>
      <c r="E562">
        <f>发货清单!M562</f>
        <v>0</v>
      </c>
      <c r="F562">
        <f>发货清单!U562</f>
        <v>0</v>
      </c>
      <c r="G562" t="str">
        <f>IFERROR(VLOOKUP(发货清单!A562,数据库!A:B,2,0),"")</f>
        <v/>
      </c>
      <c r="H562">
        <f>发货清单!N562</f>
        <v>0</v>
      </c>
      <c r="I562" t="str">
        <f t="shared" si="72"/>
        <v/>
      </c>
      <c r="J562" t="str">
        <f t="shared" si="73"/>
        <v xml:space="preserve"> </v>
      </c>
      <c r="K562" t="str">
        <f t="shared" si="74"/>
        <v/>
      </c>
      <c r="L562" t="str">
        <f t="shared" si="75"/>
        <v/>
      </c>
      <c r="N562" s="245">
        <f t="shared" si="76"/>
        <v>0</v>
      </c>
      <c r="O562" s="245">
        <f t="shared" si="77"/>
        <v>0</v>
      </c>
      <c r="P562" t="str">
        <f t="shared" si="78"/>
        <v/>
      </c>
      <c r="Q562" t="str">
        <f>IFERROR(VLOOKUP(P562,数据库!C:M,11,0),"")</f>
        <v/>
      </c>
      <c r="R562" t="str">
        <f t="shared" si="79"/>
        <v/>
      </c>
      <c r="S562">
        <f t="shared" si="80"/>
        <v>0</v>
      </c>
    </row>
    <row r="563" spans="1:19">
      <c r="A563" t="str">
        <f>IF(B563=0,"",发货清单!A563*10^6+COUNTIF($D$2:D563,D563)*10^3+ROW(A562))</f>
        <v/>
      </c>
      <c r="B563">
        <f>IFERROR(LEFT(发货清单!H563,SEARCH("-",发货清单!H563)-1),发货清单!H563)</f>
        <v>0</v>
      </c>
      <c r="C563" t="str">
        <f>IFERROR(VLOOKUP(发货清单!A563,数据库!A:D,4,0),"")</f>
        <v/>
      </c>
      <c r="D563" t="str">
        <f>IFERROR(VLOOKUP(发货清单!A563,数据库!A:C,3,0),"")</f>
        <v/>
      </c>
      <c r="E563">
        <f>发货清单!M563</f>
        <v>0</v>
      </c>
      <c r="F563">
        <f>发货清单!U563</f>
        <v>0</v>
      </c>
      <c r="G563" t="str">
        <f>IFERROR(VLOOKUP(发货清单!A563,数据库!A:B,2,0),"")</f>
        <v/>
      </c>
      <c r="H563">
        <f>发货清单!N563</f>
        <v>0</v>
      </c>
      <c r="I563" t="str">
        <f t="shared" si="72"/>
        <v/>
      </c>
      <c r="J563" t="str">
        <f t="shared" si="73"/>
        <v xml:space="preserve"> </v>
      </c>
      <c r="K563" t="str">
        <f t="shared" si="74"/>
        <v/>
      </c>
      <c r="L563" t="str">
        <f t="shared" si="75"/>
        <v/>
      </c>
      <c r="N563" s="245">
        <f t="shared" si="76"/>
        <v>0</v>
      </c>
      <c r="O563" s="245">
        <f t="shared" si="77"/>
        <v>0</v>
      </c>
      <c r="P563" t="str">
        <f t="shared" si="78"/>
        <v/>
      </c>
      <c r="Q563" t="str">
        <f>IFERROR(VLOOKUP(P563,数据库!C:M,11,0),"")</f>
        <v/>
      </c>
      <c r="R563" t="str">
        <f t="shared" si="79"/>
        <v/>
      </c>
      <c r="S563">
        <f t="shared" si="80"/>
        <v>0</v>
      </c>
    </row>
    <row r="564" spans="1:19">
      <c r="A564" t="str">
        <f>IF(B564=0,"",发货清单!A564*10^6+COUNTIF($D$2:D564,D564)*10^3+ROW(A563))</f>
        <v/>
      </c>
      <c r="B564">
        <f>IFERROR(LEFT(发货清单!H564,SEARCH("-",发货清单!H564)-1),发货清单!H564)</f>
        <v>0</v>
      </c>
      <c r="C564" t="str">
        <f>IFERROR(VLOOKUP(发货清单!A564,数据库!A:D,4,0),"")</f>
        <v/>
      </c>
      <c r="D564" t="str">
        <f>IFERROR(VLOOKUP(发货清单!A564,数据库!A:C,3,0),"")</f>
        <v/>
      </c>
      <c r="E564">
        <f>发货清单!M564</f>
        <v>0</v>
      </c>
      <c r="F564">
        <f>发货清单!U564</f>
        <v>0</v>
      </c>
      <c r="G564" t="str">
        <f>IFERROR(VLOOKUP(发货清单!A564,数据库!A:B,2,0),"")</f>
        <v/>
      </c>
      <c r="H564">
        <f>发货清单!N564</f>
        <v>0</v>
      </c>
      <c r="I564" t="str">
        <f t="shared" si="72"/>
        <v/>
      </c>
      <c r="J564" t="str">
        <f t="shared" si="73"/>
        <v xml:space="preserve"> </v>
      </c>
      <c r="K564" t="str">
        <f t="shared" si="74"/>
        <v/>
      </c>
      <c r="L564" t="str">
        <f t="shared" si="75"/>
        <v/>
      </c>
      <c r="N564" s="245">
        <f t="shared" si="76"/>
        <v>0</v>
      </c>
      <c r="O564" s="245">
        <f t="shared" si="77"/>
        <v>0</v>
      </c>
      <c r="P564" t="str">
        <f t="shared" si="78"/>
        <v/>
      </c>
      <c r="Q564" t="str">
        <f>IFERROR(VLOOKUP(P564,数据库!C:M,11,0),"")</f>
        <v/>
      </c>
      <c r="R564" t="str">
        <f t="shared" si="79"/>
        <v/>
      </c>
      <c r="S564">
        <f t="shared" si="80"/>
        <v>0</v>
      </c>
    </row>
    <row r="565" spans="1:19">
      <c r="A565" t="str">
        <f>IF(B565=0,"",发货清单!A565*10^6+COUNTIF($D$2:D565,D565)*10^3+ROW(A564))</f>
        <v/>
      </c>
      <c r="B565">
        <f>IFERROR(LEFT(发货清单!H565,SEARCH("-",发货清单!H565)-1),发货清单!H565)</f>
        <v>0</v>
      </c>
      <c r="C565" t="str">
        <f>IFERROR(VLOOKUP(发货清单!A565,数据库!A:D,4,0),"")</f>
        <v/>
      </c>
      <c r="D565" t="str">
        <f>IFERROR(VLOOKUP(发货清单!A565,数据库!A:C,3,0),"")</f>
        <v/>
      </c>
      <c r="E565">
        <f>发货清单!M565</f>
        <v>0</v>
      </c>
      <c r="F565">
        <f>发货清单!U565</f>
        <v>0</v>
      </c>
      <c r="G565" t="str">
        <f>IFERROR(VLOOKUP(发货清单!A565,数据库!A:B,2,0),"")</f>
        <v/>
      </c>
      <c r="H565">
        <f>发货清单!N565</f>
        <v>0</v>
      </c>
      <c r="I565" t="str">
        <f t="shared" si="72"/>
        <v/>
      </c>
      <c r="J565" t="str">
        <f t="shared" si="73"/>
        <v xml:space="preserve"> </v>
      </c>
      <c r="K565" t="str">
        <f t="shared" si="74"/>
        <v/>
      </c>
      <c r="L565" t="str">
        <f t="shared" si="75"/>
        <v/>
      </c>
      <c r="N565" s="245">
        <f t="shared" si="76"/>
        <v>0</v>
      </c>
      <c r="O565" s="245">
        <f t="shared" si="77"/>
        <v>0</v>
      </c>
      <c r="P565" t="str">
        <f t="shared" si="78"/>
        <v/>
      </c>
      <c r="Q565" t="str">
        <f>IFERROR(VLOOKUP(P565,数据库!C:M,11,0),"")</f>
        <v/>
      </c>
      <c r="R565" t="str">
        <f t="shared" si="79"/>
        <v/>
      </c>
      <c r="S565">
        <f t="shared" si="80"/>
        <v>0</v>
      </c>
    </row>
    <row r="566" spans="1:19">
      <c r="A566" t="str">
        <f>IF(B566=0,"",发货清单!A566*10^6+COUNTIF($D$2:D566,D566)*10^3+ROW(A565))</f>
        <v/>
      </c>
      <c r="B566">
        <f>IFERROR(LEFT(发货清单!H566,SEARCH("-",发货清单!H566)-1),发货清单!H566)</f>
        <v>0</v>
      </c>
      <c r="C566" t="str">
        <f>IFERROR(VLOOKUP(发货清单!A566,数据库!A:D,4,0),"")</f>
        <v/>
      </c>
      <c r="D566" t="str">
        <f>IFERROR(VLOOKUP(发货清单!A566,数据库!A:C,3,0),"")</f>
        <v/>
      </c>
      <c r="E566">
        <f>发货清单!M566</f>
        <v>0</v>
      </c>
      <c r="F566">
        <f>发货清单!U566</f>
        <v>0</v>
      </c>
      <c r="G566" t="str">
        <f>IFERROR(VLOOKUP(发货清单!A566,数据库!A:B,2,0),"")</f>
        <v/>
      </c>
      <c r="H566">
        <f>发货清单!N566</f>
        <v>0</v>
      </c>
      <c r="I566" t="str">
        <f t="shared" si="72"/>
        <v/>
      </c>
      <c r="J566" t="str">
        <f t="shared" si="73"/>
        <v xml:space="preserve"> </v>
      </c>
      <c r="K566" t="str">
        <f t="shared" si="74"/>
        <v/>
      </c>
      <c r="L566" t="str">
        <f t="shared" si="75"/>
        <v/>
      </c>
      <c r="N566" s="245">
        <f t="shared" si="76"/>
        <v>0</v>
      </c>
      <c r="O566" s="245">
        <f t="shared" si="77"/>
        <v>0</v>
      </c>
      <c r="P566" t="str">
        <f t="shared" si="78"/>
        <v/>
      </c>
      <c r="Q566" t="str">
        <f>IFERROR(VLOOKUP(P566,数据库!C:M,11,0),"")</f>
        <v/>
      </c>
      <c r="R566" t="str">
        <f t="shared" si="79"/>
        <v/>
      </c>
      <c r="S566">
        <f t="shared" si="80"/>
        <v>0</v>
      </c>
    </row>
    <row r="567" spans="1:19">
      <c r="A567" t="str">
        <f>IF(B567=0,"",发货清单!A567*10^6+COUNTIF($D$2:D567,D567)*10^3+ROW(A566))</f>
        <v/>
      </c>
      <c r="B567">
        <f>IFERROR(LEFT(发货清单!H567,SEARCH("-",发货清单!H567)-1),发货清单!H567)</f>
        <v>0</v>
      </c>
      <c r="C567" t="str">
        <f>IFERROR(VLOOKUP(发货清单!A567,数据库!A:D,4,0),"")</f>
        <v/>
      </c>
      <c r="D567" t="str">
        <f>IFERROR(VLOOKUP(发货清单!A567,数据库!A:C,3,0),"")</f>
        <v/>
      </c>
      <c r="E567">
        <f>发货清单!M567</f>
        <v>0</v>
      </c>
      <c r="F567">
        <f>发货清单!U567</f>
        <v>0</v>
      </c>
      <c r="G567" t="str">
        <f>IFERROR(VLOOKUP(发货清单!A567,数据库!A:B,2,0),"")</f>
        <v/>
      </c>
      <c r="H567">
        <f>发货清单!N567</f>
        <v>0</v>
      </c>
      <c r="I567" t="str">
        <f t="shared" si="72"/>
        <v/>
      </c>
      <c r="J567" t="str">
        <f t="shared" si="73"/>
        <v xml:space="preserve"> </v>
      </c>
      <c r="K567" t="str">
        <f t="shared" si="74"/>
        <v/>
      </c>
      <c r="L567" t="str">
        <f t="shared" si="75"/>
        <v/>
      </c>
      <c r="N567" s="245">
        <f t="shared" si="76"/>
        <v>0</v>
      </c>
      <c r="O567" s="245">
        <f t="shared" si="77"/>
        <v>0</v>
      </c>
      <c r="P567" t="str">
        <f t="shared" si="78"/>
        <v/>
      </c>
      <c r="Q567" t="str">
        <f>IFERROR(VLOOKUP(P567,数据库!C:M,11,0),"")</f>
        <v/>
      </c>
      <c r="R567" t="str">
        <f t="shared" si="79"/>
        <v/>
      </c>
      <c r="S567">
        <f t="shared" si="80"/>
        <v>0</v>
      </c>
    </row>
    <row r="568" spans="1:19">
      <c r="A568" t="str">
        <f>IF(B568=0,"",发货清单!A568*10^6+COUNTIF($D$2:D568,D568)*10^3+ROW(A567))</f>
        <v/>
      </c>
      <c r="B568">
        <f>IFERROR(LEFT(发货清单!H568,SEARCH("-",发货清单!H568)-1),发货清单!H568)</f>
        <v>0</v>
      </c>
      <c r="C568" t="str">
        <f>IFERROR(VLOOKUP(发货清单!A568,数据库!A:D,4,0),"")</f>
        <v/>
      </c>
      <c r="D568" t="str">
        <f>IFERROR(VLOOKUP(发货清单!A568,数据库!A:C,3,0),"")</f>
        <v/>
      </c>
      <c r="E568">
        <f>发货清单!M568</f>
        <v>0</v>
      </c>
      <c r="F568">
        <f>发货清单!U568</f>
        <v>0</v>
      </c>
      <c r="G568" t="str">
        <f>IFERROR(VLOOKUP(发货清单!A568,数据库!A:B,2,0),"")</f>
        <v/>
      </c>
      <c r="H568">
        <f>发货清单!N568</f>
        <v>0</v>
      </c>
      <c r="I568" t="str">
        <f t="shared" si="72"/>
        <v/>
      </c>
      <c r="J568" t="str">
        <f t="shared" si="73"/>
        <v xml:space="preserve"> </v>
      </c>
      <c r="K568" t="str">
        <f t="shared" si="74"/>
        <v/>
      </c>
      <c r="L568" t="str">
        <f t="shared" si="75"/>
        <v/>
      </c>
      <c r="N568" s="245">
        <f t="shared" si="76"/>
        <v>0</v>
      </c>
      <c r="O568" s="245">
        <f t="shared" si="77"/>
        <v>0</v>
      </c>
      <c r="P568" t="str">
        <f t="shared" si="78"/>
        <v/>
      </c>
      <c r="Q568" t="str">
        <f>IFERROR(VLOOKUP(P568,数据库!C:M,11,0),"")</f>
        <v/>
      </c>
      <c r="R568" t="str">
        <f t="shared" si="79"/>
        <v/>
      </c>
      <c r="S568">
        <f t="shared" si="80"/>
        <v>0</v>
      </c>
    </row>
    <row r="569" spans="1:19">
      <c r="A569" t="str">
        <f>IF(B569=0,"",发货清单!A569*10^6+COUNTIF($D$2:D569,D569)*10^3+ROW(A568))</f>
        <v/>
      </c>
      <c r="B569">
        <f>IFERROR(LEFT(发货清单!H569,SEARCH("-",发货清单!H569)-1),发货清单!H569)</f>
        <v>0</v>
      </c>
      <c r="C569" t="str">
        <f>IFERROR(VLOOKUP(发货清单!A569,数据库!A:D,4,0),"")</f>
        <v/>
      </c>
      <c r="D569" t="str">
        <f>IFERROR(VLOOKUP(发货清单!A569,数据库!A:C,3,0),"")</f>
        <v/>
      </c>
      <c r="E569">
        <f>发货清单!M569</f>
        <v>0</v>
      </c>
      <c r="F569">
        <f>发货清单!U569</f>
        <v>0</v>
      </c>
      <c r="G569" t="str">
        <f>IFERROR(VLOOKUP(发货清单!A569,数据库!A:B,2,0),"")</f>
        <v/>
      </c>
      <c r="H569">
        <f>发货清单!N569</f>
        <v>0</v>
      </c>
      <c r="I569" t="str">
        <f t="shared" si="72"/>
        <v/>
      </c>
      <c r="J569" t="str">
        <f t="shared" si="73"/>
        <v xml:space="preserve"> </v>
      </c>
      <c r="K569" t="str">
        <f t="shared" si="74"/>
        <v/>
      </c>
      <c r="L569" t="str">
        <f t="shared" si="75"/>
        <v/>
      </c>
      <c r="N569" s="245">
        <f t="shared" si="76"/>
        <v>0</v>
      </c>
      <c r="O569" s="245">
        <f t="shared" si="77"/>
        <v>0</v>
      </c>
      <c r="P569" t="str">
        <f t="shared" si="78"/>
        <v/>
      </c>
      <c r="Q569" t="str">
        <f>IFERROR(VLOOKUP(P569,数据库!C:M,11,0),"")</f>
        <v/>
      </c>
      <c r="R569" t="str">
        <f t="shared" si="79"/>
        <v/>
      </c>
      <c r="S569">
        <f t="shared" si="80"/>
        <v>0</v>
      </c>
    </row>
    <row r="570" spans="1:19">
      <c r="A570" t="str">
        <f>IF(B570=0,"",发货清单!A570*10^6+COUNTIF($D$2:D570,D570)*10^3+ROW(A569))</f>
        <v/>
      </c>
      <c r="B570">
        <f>IFERROR(LEFT(发货清单!H570,SEARCH("-",发货清单!H570)-1),发货清单!H570)</f>
        <v>0</v>
      </c>
      <c r="C570" t="str">
        <f>IFERROR(VLOOKUP(发货清单!A570,数据库!A:D,4,0),"")</f>
        <v/>
      </c>
      <c r="D570" t="str">
        <f>IFERROR(VLOOKUP(发货清单!A570,数据库!A:C,3,0),"")</f>
        <v/>
      </c>
      <c r="E570">
        <f>发货清单!M570</f>
        <v>0</v>
      </c>
      <c r="F570">
        <f>发货清单!U570</f>
        <v>0</v>
      </c>
      <c r="G570" t="str">
        <f>IFERROR(VLOOKUP(发货清单!A570,数据库!A:B,2,0),"")</f>
        <v/>
      </c>
      <c r="H570">
        <f>发货清单!N570</f>
        <v>0</v>
      </c>
      <c r="I570" t="str">
        <f t="shared" si="72"/>
        <v/>
      </c>
      <c r="J570" t="str">
        <f t="shared" si="73"/>
        <v xml:space="preserve"> </v>
      </c>
      <c r="K570" t="str">
        <f t="shared" si="74"/>
        <v/>
      </c>
      <c r="L570" t="str">
        <f t="shared" si="75"/>
        <v/>
      </c>
      <c r="N570" s="245">
        <f t="shared" si="76"/>
        <v>0</v>
      </c>
      <c r="O570" s="245">
        <f t="shared" si="77"/>
        <v>0</v>
      </c>
      <c r="P570" t="str">
        <f t="shared" si="78"/>
        <v/>
      </c>
      <c r="Q570" t="str">
        <f>IFERROR(VLOOKUP(P570,数据库!C:M,11,0),"")</f>
        <v/>
      </c>
      <c r="R570" t="str">
        <f t="shared" si="79"/>
        <v/>
      </c>
      <c r="S570">
        <f t="shared" si="80"/>
        <v>0</v>
      </c>
    </row>
    <row r="571" spans="1:19">
      <c r="A571" t="str">
        <f>IF(B571=0,"",发货清单!A571*10^6+COUNTIF($D$2:D571,D571)*10^3+ROW(A570))</f>
        <v/>
      </c>
      <c r="B571">
        <f>IFERROR(LEFT(发货清单!H571,SEARCH("-",发货清单!H571)-1),发货清单!H571)</f>
        <v>0</v>
      </c>
      <c r="C571" t="str">
        <f>IFERROR(VLOOKUP(发货清单!A571,数据库!A:D,4,0),"")</f>
        <v/>
      </c>
      <c r="D571" t="str">
        <f>IFERROR(VLOOKUP(发货清单!A571,数据库!A:C,3,0),"")</f>
        <v/>
      </c>
      <c r="E571">
        <f>发货清单!M571</f>
        <v>0</v>
      </c>
      <c r="F571">
        <f>发货清单!U571</f>
        <v>0</v>
      </c>
      <c r="G571" t="str">
        <f>IFERROR(VLOOKUP(发货清单!A571,数据库!A:B,2,0),"")</f>
        <v/>
      </c>
      <c r="H571">
        <f>发货清单!N571</f>
        <v>0</v>
      </c>
      <c r="I571" t="str">
        <f t="shared" si="72"/>
        <v/>
      </c>
      <c r="J571" t="str">
        <f t="shared" si="73"/>
        <v xml:space="preserve"> </v>
      </c>
      <c r="K571" t="str">
        <f t="shared" si="74"/>
        <v/>
      </c>
      <c r="L571" t="str">
        <f t="shared" si="75"/>
        <v/>
      </c>
      <c r="N571" s="245">
        <f t="shared" si="76"/>
        <v>0</v>
      </c>
      <c r="O571" s="245">
        <f t="shared" si="77"/>
        <v>0</v>
      </c>
      <c r="P571" t="str">
        <f t="shared" si="78"/>
        <v/>
      </c>
      <c r="Q571" t="str">
        <f>IFERROR(VLOOKUP(P571,数据库!C:M,11,0),"")</f>
        <v/>
      </c>
      <c r="R571" t="str">
        <f t="shared" si="79"/>
        <v/>
      </c>
      <c r="S571">
        <f t="shared" si="80"/>
        <v>0</v>
      </c>
    </row>
    <row r="572" spans="1:19">
      <c r="A572" t="str">
        <f>IF(B572=0,"",发货清单!A572*10^6+COUNTIF($D$2:D572,D572)*10^3+ROW(A571))</f>
        <v/>
      </c>
      <c r="B572">
        <f>IFERROR(LEFT(发货清单!H572,SEARCH("-",发货清单!H572)-1),发货清单!H572)</f>
        <v>0</v>
      </c>
      <c r="C572" t="str">
        <f>IFERROR(VLOOKUP(发货清单!A572,数据库!A:D,4,0),"")</f>
        <v/>
      </c>
      <c r="D572" t="str">
        <f>IFERROR(VLOOKUP(发货清单!A572,数据库!A:C,3,0),"")</f>
        <v/>
      </c>
      <c r="E572">
        <f>发货清单!M572</f>
        <v>0</v>
      </c>
      <c r="F572">
        <f>发货清单!U572</f>
        <v>0</v>
      </c>
      <c r="G572" t="str">
        <f>IFERROR(VLOOKUP(发货清单!A572,数据库!A:B,2,0),"")</f>
        <v/>
      </c>
      <c r="H572">
        <f>发货清单!N572</f>
        <v>0</v>
      </c>
      <c r="I572" t="str">
        <f t="shared" si="72"/>
        <v/>
      </c>
      <c r="J572" t="str">
        <f t="shared" si="73"/>
        <v xml:space="preserve"> </v>
      </c>
      <c r="K572" t="str">
        <f t="shared" si="74"/>
        <v/>
      </c>
      <c r="L572" t="str">
        <f t="shared" si="75"/>
        <v/>
      </c>
      <c r="N572" s="245">
        <f t="shared" si="76"/>
        <v>0</v>
      </c>
      <c r="O572" s="245">
        <f t="shared" si="77"/>
        <v>0</v>
      </c>
      <c r="P572" t="str">
        <f t="shared" si="78"/>
        <v/>
      </c>
      <c r="Q572" t="str">
        <f>IFERROR(VLOOKUP(P572,数据库!C:M,11,0),"")</f>
        <v/>
      </c>
      <c r="R572" t="str">
        <f t="shared" si="79"/>
        <v/>
      </c>
      <c r="S572">
        <f t="shared" si="80"/>
        <v>0</v>
      </c>
    </row>
    <row r="573" spans="1:19">
      <c r="A573" t="str">
        <f>IF(B573=0,"",发货清单!A573*10^6+COUNTIF($D$2:D573,D573)*10^3+ROW(A572))</f>
        <v/>
      </c>
      <c r="B573">
        <f>IFERROR(LEFT(发货清单!H573,SEARCH("-",发货清单!H573)-1),发货清单!H573)</f>
        <v>0</v>
      </c>
      <c r="C573" t="str">
        <f>IFERROR(VLOOKUP(发货清单!A573,数据库!A:D,4,0),"")</f>
        <v/>
      </c>
      <c r="D573" t="str">
        <f>IFERROR(VLOOKUP(发货清单!A573,数据库!A:C,3,0),"")</f>
        <v/>
      </c>
      <c r="E573">
        <f>发货清单!M573</f>
        <v>0</v>
      </c>
      <c r="F573">
        <f>发货清单!U573</f>
        <v>0</v>
      </c>
      <c r="G573" t="str">
        <f>IFERROR(VLOOKUP(发货清单!A573,数据库!A:B,2,0),"")</f>
        <v/>
      </c>
      <c r="H573">
        <f>发货清单!N573</f>
        <v>0</v>
      </c>
      <c r="I573" t="str">
        <f t="shared" si="72"/>
        <v/>
      </c>
      <c r="J573" t="str">
        <f t="shared" si="73"/>
        <v xml:space="preserve"> </v>
      </c>
      <c r="K573" t="str">
        <f t="shared" si="74"/>
        <v/>
      </c>
      <c r="L573" t="str">
        <f t="shared" si="75"/>
        <v/>
      </c>
      <c r="N573" s="245">
        <f t="shared" si="76"/>
        <v>0</v>
      </c>
      <c r="O573" s="245">
        <f t="shared" si="77"/>
        <v>0</v>
      </c>
      <c r="P573" t="str">
        <f t="shared" si="78"/>
        <v/>
      </c>
      <c r="Q573" t="str">
        <f>IFERROR(VLOOKUP(P573,数据库!C:M,11,0),"")</f>
        <v/>
      </c>
      <c r="R573" t="str">
        <f t="shared" si="79"/>
        <v/>
      </c>
      <c r="S573">
        <f t="shared" si="80"/>
        <v>0</v>
      </c>
    </row>
    <row r="574" spans="1:19">
      <c r="A574" t="str">
        <f>IF(B574=0,"",发货清单!A574*10^6+COUNTIF($D$2:D574,D574)*10^3+ROW(A573))</f>
        <v/>
      </c>
      <c r="B574">
        <f>IFERROR(LEFT(发货清单!H574,SEARCH("-",发货清单!H574)-1),发货清单!H574)</f>
        <v>0</v>
      </c>
      <c r="C574" t="str">
        <f>IFERROR(VLOOKUP(发货清单!A574,数据库!A:D,4,0),"")</f>
        <v/>
      </c>
      <c r="D574" t="str">
        <f>IFERROR(VLOOKUP(发货清单!A574,数据库!A:C,3,0),"")</f>
        <v/>
      </c>
      <c r="E574">
        <f>发货清单!M574</f>
        <v>0</v>
      </c>
      <c r="F574">
        <f>发货清单!U574</f>
        <v>0</v>
      </c>
      <c r="G574" t="str">
        <f>IFERROR(VLOOKUP(发货清单!A574,数据库!A:B,2,0),"")</f>
        <v/>
      </c>
      <c r="H574">
        <f>发货清单!N574</f>
        <v>0</v>
      </c>
      <c r="I574" t="str">
        <f t="shared" si="72"/>
        <v/>
      </c>
      <c r="J574" t="str">
        <f t="shared" si="73"/>
        <v xml:space="preserve"> </v>
      </c>
      <c r="K574" t="str">
        <f t="shared" si="74"/>
        <v/>
      </c>
      <c r="L574" t="str">
        <f t="shared" si="75"/>
        <v/>
      </c>
      <c r="N574" s="245">
        <f t="shared" si="76"/>
        <v>0</v>
      </c>
      <c r="O574" s="245">
        <f t="shared" si="77"/>
        <v>0</v>
      </c>
      <c r="P574" t="str">
        <f t="shared" si="78"/>
        <v/>
      </c>
      <c r="Q574" t="str">
        <f>IFERROR(VLOOKUP(P574,数据库!C:M,11,0),"")</f>
        <v/>
      </c>
      <c r="R574" t="str">
        <f t="shared" si="79"/>
        <v/>
      </c>
      <c r="S574">
        <f t="shared" si="80"/>
        <v>0</v>
      </c>
    </row>
    <row r="575" spans="1:19">
      <c r="A575" t="str">
        <f>IF(B575=0,"",发货清单!A575*10^6+COUNTIF($D$2:D575,D575)*10^3+ROW(A574))</f>
        <v/>
      </c>
      <c r="B575">
        <f>IFERROR(LEFT(发货清单!H575,SEARCH("-",发货清单!H575)-1),发货清单!H575)</f>
        <v>0</v>
      </c>
      <c r="C575" t="str">
        <f>IFERROR(VLOOKUP(发货清单!A575,数据库!A:D,4,0),"")</f>
        <v/>
      </c>
      <c r="D575" t="str">
        <f>IFERROR(VLOOKUP(发货清单!A575,数据库!A:C,3,0),"")</f>
        <v/>
      </c>
      <c r="E575">
        <f>发货清单!M575</f>
        <v>0</v>
      </c>
      <c r="F575">
        <f>发货清单!U575</f>
        <v>0</v>
      </c>
      <c r="G575" t="str">
        <f>IFERROR(VLOOKUP(发货清单!A575,数据库!A:B,2,0),"")</f>
        <v/>
      </c>
      <c r="H575">
        <f>发货清单!N575</f>
        <v>0</v>
      </c>
      <c r="I575" t="str">
        <f t="shared" si="72"/>
        <v/>
      </c>
      <c r="J575" t="str">
        <f t="shared" si="73"/>
        <v xml:space="preserve"> </v>
      </c>
      <c r="K575" t="str">
        <f t="shared" si="74"/>
        <v/>
      </c>
      <c r="L575" t="str">
        <f t="shared" si="75"/>
        <v/>
      </c>
      <c r="N575" s="245">
        <f t="shared" si="76"/>
        <v>0</v>
      </c>
      <c r="O575" s="245">
        <f t="shared" si="77"/>
        <v>0</v>
      </c>
      <c r="P575" t="str">
        <f t="shared" si="78"/>
        <v/>
      </c>
      <c r="Q575" t="str">
        <f>IFERROR(VLOOKUP(P575,数据库!C:M,11,0),"")</f>
        <v/>
      </c>
      <c r="R575" t="str">
        <f t="shared" si="79"/>
        <v/>
      </c>
      <c r="S575">
        <f t="shared" si="80"/>
        <v>0</v>
      </c>
    </row>
    <row r="576" spans="1:19">
      <c r="A576" t="str">
        <f>IF(B576=0,"",发货清单!A576*10^6+COUNTIF($D$2:D576,D576)*10^3+ROW(A575))</f>
        <v/>
      </c>
      <c r="B576">
        <f>IFERROR(LEFT(发货清单!H576,SEARCH("-",发货清单!H576)-1),发货清单!H576)</f>
        <v>0</v>
      </c>
      <c r="C576" t="str">
        <f>IFERROR(VLOOKUP(发货清单!A576,数据库!A:D,4,0),"")</f>
        <v/>
      </c>
      <c r="D576" t="str">
        <f>IFERROR(VLOOKUP(发货清单!A576,数据库!A:C,3,0),"")</f>
        <v/>
      </c>
      <c r="E576">
        <f>发货清单!M576</f>
        <v>0</v>
      </c>
      <c r="F576">
        <f>发货清单!U576</f>
        <v>0</v>
      </c>
      <c r="G576" t="str">
        <f>IFERROR(VLOOKUP(发货清单!A576,数据库!A:B,2,0),"")</f>
        <v/>
      </c>
      <c r="H576">
        <f>发货清单!N576</f>
        <v>0</v>
      </c>
      <c r="I576" t="str">
        <f t="shared" si="72"/>
        <v/>
      </c>
      <c r="J576" t="str">
        <f t="shared" si="73"/>
        <v xml:space="preserve"> </v>
      </c>
      <c r="K576" t="str">
        <f t="shared" si="74"/>
        <v/>
      </c>
      <c r="L576" t="str">
        <f t="shared" si="75"/>
        <v/>
      </c>
      <c r="N576" s="245">
        <f t="shared" si="76"/>
        <v>0</v>
      </c>
      <c r="O576" s="245">
        <f t="shared" si="77"/>
        <v>0</v>
      </c>
      <c r="P576" t="str">
        <f t="shared" si="78"/>
        <v/>
      </c>
      <c r="Q576" t="str">
        <f>IFERROR(VLOOKUP(P576,数据库!C:M,11,0),"")</f>
        <v/>
      </c>
      <c r="R576" t="str">
        <f t="shared" si="79"/>
        <v/>
      </c>
      <c r="S576">
        <f t="shared" si="80"/>
        <v>0</v>
      </c>
    </row>
    <row r="577" spans="1:19">
      <c r="A577" t="str">
        <f>IF(B577=0,"",发货清单!A577*10^6+COUNTIF($D$2:D577,D577)*10^3+ROW(A576))</f>
        <v/>
      </c>
      <c r="B577">
        <f>IFERROR(LEFT(发货清单!H577,SEARCH("-",发货清单!H577)-1),发货清单!H577)</f>
        <v>0</v>
      </c>
      <c r="C577" t="str">
        <f>IFERROR(VLOOKUP(发货清单!A577,数据库!A:D,4,0),"")</f>
        <v/>
      </c>
      <c r="D577" t="str">
        <f>IFERROR(VLOOKUP(发货清单!A577,数据库!A:C,3,0),"")</f>
        <v/>
      </c>
      <c r="E577">
        <f>发货清单!M577</f>
        <v>0</v>
      </c>
      <c r="F577">
        <f>发货清单!U577</f>
        <v>0</v>
      </c>
      <c r="G577" t="str">
        <f>IFERROR(VLOOKUP(发货清单!A577,数据库!A:B,2,0),"")</f>
        <v/>
      </c>
      <c r="H577">
        <f>发货清单!N577</f>
        <v>0</v>
      </c>
      <c r="I577" t="str">
        <f t="shared" si="72"/>
        <v/>
      </c>
      <c r="J577" t="str">
        <f t="shared" si="73"/>
        <v xml:space="preserve"> </v>
      </c>
      <c r="K577" t="str">
        <f t="shared" si="74"/>
        <v/>
      </c>
      <c r="L577" t="str">
        <f t="shared" si="75"/>
        <v/>
      </c>
      <c r="N577" s="245">
        <f t="shared" si="76"/>
        <v>0</v>
      </c>
      <c r="O577" s="245">
        <f t="shared" si="77"/>
        <v>0</v>
      </c>
      <c r="P577" t="str">
        <f t="shared" si="78"/>
        <v/>
      </c>
      <c r="Q577" t="str">
        <f>IFERROR(VLOOKUP(P577,数据库!C:M,11,0),"")</f>
        <v/>
      </c>
      <c r="R577" t="str">
        <f t="shared" si="79"/>
        <v/>
      </c>
      <c r="S577">
        <f t="shared" si="80"/>
        <v>0</v>
      </c>
    </row>
    <row r="578" spans="1:19">
      <c r="A578" t="str">
        <f>IF(B578=0,"",发货清单!A578*10^6+COUNTIF($D$2:D578,D578)*10^3+ROW(A577))</f>
        <v/>
      </c>
      <c r="B578">
        <f>IFERROR(LEFT(发货清单!H578,SEARCH("-",发货清单!H578)-1),发货清单!H578)</f>
        <v>0</v>
      </c>
      <c r="C578" t="str">
        <f>IFERROR(VLOOKUP(发货清单!A578,数据库!A:D,4,0),"")</f>
        <v/>
      </c>
      <c r="D578" t="str">
        <f>IFERROR(VLOOKUP(发货清单!A578,数据库!A:C,3,0),"")</f>
        <v/>
      </c>
      <c r="E578">
        <f>发货清单!M578</f>
        <v>0</v>
      </c>
      <c r="F578">
        <f>发货清单!U578</f>
        <v>0</v>
      </c>
      <c r="G578" t="str">
        <f>IFERROR(VLOOKUP(发货清单!A578,数据库!A:B,2,0),"")</f>
        <v/>
      </c>
      <c r="H578">
        <f>发货清单!N578</f>
        <v>0</v>
      </c>
      <c r="I578" t="str">
        <f t="shared" si="72"/>
        <v/>
      </c>
      <c r="J578" t="str">
        <f t="shared" si="73"/>
        <v xml:space="preserve"> </v>
      </c>
      <c r="K578" t="str">
        <f t="shared" si="74"/>
        <v/>
      </c>
      <c r="L578" t="str">
        <f t="shared" si="75"/>
        <v/>
      </c>
      <c r="N578" s="245">
        <f t="shared" si="76"/>
        <v>0</v>
      </c>
      <c r="O578" s="245">
        <f t="shared" si="77"/>
        <v>0</v>
      </c>
      <c r="P578" t="str">
        <f t="shared" si="78"/>
        <v/>
      </c>
      <c r="Q578" t="str">
        <f>IFERROR(VLOOKUP(P578,数据库!C:M,11,0),"")</f>
        <v/>
      </c>
      <c r="R578" t="str">
        <f t="shared" si="79"/>
        <v/>
      </c>
      <c r="S578">
        <f t="shared" si="80"/>
        <v>0</v>
      </c>
    </row>
    <row r="579" spans="1:19">
      <c r="A579" t="str">
        <f>IF(B579=0,"",发货清单!A579*10^6+COUNTIF($D$2:D579,D579)*10^3+ROW(A578))</f>
        <v/>
      </c>
      <c r="B579">
        <f>IFERROR(LEFT(发货清单!H579,SEARCH("-",发货清单!H579)-1),发货清单!H579)</f>
        <v>0</v>
      </c>
      <c r="C579" t="str">
        <f>IFERROR(VLOOKUP(发货清单!A579,数据库!A:D,4,0),"")</f>
        <v/>
      </c>
      <c r="D579" t="str">
        <f>IFERROR(VLOOKUP(发货清单!A579,数据库!A:C,3,0),"")</f>
        <v/>
      </c>
      <c r="E579">
        <f>发货清单!M579</f>
        <v>0</v>
      </c>
      <c r="F579">
        <f>发货清单!U579</f>
        <v>0</v>
      </c>
      <c r="G579" t="str">
        <f>IFERROR(VLOOKUP(发货清单!A579,数据库!A:B,2,0),"")</f>
        <v/>
      </c>
      <c r="H579">
        <f>发货清单!N579</f>
        <v>0</v>
      </c>
      <c r="I579" t="str">
        <f t="shared" ref="I579:I642" si="81">IFERROR(SMALL(A:A,ROW(A578)),"")</f>
        <v/>
      </c>
      <c r="J579" t="str">
        <f t="shared" ref="J579:J642" si="82">IFERROR(IF(RIGHT(I579,6)-2000&gt;0," ",I579)," ")</f>
        <v xml:space="preserve"> </v>
      </c>
      <c r="K579" t="str">
        <f t="shared" ref="K579:K642" si="83">IFERROR(SMALL(J:J,ROW(A578)),"")</f>
        <v/>
      </c>
      <c r="L579" t="str">
        <f t="shared" ref="L579:L642" si="84">IFERROR(VLOOKUP(K579,A:G,7,0)," ")</f>
        <v/>
      </c>
      <c r="N579" s="245">
        <f t="shared" ref="N579:N642" si="85">IF(P579=" ",0,SUMIF(D:D,P579,E:E))</f>
        <v>0</v>
      </c>
      <c r="O579" s="245">
        <f t="shared" ref="O579:O642" si="86">SUMIF(D:D,P579,F:F)</f>
        <v>0</v>
      </c>
      <c r="P579" t="str">
        <f t="shared" ref="P579:P642" si="87">IFERROR(VLOOKUP(K579,A:D,4,0)," ")</f>
        <v/>
      </c>
      <c r="Q579" t="str">
        <f>IFERROR(VLOOKUP(P579,数据库!C:M,11,0),"")</f>
        <v/>
      </c>
      <c r="R579" t="str">
        <f t="shared" ref="R579:R642" si="88">IFERROR(VLOOKUP(K579,A:C,3,0)," ")</f>
        <v/>
      </c>
      <c r="S579">
        <f t="shared" ref="S579:S642" si="89">IFERROR(VLOOKUP(K579,A:H,8,0)," ")</f>
        <v>0</v>
      </c>
    </row>
    <row r="580" spans="1:19">
      <c r="A580" t="str">
        <f>IF(B580=0,"",发货清单!A580*10^6+COUNTIF($D$2:D580,D580)*10^3+ROW(A579))</f>
        <v/>
      </c>
      <c r="B580">
        <f>IFERROR(LEFT(发货清单!H580,SEARCH("-",发货清单!H580)-1),发货清单!H580)</f>
        <v>0</v>
      </c>
      <c r="C580" t="str">
        <f>IFERROR(VLOOKUP(发货清单!A580,数据库!A:D,4,0),"")</f>
        <v/>
      </c>
      <c r="D580" t="str">
        <f>IFERROR(VLOOKUP(发货清单!A580,数据库!A:C,3,0),"")</f>
        <v/>
      </c>
      <c r="E580">
        <f>发货清单!M580</f>
        <v>0</v>
      </c>
      <c r="F580">
        <f>发货清单!U580</f>
        <v>0</v>
      </c>
      <c r="G580" t="str">
        <f>IFERROR(VLOOKUP(发货清单!A580,数据库!A:B,2,0),"")</f>
        <v/>
      </c>
      <c r="H580">
        <f>发货清单!N580</f>
        <v>0</v>
      </c>
      <c r="I580" t="str">
        <f t="shared" si="81"/>
        <v/>
      </c>
      <c r="J580" t="str">
        <f t="shared" si="82"/>
        <v xml:space="preserve"> </v>
      </c>
      <c r="K580" t="str">
        <f t="shared" si="83"/>
        <v/>
      </c>
      <c r="L580" t="str">
        <f t="shared" si="84"/>
        <v/>
      </c>
      <c r="N580" s="245">
        <f t="shared" si="85"/>
        <v>0</v>
      </c>
      <c r="O580" s="245">
        <f t="shared" si="86"/>
        <v>0</v>
      </c>
      <c r="P580" t="str">
        <f t="shared" si="87"/>
        <v/>
      </c>
      <c r="Q580" t="str">
        <f>IFERROR(VLOOKUP(P580,数据库!C:M,11,0),"")</f>
        <v/>
      </c>
      <c r="R580" t="str">
        <f t="shared" si="88"/>
        <v/>
      </c>
      <c r="S580">
        <f t="shared" si="89"/>
        <v>0</v>
      </c>
    </row>
    <row r="581" spans="1:19">
      <c r="A581" t="str">
        <f>IF(B581=0,"",发货清单!A581*10^6+COUNTIF($D$2:D581,D581)*10^3+ROW(A580))</f>
        <v/>
      </c>
      <c r="B581">
        <f>IFERROR(LEFT(发货清单!H581,SEARCH("-",发货清单!H581)-1),发货清单!H581)</f>
        <v>0</v>
      </c>
      <c r="C581" t="str">
        <f>IFERROR(VLOOKUP(发货清单!A581,数据库!A:D,4,0),"")</f>
        <v/>
      </c>
      <c r="D581" t="str">
        <f>IFERROR(VLOOKUP(发货清单!A581,数据库!A:C,3,0),"")</f>
        <v/>
      </c>
      <c r="E581">
        <f>发货清单!M581</f>
        <v>0</v>
      </c>
      <c r="F581">
        <f>发货清单!U581</f>
        <v>0</v>
      </c>
      <c r="G581" t="str">
        <f>IFERROR(VLOOKUP(发货清单!A581,数据库!A:B,2,0),"")</f>
        <v/>
      </c>
      <c r="H581">
        <f>发货清单!N581</f>
        <v>0</v>
      </c>
      <c r="I581" t="str">
        <f t="shared" si="81"/>
        <v/>
      </c>
      <c r="J581" t="str">
        <f t="shared" si="82"/>
        <v xml:space="preserve"> </v>
      </c>
      <c r="K581" t="str">
        <f t="shared" si="83"/>
        <v/>
      </c>
      <c r="L581" t="str">
        <f t="shared" si="84"/>
        <v/>
      </c>
      <c r="N581" s="245">
        <f t="shared" si="85"/>
        <v>0</v>
      </c>
      <c r="O581" s="245">
        <f t="shared" si="86"/>
        <v>0</v>
      </c>
      <c r="P581" t="str">
        <f t="shared" si="87"/>
        <v/>
      </c>
      <c r="Q581" t="str">
        <f>IFERROR(VLOOKUP(P581,数据库!C:M,11,0),"")</f>
        <v/>
      </c>
      <c r="R581" t="str">
        <f t="shared" si="88"/>
        <v/>
      </c>
      <c r="S581">
        <f t="shared" si="89"/>
        <v>0</v>
      </c>
    </row>
    <row r="582" spans="1:19">
      <c r="A582" t="str">
        <f>IF(B582=0,"",发货清单!A582*10^6+COUNTIF($D$2:D582,D582)*10^3+ROW(A581))</f>
        <v/>
      </c>
      <c r="B582">
        <f>IFERROR(LEFT(发货清单!H582,SEARCH("-",发货清单!H582)-1),发货清单!H582)</f>
        <v>0</v>
      </c>
      <c r="C582" t="str">
        <f>IFERROR(VLOOKUP(发货清单!A582,数据库!A:D,4,0),"")</f>
        <v/>
      </c>
      <c r="D582" t="str">
        <f>IFERROR(VLOOKUP(发货清单!A582,数据库!A:C,3,0),"")</f>
        <v/>
      </c>
      <c r="E582">
        <f>发货清单!M582</f>
        <v>0</v>
      </c>
      <c r="F582">
        <f>发货清单!U582</f>
        <v>0</v>
      </c>
      <c r="G582" t="str">
        <f>IFERROR(VLOOKUP(发货清单!A582,数据库!A:B,2,0),"")</f>
        <v/>
      </c>
      <c r="H582">
        <f>发货清单!N582</f>
        <v>0</v>
      </c>
      <c r="I582" t="str">
        <f t="shared" si="81"/>
        <v/>
      </c>
      <c r="J582" t="str">
        <f t="shared" si="82"/>
        <v xml:space="preserve"> </v>
      </c>
      <c r="K582" t="str">
        <f t="shared" si="83"/>
        <v/>
      </c>
      <c r="L582" t="str">
        <f t="shared" si="84"/>
        <v/>
      </c>
      <c r="N582" s="245">
        <f t="shared" si="85"/>
        <v>0</v>
      </c>
      <c r="O582" s="245">
        <f t="shared" si="86"/>
        <v>0</v>
      </c>
      <c r="P582" t="str">
        <f t="shared" si="87"/>
        <v/>
      </c>
      <c r="Q582" t="str">
        <f>IFERROR(VLOOKUP(P582,数据库!C:M,11,0),"")</f>
        <v/>
      </c>
      <c r="R582" t="str">
        <f t="shared" si="88"/>
        <v/>
      </c>
      <c r="S582">
        <f t="shared" si="89"/>
        <v>0</v>
      </c>
    </row>
    <row r="583" spans="1:19">
      <c r="A583" t="str">
        <f>IF(B583=0,"",发货清单!A583*10^6+COUNTIF($D$2:D583,D583)*10^3+ROW(A582))</f>
        <v/>
      </c>
      <c r="B583">
        <f>IFERROR(LEFT(发货清单!H583,SEARCH("-",发货清单!H583)-1),发货清单!H583)</f>
        <v>0</v>
      </c>
      <c r="C583" t="str">
        <f>IFERROR(VLOOKUP(发货清单!A583,数据库!A:D,4,0),"")</f>
        <v/>
      </c>
      <c r="D583" t="str">
        <f>IFERROR(VLOOKUP(发货清单!A583,数据库!A:C,3,0),"")</f>
        <v/>
      </c>
      <c r="E583">
        <f>发货清单!M583</f>
        <v>0</v>
      </c>
      <c r="F583">
        <f>发货清单!U583</f>
        <v>0</v>
      </c>
      <c r="G583" t="str">
        <f>IFERROR(VLOOKUP(发货清单!A583,数据库!A:B,2,0),"")</f>
        <v/>
      </c>
      <c r="H583">
        <f>发货清单!N583</f>
        <v>0</v>
      </c>
      <c r="I583" t="str">
        <f t="shared" si="81"/>
        <v/>
      </c>
      <c r="J583" t="str">
        <f t="shared" si="82"/>
        <v xml:space="preserve"> </v>
      </c>
      <c r="K583" t="str">
        <f t="shared" si="83"/>
        <v/>
      </c>
      <c r="L583" t="str">
        <f t="shared" si="84"/>
        <v/>
      </c>
      <c r="N583" s="245">
        <f t="shared" si="85"/>
        <v>0</v>
      </c>
      <c r="O583" s="245">
        <f t="shared" si="86"/>
        <v>0</v>
      </c>
      <c r="P583" t="str">
        <f t="shared" si="87"/>
        <v/>
      </c>
      <c r="Q583" t="str">
        <f>IFERROR(VLOOKUP(P583,数据库!C:M,11,0),"")</f>
        <v/>
      </c>
      <c r="R583" t="str">
        <f t="shared" si="88"/>
        <v/>
      </c>
      <c r="S583">
        <f t="shared" si="89"/>
        <v>0</v>
      </c>
    </row>
    <row r="584" spans="1:19">
      <c r="A584" t="str">
        <f>IF(B584=0,"",发货清单!A584*10^6+COUNTIF($D$2:D584,D584)*10^3+ROW(A583))</f>
        <v/>
      </c>
      <c r="B584">
        <f>IFERROR(LEFT(发货清单!H584,SEARCH("-",发货清单!H584)-1),发货清单!H584)</f>
        <v>0</v>
      </c>
      <c r="C584" t="str">
        <f>IFERROR(VLOOKUP(发货清单!A584,数据库!A:D,4,0),"")</f>
        <v/>
      </c>
      <c r="D584" t="str">
        <f>IFERROR(VLOOKUP(发货清单!A584,数据库!A:C,3,0),"")</f>
        <v/>
      </c>
      <c r="E584">
        <f>发货清单!M584</f>
        <v>0</v>
      </c>
      <c r="F584">
        <f>发货清单!U584</f>
        <v>0</v>
      </c>
      <c r="G584" t="str">
        <f>IFERROR(VLOOKUP(发货清单!A584,数据库!A:B,2,0),"")</f>
        <v/>
      </c>
      <c r="H584">
        <f>发货清单!N584</f>
        <v>0</v>
      </c>
      <c r="I584" t="str">
        <f t="shared" si="81"/>
        <v/>
      </c>
      <c r="J584" t="str">
        <f t="shared" si="82"/>
        <v xml:space="preserve"> </v>
      </c>
      <c r="K584" t="str">
        <f t="shared" si="83"/>
        <v/>
      </c>
      <c r="L584" t="str">
        <f t="shared" si="84"/>
        <v/>
      </c>
      <c r="N584" s="245">
        <f t="shared" si="85"/>
        <v>0</v>
      </c>
      <c r="O584" s="245">
        <f t="shared" si="86"/>
        <v>0</v>
      </c>
      <c r="P584" t="str">
        <f t="shared" si="87"/>
        <v/>
      </c>
      <c r="Q584" t="str">
        <f>IFERROR(VLOOKUP(P584,数据库!C:M,11,0),"")</f>
        <v/>
      </c>
      <c r="R584" t="str">
        <f t="shared" si="88"/>
        <v/>
      </c>
      <c r="S584">
        <f t="shared" si="89"/>
        <v>0</v>
      </c>
    </row>
    <row r="585" spans="1:19">
      <c r="A585" t="str">
        <f>IF(B585=0,"",发货清单!A585*10^6+COUNTIF($D$2:D585,D585)*10^3+ROW(A584))</f>
        <v/>
      </c>
      <c r="B585">
        <f>IFERROR(LEFT(发货清单!H585,SEARCH("-",发货清单!H585)-1),发货清单!H585)</f>
        <v>0</v>
      </c>
      <c r="C585" t="str">
        <f>IFERROR(VLOOKUP(发货清单!A585,数据库!A:D,4,0),"")</f>
        <v/>
      </c>
      <c r="D585" t="str">
        <f>IFERROR(VLOOKUP(发货清单!A585,数据库!A:C,3,0),"")</f>
        <v/>
      </c>
      <c r="E585">
        <f>发货清单!M585</f>
        <v>0</v>
      </c>
      <c r="F585">
        <f>发货清单!U585</f>
        <v>0</v>
      </c>
      <c r="G585" t="str">
        <f>IFERROR(VLOOKUP(发货清单!A585,数据库!A:B,2,0),"")</f>
        <v/>
      </c>
      <c r="H585">
        <f>发货清单!N585</f>
        <v>0</v>
      </c>
      <c r="I585" t="str">
        <f t="shared" si="81"/>
        <v/>
      </c>
      <c r="J585" t="str">
        <f t="shared" si="82"/>
        <v xml:space="preserve"> </v>
      </c>
      <c r="K585" t="str">
        <f t="shared" si="83"/>
        <v/>
      </c>
      <c r="L585" t="str">
        <f t="shared" si="84"/>
        <v/>
      </c>
      <c r="N585" s="245">
        <f t="shared" si="85"/>
        <v>0</v>
      </c>
      <c r="O585" s="245">
        <f t="shared" si="86"/>
        <v>0</v>
      </c>
      <c r="P585" t="str">
        <f t="shared" si="87"/>
        <v/>
      </c>
      <c r="Q585" t="str">
        <f>IFERROR(VLOOKUP(P585,数据库!C:M,11,0),"")</f>
        <v/>
      </c>
      <c r="R585" t="str">
        <f t="shared" si="88"/>
        <v/>
      </c>
      <c r="S585">
        <f t="shared" si="89"/>
        <v>0</v>
      </c>
    </row>
    <row r="586" spans="1:19">
      <c r="A586" t="str">
        <f>IF(B586=0,"",发货清单!A586*10^6+COUNTIF($D$2:D586,D586)*10^3+ROW(A585))</f>
        <v/>
      </c>
      <c r="B586">
        <f>IFERROR(LEFT(发货清单!H586,SEARCH("-",发货清单!H586)-1),发货清单!H586)</f>
        <v>0</v>
      </c>
      <c r="C586" t="str">
        <f>IFERROR(VLOOKUP(发货清单!A586,数据库!A:D,4,0),"")</f>
        <v/>
      </c>
      <c r="D586" t="str">
        <f>IFERROR(VLOOKUP(发货清单!A586,数据库!A:C,3,0),"")</f>
        <v/>
      </c>
      <c r="E586">
        <f>发货清单!M586</f>
        <v>0</v>
      </c>
      <c r="F586">
        <f>发货清单!U586</f>
        <v>0</v>
      </c>
      <c r="G586" t="str">
        <f>IFERROR(VLOOKUP(发货清单!A586,数据库!A:B,2,0),"")</f>
        <v/>
      </c>
      <c r="H586">
        <f>发货清单!N586</f>
        <v>0</v>
      </c>
      <c r="I586" t="str">
        <f t="shared" si="81"/>
        <v/>
      </c>
      <c r="J586" t="str">
        <f t="shared" si="82"/>
        <v xml:space="preserve"> </v>
      </c>
      <c r="K586" t="str">
        <f t="shared" si="83"/>
        <v/>
      </c>
      <c r="L586" t="str">
        <f t="shared" si="84"/>
        <v/>
      </c>
      <c r="N586" s="245">
        <f t="shared" si="85"/>
        <v>0</v>
      </c>
      <c r="O586" s="245">
        <f t="shared" si="86"/>
        <v>0</v>
      </c>
      <c r="P586" t="str">
        <f t="shared" si="87"/>
        <v/>
      </c>
      <c r="Q586" t="str">
        <f>IFERROR(VLOOKUP(P586,数据库!C:M,11,0),"")</f>
        <v/>
      </c>
      <c r="R586" t="str">
        <f t="shared" si="88"/>
        <v/>
      </c>
      <c r="S586">
        <f t="shared" si="89"/>
        <v>0</v>
      </c>
    </row>
    <row r="587" spans="1:19">
      <c r="A587" t="str">
        <f>IF(B587=0,"",发货清单!A587*10^6+COUNTIF($D$2:D587,D587)*10^3+ROW(A586))</f>
        <v/>
      </c>
      <c r="B587">
        <f>IFERROR(LEFT(发货清单!H587,SEARCH("-",发货清单!H587)-1),发货清单!H587)</f>
        <v>0</v>
      </c>
      <c r="C587" t="str">
        <f>IFERROR(VLOOKUP(发货清单!A587,数据库!A:D,4,0),"")</f>
        <v/>
      </c>
      <c r="D587" t="str">
        <f>IFERROR(VLOOKUP(发货清单!A587,数据库!A:C,3,0),"")</f>
        <v/>
      </c>
      <c r="E587">
        <f>发货清单!M587</f>
        <v>0</v>
      </c>
      <c r="F587">
        <f>发货清单!U587</f>
        <v>0</v>
      </c>
      <c r="G587" t="str">
        <f>IFERROR(VLOOKUP(发货清单!A587,数据库!A:B,2,0),"")</f>
        <v/>
      </c>
      <c r="H587">
        <f>发货清单!N587</f>
        <v>0</v>
      </c>
      <c r="I587" t="str">
        <f t="shared" si="81"/>
        <v/>
      </c>
      <c r="J587" t="str">
        <f t="shared" si="82"/>
        <v xml:space="preserve"> </v>
      </c>
      <c r="K587" t="str">
        <f t="shared" si="83"/>
        <v/>
      </c>
      <c r="L587" t="str">
        <f t="shared" si="84"/>
        <v/>
      </c>
      <c r="N587" s="245">
        <f t="shared" si="85"/>
        <v>0</v>
      </c>
      <c r="O587" s="245">
        <f t="shared" si="86"/>
        <v>0</v>
      </c>
      <c r="P587" t="str">
        <f t="shared" si="87"/>
        <v/>
      </c>
      <c r="Q587" t="str">
        <f>IFERROR(VLOOKUP(P587,数据库!C:M,11,0),"")</f>
        <v/>
      </c>
      <c r="R587" t="str">
        <f t="shared" si="88"/>
        <v/>
      </c>
      <c r="S587">
        <f t="shared" si="89"/>
        <v>0</v>
      </c>
    </row>
    <row r="588" spans="1:19">
      <c r="A588" t="str">
        <f>IF(B588=0,"",发货清单!A588*10^6+COUNTIF($D$2:D588,D588)*10^3+ROW(A587))</f>
        <v/>
      </c>
      <c r="B588">
        <f>IFERROR(LEFT(发货清单!H588,SEARCH("-",发货清单!H588)-1),发货清单!H588)</f>
        <v>0</v>
      </c>
      <c r="C588" t="str">
        <f>IFERROR(VLOOKUP(发货清单!A588,数据库!A:D,4,0),"")</f>
        <v/>
      </c>
      <c r="D588" t="str">
        <f>IFERROR(VLOOKUP(发货清单!A588,数据库!A:C,3,0),"")</f>
        <v/>
      </c>
      <c r="E588">
        <f>发货清单!M588</f>
        <v>0</v>
      </c>
      <c r="F588">
        <f>发货清单!U588</f>
        <v>0</v>
      </c>
      <c r="G588" t="str">
        <f>IFERROR(VLOOKUP(发货清单!A588,数据库!A:B,2,0),"")</f>
        <v/>
      </c>
      <c r="H588">
        <f>发货清单!N588</f>
        <v>0</v>
      </c>
      <c r="I588" t="str">
        <f t="shared" si="81"/>
        <v/>
      </c>
      <c r="J588" t="str">
        <f t="shared" si="82"/>
        <v xml:space="preserve"> </v>
      </c>
      <c r="K588" t="str">
        <f t="shared" si="83"/>
        <v/>
      </c>
      <c r="L588" t="str">
        <f t="shared" si="84"/>
        <v/>
      </c>
      <c r="N588" s="245">
        <f t="shared" si="85"/>
        <v>0</v>
      </c>
      <c r="O588" s="245">
        <f t="shared" si="86"/>
        <v>0</v>
      </c>
      <c r="P588" t="str">
        <f t="shared" si="87"/>
        <v/>
      </c>
      <c r="Q588" t="str">
        <f>IFERROR(VLOOKUP(P588,数据库!C:M,11,0),"")</f>
        <v/>
      </c>
      <c r="R588" t="str">
        <f t="shared" si="88"/>
        <v/>
      </c>
      <c r="S588">
        <f t="shared" si="89"/>
        <v>0</v>
      </c>
    </row>
    <row r="589" spans="1:19">
      <c r="A589" t="str">
        <f>IF(B589=0,"",发货清单!A589*10^6+COUNTIF($D$2:D589,D589)*10^3+ROW(A588))</f>
        <v/>
      </c>
      <c r="B589">
        <f>IFERROR(LEFT(发货清单!H589,SEARCH("-",发货清单!H589)-1),发货清单!H589)</f>
        <v>0</v>
      </c>
      <c r="C589" t="str">
        <f>IFERROR(VLOOKUP(发货清单!A589,数据库!A:D,4,0),"")</f>
        <v/>
      </c>
      <c r="D589" t="str">
        <f>IFERROR(VLOOKUP(发货清单!A589,数据库!A:C,3,0),"")</f>
        <v/>
      </c>
      <c r="E589">
        <f>发货清单!M589</f>
        <v>0</v>
      </c>
      <c r="F589">
        <f>发货清单!U589</f>
        <v>0</v>
      </c>
      <c r="G589" t="str">
        <f>IFERROR(VLOOKUP(发货清单!A589,数据库!A:B,2,0),"")</f>
        <v/>
      </c>
      <c r="H589">
        <f>发货清单!N589</f>
        <v>0</v>
      </c>
      <c r="I589" t="str">
        <f t="shared" si="81"/>
        <v/>
      </c>
      <c r="J589" t="str">
        <f t="shared" si="82"/>
        <v xml:space="preserve"> </v>
      </c>
      <c r="K589" t="str">
        <f t="shared" si="83"/>
        <v/>
      </c>
      <c r="L589" t="str">
        <f t="shared" si="84"/>
        <v/>
      </c>
      <c r="N589" s="245">
        <f t="shared" si="85"/>
        <v>0</v>
      </c>
      <c r="O589" s="245">
        <f t="shared" si="86"/>
        <v>0</v>
      </c>
      <c r="P589" t="str">
        <f t="shared" si="87"/>
        <v/>
      </c>
      <c r="Q589" t="str">
        <f>IFERROR(VLOOKUP(P589,数据库!C:M,11,0),"")</f>
        <v/>
      </c>
      <c r="R589" t="str">
        <f t="shared" si="88"/>
        <v/>
      </c>
      <c r="S589">
        <f t="shared" si="89"/>
        <v>0</v>
      </c>
    </row>
    <row r="590" spans="1:19">
      <c r="A590" t="str">
        <f>IF(B590=0,"",发货清单!A590*10^6+COUNTIF($D$2:D590,D590)*10^3+ROW(A589))</f>
        <v/>
      </c>
      <c r="B590">
        <f>IFERROR(LEFT(发货清单!H590,SEARCH("-",发货清单!H590)-1),发货清单!H590)</f>
        <v>0</v>
      </c>
      <c r="C590" t="str">
        <f>IFERROR(VLOOKUP(发货清单!A590,数据库!A:D,4,0),"")</f>
        <v/>
      </c>
      <c r="D590" t="str">
        <f>IFERROR(VLOOKUP(发货清单!A590,数据库!A:C,3,0),"")</f>
        <v/>
      </c>
      <c r="E590">
        <f>发货清单!M590</f>
        <v>0</v>
      </c>
      <c r="F590">
        <f>发货清单!U590</f>
        <v>0</v>
      </c>
      <c r="G590" t="str">
        <f>IFERROR(VLOOKUP(发货清单!A590,数据库!A:B,2,0),"")</f>
        <v/>
      </c>
      <c r="H590">
        <f>发货清单!N590</f>
        <v>0</v>
      </c>
      <c r="I590" t="str">
        <f t="shared" si="81"/>
        <v/>
      </c>
      <c r="J590" t="str">
        <f t="shared" si="82"/>
        <v xml:space="preserve"> </v>
      </c>
      <c r="K590" t="str">
        <f t="shared" si="83"/>
        <v/>
      </c>
      <c r="L590" t="str">
        <f t="shared" si="84"/>
        <v/>
      </c>
      <c r="N590" s="245">
        <f t="shared" si="85"/>
        <v>0</v>
      </c>
      <c r="O590" s="245">
        <f t="shared" si="86"/>
        <v>0</v>
      </c>
      <c r="P590" t="str">
        <f t="shared" si="87"/>
        <v/>
      </c>
      <c r="Q590" t="str">
        <f>IFERROR(VLOOKUP(P590,数据库!C:M,11,0),"")</f>
        <v/>
      </c>
      <c r="R590" t="str">
        <f t="shared" si="88"/>
        <v/>
      </c>
      <c r="S590">
        <f t="shared" si="89"/>
        <v>0</v>
      </c>
    </row>
    <row r="591" spans="1:19">
      <c r="A591" t="str">
        <f>IF(B591=0,"",发货清单!A591*10^6+COUNTIF($D$2:D591,D591)*10^3+ROW(A590))</f>
        <v/>
      </c>
      <c r="B591">
        <f>IFERROR(LEFT(发货清单!H591,SEARCH("-",发货清单!H591)-1),发货清单!H591)</f>
        <v>0</v>
      </c>
      <c r="C591" t="str">
        <f>IFERROR(VLOOKUP(发货清单!A591,数据库!A:D,4,0),"")</f>
        <v/>
      </c>
      <c r="D591" t="str">
        <f>IFERROR(VLOOKUP(发货清单!A591,数据库!A:C,3,0),"")</f>
        <v/>
      </c>
      <c r="E591">
        <f>发货清单!M591</f>
        <v>0</v>
      </c>
      <c r="F591">
        <f>发货清单!U591</f>
        <v>0</v>
      </c>
      <c r="G591" t="str">
        <f>IFERROR(VLOOKUP(发货清单!A591,数据库!A:B,2,0),"")</f>
        <v/>
      </c>
      <c r="H591">
        <f>发货清单!N591</f>
        <v>0</v>
      </c>
      <c r="I591" t="str">
        <f t="shared" si="81"/>
        <v/>
      </c>
      <c r="J591" t="str">
        <f t="shared" si="82"/>
        <v xml:space="preserve"> </v>
      </c>
      <c r="K591" t="str">
        <f t="shared" si="83"/>
        <v/>
      </c>
      <c r="L591" t="str">
        <f t="shared" si="84"/>
        <v/>
      </c>
      <c r="N591" s="245">
        <f t="shared" si="85"/>
        <v>0</v>
      </c>
      <c r="O591" s="245">
        <f t="shared" si="86"/>
        <v>0</v>
      </c>
      <c r="P591" t="str">
        <f t="shared" si="87"/>
        <v/>
      </c>
      <c r="Q591" t="str">
        <f>IFERROR(VLOOKUP(P591,数据库!C:M,11,0),"")</f>
        <v/>
      </c>
      <c r="R591" t="str">
        <f t="shared" si="88"/>
        <v/>
      </c>
      <c r="S591">
        <f t="shared" si="89"/>
        <v>0</v>
      </c>
    </row>
    <row r="592" spans="1:19">
      <c r="A592" t="str">
        <f>IF(B592=0,"",发货清单!A592*10^6+COUNTIF($D$2:D592,D592)*10^3+ROW(A591))</f>
        <v/>
      </c>
      <c r="B592">
        <f>IFERROR(LEFT(发货清单!H592,SEARCH("-",发货清单!H592)-1),发货清单!H592)</f>
        <v>0</v>
      </c>
      <c r="C592" t="str">
        <f>IFERROR(VLOOKUP(发货清单!A592,数据库!A:D,4,0),"")</f>
        <v/>
      </c>
      <c r="D592" t="str">
        <f>IFERROR(VLOOKUP(发货清单!A592,数据库!A:C,3,0),"")</f>
        <v/>
      </c>
      <c r="E592">
        <f>发货清单!M592</f>
        <v>0</v>
      </c>
      <c r="F592">
        <f>发货清单!U592</f>
        <v>0</v>
      </c>
      <c r="G592" t="str">
        <f>IFERROR(VLOOKUP(发货清单!A592,数据库!A:B,2,0),"")</f>
        <v/>
      </c>
      <c r="H592">
        <f>发货清单!N592</f>
        <v>0</v>
      </c>
      <c r="I592" t="str">
        <f t="shared" si="81"/>
        <v/>
      </c>
      <c r="J592" t="str">
        <f t="shared" si="82"/>
        <v xml:space="preserve"> </v>
      </c>
      <c r="K592" t="str">
        <f t="shared" si="83"/>
        <v/>
      </c>
      <c r="L592" t="str">
        <f t="shared" si="84"/>
        <v/>
      </c>
      <c r="N592" s="245">
        <f t="shared" si="85"/>
        <v>0</v>
      </c>
      <c r="O592" s="245">
        <f t="shared" si="86"/>
        <v>0</v>
      </c>
      <c r="P592" t="str">
        <f t="shared" si="87"/>
        <v/>
      </c>
      <c r="Q592" t="str">
        <f>IFERROR(VLOOKUP(P592,数据库!C:M,11,0),"")</f>
        <v/>
      </c>
      <c r="R592" t="str">
        <f t="shared" si="88"/>
        <v/>
      </c>
      <c r="S592">
        <f t="shared" si="89"/>
        <v>0</v>
      </c>
    </row>
    <row r="593" spans="1:19">
      <c r="A593" t="str">
        <f>IF(B593=0,"",发货清单!A593*10^6+COUNTIF($D$2:D593,D593)*10^3+ROW(A592))</f>
        <v/>
      </c>
      <c r="B593">
        <f>IFERROR(LEFT(发货清单!H593,SEARCH("-",发货清单!H593)-1),发货清单!H593)</f>
        <v>0</v>
      </c>
      <c r="C593" t="str">
        <f>IFERROR(VLOOKUP(发货清单!A593,数据库!A:D,4,0),"")</f>
        <v/>
      </c>
      <c r="D593" t="str">
        <f>IFERROR(VLOOKUP(发货清单!A593,数据库!A:C,3,0),"")</f>
        <v/>
      </c>
      <c r="E593">
        <f>发货清单!M593</f>
        <v>0</v>
      </c>
      <c r="F593">
        <f>发货清单!U593</f>
        <v>0</v>
      </c>
      <c r="G593" t="str">
        <f>IFERROR(VLOOKUP(发货清单!A593,数据库!A:B,2,0),"")</f>
        <v/>
      </c>
      <c r="H593">
        <f>发货清单!N593</f>
        <v>0</v>
      </c>
      <c r="I593" t="str">
        <f t="shared" si="81"/>
        <v/>
      </c>
      <c r="J593" t="str">
        <f t="shared" si="82"/>
        <v xml:space="preserve"> </v>
      </c>
      <c r="K593" t="str">
        <f t="shared" si="83"/>
        <v/>
      </c>
      <c r="L593" t="str">
        <f t="shared" si="84"/>
        <v/>
      </c>
      <c r="N593" s="245">
        <f t="shared" si="85"/>
        <v>0</v>
      </c>
      <c r="O593" s="245">
        <f t="shared" si="86"/>
        <v>0</v>
      </c>
      <c r="P593" t="str">
        <f t="shared" si="87"/>
        <v/>
      </c>
      <c r="Q593" t="str">
        <f>IFERROR(VLOOKUP(P593,数据库!C:M,11,0),"")</f>
        <v/>
      </c>
      <c r="R593" t="str">
        <f t="shared" si="88"/>
        <v/>
      </c>
      <c r="S593">
        <f t="shared" si="89"/>
        <v>0</v>
      </c>
    </row>
    <row r="594" spans="1:19">
      <c r="A594" t="str">
        <f>IF(B594=0,"",发货清单!A594*10^6+COUNTIF($D$2:D594,D594)*10^3+ROW(A593))</f>
        <v/>
      </c>
      <c r="B594">
        <f>IFERROR(LEFT(发货清单!H594,SEARCH("-",发货清单!H594)-1),发货清单!H594)</f>
        <v>0</v>
      </c>
      <c r="C594" t="str">
        <f>IFERROR(VLOOKUP(发货清单!A594,数据库!A:D,4,0),"")</f>
        <v/>
      </c>
      <c r="D594" t="str">
        <f>IFERROR(VLOOKUP(发货清单!A594,数据库!A:C,3,0),"")</f>
        <v/>
      </c>
      <c r="E594">
        <f>发货清单!M594</f>
        <v>0</v>
      </c>
      <c r="F594">
        <f>发货清单!U594</f>
        <v>0</v>
      </c>
      <c r="G594" t="str">
        <f>IFERROR(VLOOKUP(发货清单!A594,数据库!A:B,2,0),"")</f>
        <v/>
      </c>
      <c r="H594">
        <f>发货清单!N594</f>
        <v>0</v>
      </c>
      <c r="I594" t="str">
        <f t="shared" si="81"/>
        <v/>
      </c>
      <c r="J594" t="str">
        <f t="shared" si="82"/>
        <v xml:space="preserve"> </v>
      </c>
      <c r="K594" t="str">
        <f t="shared" si="83"/>
        <v/>
      </c>
      <c r="L594" t="str">
        <f t="shared" si="84"/>
        <v/>
      </c>
      <c r="N594" s="245">
        <f t="shared" si="85"/>
        <v>0</v>
      </c>
      <c r="O594" s="245">
        <f t="shared" si="86"/>
        <v>0</v>
      </c>
      <c r="P594" t="str">
        <f t="shared" si="87"/>
        <v/>
      </c>
      <c r="Q594" t="str">
        <f>IFERROR(VLOOKUP(P594,数据库!C:M,11,0),"")</f>
        <v/>
      </c>
      <c r="R594" t="str">
        <f t="shared" si="88"/>
        <v/>
      </c>
      <c r="S594">
        <f t="shared" si="89"/>
        <v>0</v>
      </c>
    </row>
    <row r="595" spans="1:19">
      <c r="A595" t="str">
        <f>IF(B595=0,"",发货清单!A595*10^6+COUNTIF($D$2:D595,D595)*10^3+ROW(A594))</f>
        <v/>
      </c>
      <c r="B595">
        <f>IFERROR(LEFT(发货清单!H595,SEARCH("-",发货清单!H595)-1),发货清单!H595)</f>
        <v>0</v>
      </c>
      <c r="C595" t="str">
        <f>IFERROR(VLOOKUP(发货清单!A595,数据库!A:D,4,0),"")</f>
        <v/>
      </c>
      <c r="D595" t="str">
        <f>IFERROR(VLOOKUP(发货清单!A595,数据库!A:C,3,0),"")</f>
        <v/>
      </c>
      <c r="E595">
        <f>发货清单!M595</f>
        <v>0</v>
      </c>
      <c r="F595">
        <f>发货清单!U595</f>
        <v>0</v>
      </c>
      <c r="G595" t="str">
        <f>IFERROR(VLOOKUP(发货清单!A595,数据库!A:B,2,0),"")</f>
        <v/>
      </c>
      <c r="H595">
        <f>发货清单!N595</f>
        <v>0</v>
      </c>
      <c r="I595" t="str">
        <f t="shared" si="81"/>
        <v/>
      </c>
      <c r="J595" t="str">
        <f t="shared" si="82"/>
        <v xml:space="preserve"> </v>
      </c>
      <c r="K595" t="str">
        <f t="shared" si="83"/>
        <v/>
      </c>
      <c r="L595" t="str">
        <f t="shared" si="84"/>
        <v/>
      </c>
      <c r="N595" s="245">
        <f t="shared" si="85"/>
        <v>0</v>
      </c>
      <c r="O595" s="245">
        <f t="shared" si="86"/>
        <v>0</v>
      </c>
      <c r="P595" t="str">
        <f t="shared" si="87"/>
        <v/>
      </c>
      <c r="Q595" t="str">
        <f>IFERROR(VLOOKUP(P595,数据库!C:M,11,0),"")</f>
        <v/>
      </c>
      <c r="R595" t="str">
        <f t="shared" si="88"/>
        <v/>
      </c>
      <c r="S595">
        <f t="shared" si="89"/>
        <v>0</v>
      </c>
    </row>
    <row r="596" spans="1:19">
      <c r="A596" t="str">
        <f>IF(B596=0,"",发货清单!A596*10^6+COUNTIF($D$2:D596,D596)*10^3+ROW(A595))</f>
        <v/>
      </c>
      <c r="B596">
        <f>IFERROR(LEFT(发货清单!H596,SEARCH("-",发货清单!H596)-1),发货清单!H596)</f>
        <v>0</v>
      </c>
      <c r="C596" t="str">
        <f>IFERROR(VLOOKUP(发货清单!A596,数据库!A:D,4,0),"")</f>
        <v/>
      </c>
      <c r="D596" t="str">
        <f>IFERROR(VLOOKUP(发货清单!A596,数据库!A:C,3,0),"")</f>
        <v/>
      </c>
      <c r="E596">
        <f>发货清单!M596</f>
        <v>0</v>
      </c>
      <c r="F596">
        <f>发货清单!U596</f>
        <v>0</v>
      </c>
      <c r="G596" t="str">
        <f>IFERROR(VLOOKUP(发货清单!A596,数据库!A:B,2,0),"")</f>
        <v/>
      </c>
      <c r="H596">
        <f>发货清单!N596</f>
        <v>0</v>
      </c>
      <c r="I596" t="str">
        <f t="shared" si="81"/>
        <v/>
      </c>
      <c r="J596" t="str">
        <f t="shared" si="82"/>
        <v xml:space="preserve"> </v>
      </c>
      <c r="K596" t="str">
        <f t="shared" si="83"/>
        <v/>
      </c>
      <c r="L596" t="str">
        <f t="shared" si="84"/>
        <v/>
      </c>
      <c r="N596" s="245">
        <f t="shared" si="85"/>
        <v>0</v>
      </c>
      <c r="O596" s="245">
        <f t="shared" si="86"/>
        <v>0</v>
      </c>
      <c r="P596" t="str">
        <f t="shared" si="87"/>
        <v/>
      </c>
      <c r="Q596" t="str">
        <f>IFERROR(VLOOKUP(P596,数据库!C:M,11,0),"")</f>
        <v/>
      </c>
      <c r="R596" t="str">
        <f t="shared" si="88"/>
        <v/>
      </c>
      <c r="S596">
        <f t="shared" si="89"/>
        <v>0</v>
      </c>
    </row>
    <row r="597" spans="1:19">
      <c r="A597" t="str">
        <f>IF(B597=0,"",发货清单!A597*10^6+COUNTIF($D$2:D597,D597)*10^3+ROW(A596))</f>
        <v/>
      </c>
      <c r="B597">
        <f>IFERROR(LEFT(发货清单!H597,SEARCH("-",发货清单!H597)-1),发货清单!H597)</f>
        <v>0</v>
      </c>
      <c r="C597" t="str">
        <f>IFERROR(VLOOKUP(发货清单!A597,数据库!A:D,4,0),"")</f>
        <v/>
      </c>
      <c r="D597" t="str">
        <f>IFERROR(VLOOKUP(发货清单!A597,数据库!A:C,3,0),"")</f>
        <v/>
      </c>
      <c r="E597">
        <f>发货清单!M597</f>
        <v>0</v>
      </c>
      <c r="F597">
        <f>发货清单!U597</f>
        <v>0</v>
      </c>
      <c r="G597" t="str">
        <f>IFERROR(VLOOKUP(发货清单!A597,数据库!A:B,2,0),"")</f>
        <v/>
      </c>
      <c r="H597">
        <f>发货清单!N597</f>
        <v>0</v>
      </c>
      <c r="I597" t="str">
        <f t="shared" si="81"/>
        <v/>
      </c>
      <c r="J597" t="str">
        <f t="shared" si="82"/>
        <v xml:space="preserve"> </v>
      </c>
      <c r="K597" t="str">
        <f t="shared" si="83"/>
        <v/>
      </c>
      <c r="L597" t="str">
        <f t="shared" si="84"/>
        <v/>
      </c>
      <c r="N597" s="245">
        <f t="shared" si="85"/>
        <v>0</v>
      </c>
      <c r="O597" s="245">
        <f t="shared" si="86"/>
        <v>0</v>
      </c>
      <c r="P597" t="str">
        <f t="shared" si="87"/>
        <v/>
      </c>
      <c r="Q597" t="str">
        <f>IFERROR(VLOOKUP(P597,数据库!C:M,11,0),"")</f>
        <v/>
      </c>
      <c r="R597" t="str">
        <f t="shared" si="88"/>
        <v/>
      </c>
      <c r="S597">
        <f t="shared" si="89"/>
        <v>0</v>
      </c>
    </row>
    <row r="598" spans="1:19">
      <c r="A598" t="str">
        <f>IF(B598=0,"",发货清单!A598*10^6+COUNTIF($D$2:D598,D598)*10^3+ROW(A597))</f>
        <v/>
      </c>
      <c r="B598">
        <f>IFERROR(LEFT(发货清单!H598,SEARCH("-",发货清单!H598)-1),发货清单!H598)</f>
        <v>0</v>
      </c>
      <c r="C598" t="str">
        <f>IFERROR(VLOOKUP(发货清单!A598,数据库!A:D,4,0),"")</f>
        <v/>
      </c>
      <c r="D598" t="str">
        <f>IFERROR(VLOOKUP(发货清单!A598,数据库!A:C,3,0),"")</f>
        <v/>
      </c>
      <c r="E598">
        <f>发货清单!M598</f>
        <v>0</v>
      </c>
      <c r="F598">
        <f>发货清单!U598</f>
        <v>0</v>
      </c>
      <c r="G598" t="str">
        <f>IFERROR(VLOOKUP(发货清单!A598,数据库!A:B,2,0),"")</f>
        <v/>
      </c>
      <c r="H598">
        <f>发货清单!N598</f>
        <v>0</v>
      </c>
      <c r="I598" t="str">
        <f t="shared" si="81"/>
        <v/>
      </c>
      <c r="J598" t="str">
        <f t="shared" si="82"/>
        <v xml:space="preserve"> </v>
      </c>
      <c r="K598" t="str">
        <f t="shared" si="83"/>
        <v/>
      </c>
      <c r="L598" t="str">
        <f t="shared" si="84"/>
        <v/>
      </c>
      <c r="N598" s="245">
        <f t="shared" si="85"/>
        <v>0</v>
      </c>
      <c r="O598" s="245">
        <f t="shared" si="86"/>
        <v>0</v>
      </c>
      <c r="P598" t="str">
        <f t="shared" si="87"/>
        <v/>
      </c>
      <c r="Q598" t="str">
        <f>IFERROR(VLOOKUP(P598,数据库!C:M,11,0),"")</f>
        <v/>
      </c>
      <c r="R598" t="str">
        <f t="shared" si="88"/>
        <v/>
      </c>
      <c r="S598">
        <f t="shared" si="89"/>
        <v>0</v>
      </c>
    </row>
    <row r="599" spans="1:19">
      <c r="A599" t="str">
        <f>IF(B599=0,"",发货清单!A599*10^6+COUNTIF($D$2:D599,D599)*10^3+ROW(A598))</f>
        <v/>
      </c>
      <c r="B599">
        <f>IFERROR(LEFT(发货清单!H599,SEARCH("-",发货清单!H599)-1),发货清单!H599)</f>
        <v>0</v>
      </c>
      <c r="C599" t="str">
        <f>IFERROR(VLOOKUP(发货清单!A599,数据库!A:D,4,0),"")</f>
        <v/>
      </c>
      <c r="D599" t="str">
        <f>IFERROR(VLOOKUP(发货清单!A599,数据库!A:C,3,0),"")</f>
        <v/>
      </c>
      <c r="E599">
        <f>发货清单!M599</f>
        <v>0</v>
      </c>
      <c r="F599">
        <f>发货清单!U599</f>
        <v>0</v>
      </c>
      <c r="G599" t="str">
        <f>IFERROR(VLOOKUP(发货清单!A599,数据库!A:B,2,0),"")</f>
        <v/>
      </c>
      <c r="H599">
        <f>发货清单!N599</f>
        <v>0</v>
      </c>
      <c r="I599" t="str">
        <f t="shared" si="81"/>
        <v/>
      </c>
      <c r="J599" t="str">
        <f t="shared" si="82"/>
        <v xml:space="preserve"> </v>
      </c>
      <c r="K599" t="str">
        <f t="shared" si="83"/>
        <v/>
      </c>
      <c r="L599" t="str">
        <f t="shared" si="84"/>
        <v/>
      </c>
      <c r="N599" s="245">
        <f t="shared" si="85"/>
        <v>0</v>
      </c>
      <c r="O599" s="245">
        <f t="shared" si="86"/>
        <v>0</v>
      </c>
      <c r="P599" t="str">
        <f t="shared" si="87"/>
        <v/>
      </c>
      <c r="Q599" t="str">
        <f>IFERROR(VLOOKUP(P599,数据库!C:M,11,0),"")</f>
        <v/>
      </c>
      <c r="R599" t="str">
        <f t="shared" si="88"/>
        <v/>
      </c>
      <c r="S599">
        <f t="shared" si="89"/>
        <v>0</v>
      </c>
    </row>
    <row r="600" spans="1:19">
      <c r="A600" t="str">
        <f>IF(B600=0,"",发货清单!A600*10^6+COUNTIF($D$2:D600,D600)*10^3+ROW(A599))</f>
        <v/>
      </c>
      <c r="B600">
        <f>IFERROR(LEFT(发货清单!H600,SEARCH("-",发货清单!H600)-1),发货清单!H600)</f>
        <v>0</v>
      </c>
      <c r="C600" t="str">
        <f>IFERROR(VLOOKUP(发货清单!A600,数据库!A:D,4,0),"")</f>
        <v/>
      </c>
      <c r="D600" t="str">
        <f>IFERROR(VLOOKUP(发货清单!A600,数据库!A:C,3,0),"")</f>
        <v/>
      </c>
      <c r="E600">
        <f>发货清单!M600</f>
        <v>0</v>
      </c>
      <c r="F600">
        <f>发货清单!U600</f>
        <v>0</v>
      </c>
      <c r="G600" t="str">
        <f>IFERROR(VLOOKUP(发货清单!A600,数据库!A:B,2,0),"")</f>
        <v/>
      </c>
      <c r="H600">
        <f>发货清单!N600</f>
        <v>0</v>
      </c>
      <c r="I600" t="str">
        <f t="shared" si="81"/>
        <v/>
      </c>
      <c r="J600" t="str">
        <f t="shared" si="82"/>
        <v xml:space="preserve"> </v>
      </c>
      <c r="K600" t="str">
        <f t="shared" si="83"/>
        <v/>
      </c>
      <c r="L600" t="str">
        <f t="shared" si="84"/>
        <v/>
      </c>
      <c r="N600" s="245">
        <f t="shared" si="85"/>
        <v>0</v>
      </c>
      <c r="O600" s="245">
        <f t="shared" si="86"/>
        <v>0</v>
      </c>
      <c r="P600" t="str">
        <f t="shared" si="87"/>
        <v/>
      </c>
      <c r="Q600" t="str">
        <f>IFERROR(VLOOKUP(P600,数据库!C:M,11,0),"")</f>
        <v/>
      </c>
      <c r="R600" t="str">
        <f t="shared" si="88"/>
        <v/>
      </c>
      <c r="S600">
        <f t="shared" si="89"/>
        <v>0</v>
      </c>
    </row>
    <row r="601" spans="1:19">
      <c r="A601" t="str">
        <f>IF(B601=0,"",发货清单!A601*10^6+COUNTIF($D$2:D601,D601)*10^3+ROW(A600))</f>
        <v/>
      </c>
      <c r="B601">
        <f>IFERROR(LEFT(发货清单!H601,SEARCH("-",发货清单!H601)-1),发货清单!H601)</f>
        <v>0</v>
      </c>
      <c r="C601" t="str">
        <f>IFERROR(VLOOKUP(发货清单!A601,数据库!A:D,4,0),"")</f>
        <v/>
      </c>
      <c r="D601" t="str">
        <f>IFERROR(VLOOKUP(发货清单!A601,数据库!A:C,3,0),"")</f>
        <v/>
      </c>
      <c r="E601">
        <f>发货清单!M601</f>
        <v>0</v>
      </c>
      <c r="F601">
        <f>发货清单!U601</f>
        <v>0</v>
      </c>
      <c r="G601" t="str">
        <f>IFERROR(VLOOKUP(发货清单!A601,数据库!A:B,2,0),"")</f>
        <v/>
      </c>
      <c r="H601">
        <f>发货清单!N601</f>
        <v>0</v>
      </c>
      <c r="I601" t="str">
        <f t="shared" si="81"/>
        <v/>
      </c>
      <c r="J601" t="str">
        <f t="shared" si="82"/>
        <v xml:space="preserve"> </v>
      </c>
      <c r="K601" t="str">
        <f t="shared" si="83"/>
        <v/>
      </c>
      <c r="L601" t="str">
        <f t="shared" si="84"/>
        <v/>
      </c>
      <c r="N601" s="245">
        <f t="shared" si="85"/>
        <v>0</v>
      </c>
      <c r="O601" s="245">
        <f t="shared" si="86"/>
        <v>0</v>
      </c>
      <c r="P601" t="str">
        <f t="shared" si="87"/>
        <v/>
      </c>
      <c r="Q601" t="str">
        <f>IFERROR(VLOOKUP(P601,数据库!C:M,11,0),"")</f>
        <v/>
      </c>
      <c r="R601" t="str">
        <f t="shared" si="88"/>
        <v/>
      </c>
      <c r="S601">
        <f t="shared" si="89"/>
        <v>0</v>
      </c>
    </row>
    <row r="602" spans="1:19">
      <c r="A602" t="str">
        <f>IF(B602=0,"",发货清单!A602*10^6+COUNTIF($D$2:D602,D602)*10^3+ROW(A601))</f>
        <v/>
      </c>
      <c r="B602">
        <f>IFERROR(LEFT(发货清单!H602,SEARCH("-",发货清单!H602)-1),发货清单!H602)</f>
        <v>0</v>
      </c>
      <c r="C602" t="str">
        <f>IFERROR(VLOOKUP(发货清单!A602,数据库!A:D,4,0),"")</f>
        <v/>
      </c>
      <c r="D602" t="str">
        <f>IFERROR(VLOOKUP(发货清单!A602,数据库!A:C,3,0),"")</f>
        <v/>
      </c>
      <c r="E602">
        <f>发货清单!M602</f>
        <v>0</v>
      </c>
      <c r="F602">
        <f>发货清单!U602</f>
        <v>0</v>
      </c>
      <c r="G602" t="str">
        <f>IFERROR(VLOOKUP(发货清单!A602,数据库!A:B,2,0),"")</f>
        <v/>
      </c>
      <c r="H602">
        <f>发货清单!N602</f>
        <v>0</v>
      </c>
      <c r="I602" t="str">
        <f t="shared" si="81"/>
        <v/>
      </c>
      <c r="J602" t="str">
        <f t="shared" si="82"/>
        <v xml:space="preserve"> </v>
      </c>
      <c r="K602" t="str">
        <f t="shared" si="83"/>
        <v/>
      </c>
      <c r="L602" t="str">
        <f t="shared" si="84"/>
        <v/>
      </c>
      <c r="N602" s="245">
        <f t="shared" si="85"/>
        <v>0</v>
      </c>
      <c r="O602" s="245">
        <f t="shared" si="86"/>
        <v>0</v>
      </c>
      <c r="P602" t="str">
        <f t="shared" si="87"/>
        <v/>
      </c>
      <c r="Q602" t="str">
        <f>IFERROR(VLOOKUP(P602,数据库!C:M,11,0),"")</f>
        <v/>
      </c>
      <c r="R602" t="str">
        <f t="shared" si="88"/>
        <v/>
      </c>
      <c r="S602">
        <f t="shared" si="89"/>
        <v>0</v>
      </c>
    </row>
    <row r="603" spans="1:19">
      <c r="A603" t="str">
        <f>IF(B603=0,"",发货清单!A603*10^6+COUNTIF($D$2:D603,D603)*10^3+ROW(A602))</f>
        <v/>
      </c>
      <c r="B603">
        <f>IFERROR(LEFT(发货清单!H603,SEARCH("-",发货清单!H603)-1),发货清单!H603)</f>
        <v>0</v>
      </c>
      <c r="C603" t="str">
        <f>IFERROR(VLOOKUP(发货清单!A603,数据库!A:D,4,0),"")</f>
        <v/>
      </c>
      <c r="D603" t="str">
        <f>IFERROR(VLOOKUP(发货清单!A603,数据库!A:C,3,0),"")</f>
        <v/>
      </c>
      <c r="E603">
        <f>发货清单!M603</f>
        <v>0</v>
      </c>
      <c r="F603">
        <f>发货清单!U603</f>
        <v>0</v>
      </c>
      <c r="G603" t="str">
        <f>IFERROR(VLOOKUP(发货清单!A603,数据库!A:B,2,0),"")</f>
        <v/>
      </c>
      <c r="H603">
        <f>发货清单!N603</f>
        <v>0</v>
      </c>
      <c r="I603" t="str">
        <f t="shared" si="81"/>
        <v/>
      </c>
      <c r="J603" t="str">
        <f t="shared" si="82"/>
        <v xml:space="preserve"> </v>
      </c>
      <c r="K603" t="str">
        <f t="shared" si="83"/>
        <v/>
      </c>
      <c r="L603" t="str">
        <f t="shared" si="84"/>
        <v/>
      </c>
      <c r="N603" s="245">
        <f t="shared" si="85"/>
        <v>0</v>
      </c>
      <c r="O603" s="245">
        <f t="shared" si="86"/>
        <v>0</v>
      </c>
      <c r="P603" t="str">
        <f t="shared" si="87"/>
        <v/>
      </c>
      <c r="Q603" t="str">
        <f>IFERROR(VLOOKUP(P603,数据库!C:M,11,0),"")</f>
        <v/>
      </c>
      <c r="R603" t="str">
        <f t="shared" si="88"/>
        <v/>
      </c>
      <c r="S603">
        <f t="shared" si="89"/>
        <v>0</v>
      </c>
    </row>
    <row r="604" spans="1:19">
      <c r="A604" t="str">
        <f>IF(B604=0,"",发货清单!A604*10^6+COUNTIF($D$2:D604,D604)*10^3+ROW(A603))</f>
        <v/>
      </c>
      <c r="B604">
        <f>IFERROR(LEFT(发货清单!H604,SEARCH("-",发货清单!H604)-1),发货清单!H604)</f>
        <v>0</v>
      </c>
      <c r="C604" t="str">
        <f>IFERROR(VLOOKUP(发货清单!A604,数据库!A:D,4,0),"")</f>
        <v/>
      </c>
      <c r="D604" t="str">
        <f>IFERROR(VLOOKUP(发货清单!A604,数据库!A:C,3,0),"")</f>
        <v/>
      </c>
      <c r="E604">
        <f>发货清单!M604</f>
        <v>0</v>
      </c>
      <c r="F604">
        <f>发货清单!U604</f>
        <v>0</v>
      </c>
      <c r="G604" t="str">
        <f>IFERROR(VLOOKUP(发货清单!A604,数据库!A:B,2,0),"")</f>
        <v/>
      </c>
      <c r="H604">
        <f>发货清单!N604</f>
        <v>0</v>
      </c>
      <c r="I604" t="str">
        <f t="shared" si="81"/>
        <v/>
      </c>
      <c r="J604" t="str">
        <f t="shared" si="82"/>
        <v xml:space="preserve"> </v>
      </c>
      <c r="K604" t="str">
        <f t="shared" si="83"/>
        <v/>
      </c>
      <c r="L604" t="str">
        <f t="shared" si="84"/>
        <v/>
      </c>
      <c r="N604" s="245">
        <f t="shared" si="85"/>
        <v>0</v>
      </c>
      <c r="O604" s="245">
        <f t="shared" si="86"/>
        <v>0</v>
      </c>
      <c r="P604" t="str">
        <f t="shared" si="87"/>
        <v/>
      </c>
      <c r="Q604" t="str">
        <f>IFERROR(VLOOKUP(P604,数据库!C:M,11,0),"")</f>
        <v/>
      </c>
      <c r="R604" t="str">
        <f t="shared" si="88"/>
        <v/>
      </c>
      <c r="S604">
        <f t="shared" si="89"/>
        <v>0</v>
      </c>
    </row>
    <row r="605" spans="1:19">
      <c r="A605" t="str">
        <f>IF(B605=0,"",发货清单!A605*10^6+COUNTIF($D$2:D605,D605)*10^3+ROW(A604))</f>
        <v/>
      </c>
      <c r="B605">
        <f>IFERROR(LEFT(发货清单!H605,SEARCH("-",发货清单!H605)-1),发货清单!H605)</f>
        <v>0</v>
      </c>
      <c r="C605" t="str">
        <f>IFERROR(VLOOKUP(发货清单!A605,数据库!A:D,4,0),"")</f>
        <v/>
      </c>
      <c r="D605" t="str">
        <f>IFERROR(VLOOKUP(发货清单!A605,数据库!A:C,3,0),"")</f>
        <v/>
      </c>
      <c r="E605">
        <f>发货清单!M605</f>
        <v>0</v>
      </c>
      <c r="F605">
        <f>发货清单!U605</f>
        <v>0</v>
      </c>
      <c r="G605" t="str">
        <f>IFERROR(VLOOKUP(发货清单!A605,数据库!A:B,2,0),"")</f>
        <v/>
      </c>
      <c r="H605">
        <f>发货清单!N605</f>
        <v>0</v>
      </c>
      <c r="I605" t="str">
        <f t="shared" si="81"/>
        <v/>
      </c>
      <c r="J605" t="str">
        <f t="shared" si="82"/>
        <v xml:space="preserve"> </v>
      </c>
      <c r="K605" t="str">
        <f t="shared" si="83"/>
        <v/>
      </c>
      <c r="L605" t="str">
        <f t="shared" si="84"/>
        <v/>
      </c>
      <c r="N605" s="245">
        <f t="shared" si="85"/>
        <v>0</v>
      </c>
      <c r="O605" s="245">
        <f t="shared" si="86"/>
        <v>0</v>
      </c>
      <c r="P605" t="str">
        <f t="shared" si="87"/>
        <v/>
      </c>
      <c r="Q605" t="str">
        <f>IFERROR(VLOOKUP(P605,数据库!C:M,11,0),"")</f>
        <v/>
      </c>
      <c r="R605" t="str">
        <f t="shared" si="88"/>
        <v/>
      </c>
      <c r="S605">
        <f t="shared" si="89"/>
        <v>0</v>
      </c>
    </row>
    <row r="606" spans="1:19">
      <c r="A606" t="str">
        <f>IF(B606=0,"",发货清单!A606*10^6+COUNTIF($D$2:D606,D606)*10^3+ROW(A605))</f>
        <v/>
      </c>
      <c r="B606">
        <f>IFERROR(LEFT(发货清单!H606,SEARCH("-",发货清单!H606)-1),发货清单!H606)</f>
        <v>0</v>
      </c>
      <c r="C606" t="str">
        <f>IFERROR(VLOOKUP(发货清单!A606,数据库!A:D,4,0),"")</f>
        <v/>
      </c>
      <c r="D606" t="str">
        <f>IFERROR(VLOOKUP(发货清单!A606,数据库!A:C,3,0),"")</f>
        <v/>
      </c>
      <c r="E606">
        <f>发货清单!M606</f>
        <v>0</v>
      </c>
      <c r="F606">
        <f>发货清单!U606</f>
        <v>0</v>
      </c>
      <c r="G606" t="str">
        <f>IFERROR(VLOOKUP(发货清单!A606,数据库!A:B,2,0),"")</f>
        <v/>
      </c>
      <c r="H606">
        <f>发货清单!N606</f>
        <v>0</v>
      </c>
      <c r="I606" t="str">
        <f t="shared" si="81"/>
        <v/>
      </c>
      <c r="J606" t="str">
        <f t="shared" si="82"/>
        <v xml:space="preserve"> </v>
      </c>
      <c r="K606" t="str">
        <f t="shared" si="83"/>
        <v/>
      </c>
      <c r="L606" t="str">
        <f t="shared" si="84"/>
        <v/>
      </c>
      <c r="N606" s="245">
        <f t="shared" si="85"/>
        <v>0</v>
      </c>
      <c r="O606" s="245">
        <f t="shared" si="86"/>
        <v>0</v>
      </c>
      <c r="P606" t="str">
        <f t="shared" si="87"/>
        <v/>
      </c>
      <c r="Q606" t="str">
        <f>IFERROR(VLOOKUP(P606,数据库!C:M,11,0),"")</f>
        <v/>
      </c>
      <c r="R606" t="str">
        <f t="shared" si="88"/>
        <v/>
      </c>
      <c r="S606">
        <f t="shared" si="89"/>
        <v>0</v>
      </c>
    </row>
    <row r="607" spans="1:19">
      <c r="A607" t="str">
        <f>IF(B607=0,"",发货清单!A607*10^6+COUNTIF($D$2:D607,D607)*10^3+ROW(A606))</f>
        <v/>
      </c>
      <c r="B607">
        <f>IFERROR(LEFT(发货清单!H607,SEARCH("-",发货清单!H607)-1),发货清单!H607)</f>
        <v>0</v>
      </c>
      <c r="C607" t="str">
        <f>IFERROR(VLOOKUP(发货清单!A607,数据库!A:D,4,0),"")</f>
        <v/>
      </c>
      <c r="D607" t="str">
        <f>IFERROR(VLOOKUP(发货清单!A607,数据库!A:C,3,0),"")</f>
        <v/>
      </c>
      <c r="E607">
        <f>发货清单!M607</f>
        <v>0</v>
      </c>
      <c r="F607">
        <f>发货清单!U607</f>
        <v>0</v>
      </c>
      <c r="G607" t="str">
        <f>IFERROR(VLOOKUP(发货清单!A607,数据库!A:B,2,0),"")</f>
        <v/>
      </c>
      <c r="H607">
        <f>发货清单!N607</f>
        <v>0</v>
      </c>
      <c r="I607" t="str">
        <f t="shared" si="81"/>
        <v/>
      </c>
      <c r="J607" t="str">
        <f t="shared" si="82"/>
        <v xml:space="preserve"> </v>
      </c>
      <c r="K607" t="str">
        <f t="shared" si="83"/>
        <v/>
      </c>
      <c r="L607" t="str">
        <f t="shared" si="84"/>
        <v/>
      </c>
      <c r="N607" s="245">
        <f t="shared" si="85"/>
        <v>0</v>
      </c>
      <c r="O607" s="245">
        <f t="shared" si="86"/>
        <v>0</v>
      </c>
      <c r="P607" t="str">
        <f t="shared" si="87"/>
        <v/>
      </c>
      <c r="Q607" t="str">
        <f>IFERROR(VLOOKUP(P607,数据库!C:M,11,0),"")</f>
        <v/>
      </c>
      <c r="R607" t="str">
        <f t="shared" si="88"/>
        <v/>
      </c>
      <c r="S607">
        <f t="shared" si="89"/>
        <v>0</v>
      </c>
    </row>
    <row r="608" spans="1:19">
      <c r="A608" t="str">
        <f>IF(B608=0,"",发货清单!A608*10^6+COUNTIF($D$2:D608,D608)*10^3+ROW(A607))</f>
        <v/>
      </c>
      <c r="B608">
        <f>IFERROR(LEFT(发货清单!H608,SEARCH("-",发货清单!H608)-1),发货清单!H608)</f>
        <v>0</v>
      </c>
      <c r="C608" t="str">
        <f>IFERROR(VLOOKUP(发货清单!A608,数据库!A:D,4,0),"")</f>
        <v/>
      </c>
      <c r="D608" t="str">
        <f>IFERROR(VLOOKUP(发货清单!A608,数据库!A:C,3,0),"")</f>
        <v/>
      </c>
      <c r="E608">
        <f>发货清单!M608</f>
        <v>0</v>
      </c>
      <c r="F608">
        <f>发货清单!U608</f>
        <v>0</v>
      </c>
      <c r="G608" t="str">
        <f>IFERROR(VLOOKUP(发货清单!A608,数据库!A:B,2,0),"")</f>
        <v/>
      </c>
      <c r="H608">
        <f>发货清单!N608</f>
        <v>0</v>
      </c>
      <c r="I608" t="str">
        <f t="shared" si="81"/>
        <v/>
      </c>
      <c r="J608" t="str">
        <f t="shared" si="82"/>
        <v xml:space="preserve"> </v>
      </c>
      <c r="K608" t="str">
        <f t="shared" si="83"/>
        <v/>
      </c>
      <c r="L608" t="str">
        <f t="shared" si="84"/>
        <v/>
      </c>
      <c r="N608" s="245">
        <f t="shared" si="85"/>
        <v>0</v>
      </c>
      <c r="O608" s="245">
        <f t="shared" si="86"/>
        <v>0</v>
      </c>
      <c r="P608" t="str">
        <f t="shared" si="87"/>
        <v/>
      </c>
      <c r="Q608" t="str">
        <f>IFERROR(VLOOKUP(P608,数据库!C:M,11,0),"")</f>
        <v/>
      </c>
      <c r="R608" t="str">
        <f t="shared" si="88"/>
        <v/>
      </c>
      <c r="S608">
        <f t="shared" si="89"/>
        <v>0</v>
      </c>
    </row>
    <row r="609" spans="1:19">
      <c r="A609" t="str">
        <f>IF(B609=0,"",发货清单!A609*10^6+COUNTIF($D$2:D609,D609)*10^3+ROW(A608))</f>
        <v/>
      </c>
      <c r="B609">
        <f>IFERROR(LEFT(发货清单!H609,SEARCH("-",发货清单!H609)-1),发货清单!H609)</f>
        <v>0</v>
      </c>
      <c r="C609" t="str">
        <f>IFERROR(VLOOKUP(发货清单!A609,数据库!A:D,4,0),"")</f>
        <v/>
      </c>
      <c r="D609" t="str">
        <f>IFERROR(VLOOKUP(发货清单!A609,数据库!A:C,3,0),"")</f>
        <v/>
      </c>
      <c r="E609">
        <f>发货清单!M609</f>
        <v>0</v>
      </c>
      <c r="F609">
        <f>发货清单!U609</f>
        <v>0</v>
      </c>
      <c r="G609" t="str">
        <f>IFERROR(VLOOKUP(发货清单!A609,数据库!A:B,2,0),"")</f>
        <v/>
      </c>
      <c r="H609">
        <f>发货清单!N609</f>
        <v>0</v>
      </c>
      <c r="I609" t="str">
        <f t="shared" si="81"/>
        <v/>
      </c>
      <c r="J609" t="str">
        <f t="shared" si="82"/>
        <v xml:space="preserve"> </v>
      </c>
      <c r="K609" t="str">
        <f t="shared" si="83"/>
        <v/>
      </c>
      <c r="L609" t="str">
        <f t="shared" si="84"/>
        <v/>
      </c>
      <c r="N609" s="245">
        <f t="shared" si="85"/>
        <v>0</v>
      </c>
      <c r="O609" s="245">
        <f t="shared" si="86"/>
        <v>0</v>
      </c>
      <c r="P609" t="str">
        <f t="shared" si="87"/>
        <v/>
      </c>
      <c r="Q609" t="str">
        <f>IFERROR(VLOOKUP(P609,数据库!C:M,11,0),"")</f>
        <v/>
      </c>
      <c r="R609" t="str">
        <f t="shared" si="88"/>
        <v/>
      </c>
      <c r="S609">
        <f t="shared" si="89"/>
        <v>0</v>
      </c>
    </row>
    <row r="610" spans="1:19">
      <c r="A610" t="str">
        <f>IF(B610=0,"",发货清单!A610*10^6+COUNTIF($D$2:D610,D610)*10^3+ROW(A609))</f>
        <v/>
      </c>
      <c r="B610">
        <f>IFERROR(LEFT(发货清单!H610,SEARCH("-",发货清单!H610)-1),发货清单!H610)</f>
        <v>0</v>
      </c>
      <c r="C610" t="str">
        <f>IFERROR(VLOOKUP(发货清单!A610,数据库!A:D,4,0),"")</f>
        <v/>
      </c>
      <c r="D610" t="str">
        <f>IFERROR(VLOOKUP(发货清单!A610,数据库!A:C,3,0),"")</f>
        <v/>
      </c>
      <c r="E610">
        <f>发货清单!M610</f>
        <v>0</v>
      </c>
      <c r="F610">
        <f>发货清单!U610</f>
        <v>0</v>
      </c>
      <c r="G610" t="str">
        <f>IFERROR(VLOOKUP(发货清单!A610,数据库!A:B,2,0),"")</f>
        <v/>
      </c>
      <c r="H610">
        <f>发货清单!N610</f>
        <v>0</v>
      </c>
      <c r="I610" t="str">
        <f t="shared" si="81"/>
        <v/>
      </c>
      <c r="J610" t="str">
        <f t="shared" si="82"/>
        <v xml:space="preserve"> </v>
      </c>
      <c r="K610" t="str">
        <f t="shared" si="83"/>
        <v/>
      </c>
      <c r="L610" t="str">
        <f t="shared" si="84"/>
        <v/>
      </c>
      <c r="N610" s="245">
        <f t="shared" si="85"/>
        <v>0</v>
      </c>
      <c r="O610" s="245">
        <f t="shared" si="86"/>
        <v>0</v>
      </c>
      <c r="P610" t="str">
        <f t="shared" si="87"/>
        <v/>
      </c>
      <c r="Q610" t="str">
        <f>IFERROR(VLOOKUP(P610,数据库!C:M,11,0),"")</f>
        <v/>
      </c>
      <c r="R610" t="str">
        <f t="shared" si="88"/>
        <v/>
      </c>
      <c r="S610">
        <f t="shared" si="89"/>
        <v>0</v>
      </c>
    </row>
    <row r="611" spans="1:19">
      <c r="A611" t="str">
        <f>IF(B611=0,"",发货清单!A611*10^6+COUNTIF($D$2:D611,D611)*10^3+ROW(A610))</f>
        <v/>
      </c>
      <c r="B611">
        <f>IFERROR(LEFT(发货清单!H611,SEARCH("-",发货清单!H611)-1),发货清单!H611)</f>
        <v>0</v>
      </c>
      <c r="C611" t="str">
        <f>IFERROR(VLOOKUP(发货清单!A611,数据库!A:D,4,0),"")</f>
        <v/>
      </c>
      <c r="D611" t="str">
        <f>IFERROR(VLOOKUP(发货清单!A611,数据库!A:C,3,0),"")</f>
        <v/>
      </c>
      <c r="E611">
        <f>发货清单!M611</f>
        <v>0</v>
      </c>
      <c r="F611">
        <f>发货清单!U611</f>
        <v>0</v>
      </c>
      <c r="G611" t="str">
        <f>IFERROR(VLOOKUP(发货清单!A611,数据库!A:B,2,0),"")</f>
        <v/>
      </c>
      <c r="H611">
        <f>发货清单!N611</f>
        <v>0</v>
      </c>
      <c r="I611" t="str">
        <f t="shared" si="81"/>
        <v/>
      </c>
      <c r="J611" t="str">
        <f t="shared" si="82"/>
        <v xml:space="preserve"> </v>
      </c>
      <c r="K611" t="str">
        <f t="shared" si="83"/>
        <v/>
      </c>
      <c r="L611" t="str">
        <f t="shared" si="84"/>
        <v/>
      </c>
      <c r="N611" s="245">
        <f t="shared" si="85"/>
        <v>0</v>
      </c>
      <c r="O611" s="245">
        <f t="shared" si="86"/>
        <v>0</v>
      </c>
      <c r="P611" t="str">
        <f t="shared" si="87"/>
        <v/>
      </c>
      <c r="Q611" t="str">
        <f>IFERROR(VLOOKUP(P611,数据库!C:M,11,0),"")</f>
        <v/>
      </c>
      <c r="R611" t="str">
        <f t="shared" si="88"/>
        <v/>
      </c>
      <c r="S611">
        <f t="shared" si="89"/>
        <v>0</v>
      </c>
    </row>
    <row r="612" spans="1:19">
      <c r="A612" t="str">
        <f>IF(B612=0,"",发货清单!A612*10^6+COUNTIF($D$2:D612,D612)*10^3+ROW(A611))</f>
        <v/>
      </c>
      <c r="B612">
        <f>IFERROR(LEFT(发货清单!H612,SEARCH("-",发货清单!H612)-1),发货清单!H612)</f>
        <v>0</v>
      </c>
      <c r="C612" t="str">
        <f>IFERROR(VLOOKUP(发货清单!A612,数据库!A:D,4,0),"")</f>
        <v/>
      </c>
      <c r="D612" t="str">
        <f>IFERROR(VLOOKUP(发货清单!A612,数据库!A:C,3,0),"")</f>
        <v/>
      </c>
      <c r="E612">
        <f>发货清单!M612</f>
        <v>0</v>
      </c>
      <c r="F612">
        <f>发货清单!U612</f>
        <v>0</v>
      </c>
      <c r="G612" t="str">
        <f>IFERROR(VLOOKUP(发货清单!A612,数据库!A:B,2,0),"")</f>
        <v/>
      </c>
      <c r="H612">
        <f>发货清单!N612</f>
        <v>0</v>
      </c>
      <c r="I612" t="str">
        <f t="shared" si="81"/>
        <v/>
      </c>
      <c r="J612" t="str">
        <f t="shared" si="82"/>
        <v xml:space="preserve"> </v>
      </c>
      <c r="K612" t="str">
        <f t="shared" si="83"/>
        <v/>
      </c>
      <c r="L612" t="str">
        <f t="shared" si="84"/>
        <v/>
      </c>
      <c r="N612" s="245">
        <f t="shared" si="85"/>
        <v>0</v>
      </c>
      <c r="O612" s="245">
        <f t="shared" si="86"/>
        <v>0</v>
      </c>
      <c r="P612" t="str">
        <f t="shared" si="87"/>
        <v/>
      </c>
      <c r="Q612" t="str">
        <f>IFERROR(VLOOKUP(P612,数据库!C:M,11,0),"")</f>
        <v/>
      </c>
      <c r="R612" t="str">
        <f t="shared" si="88"/>
        <v/>
      </c>
      <c r="S612">
        <f t="shared" si="89"/>
        <v>0</v>
      </c>
    </row>
    <row r="613" spans="1:19">
      <c r="A613" t="str">
        <f>IF(B613=0,"",发货清单!A613*10^6+COUNTIF($D$2:D613,D613)*10^3+ROW(A612))</f>
        <v/>
      </c>
      <c r="B613">
        <f>IFERROR(LEFT(发货清单!H613,SEARCH("-",发货清单!H613)-1),发货清单!H613)</f>
        <v>0</v>
      </c>
      <c r="C613" t="str">
        <f>IFERROR(VLOOKUP(发货清单!A613,数据库!A:D,4,0),"")</f>
        <v/>
      </c>
      <c r="D613" t="str">
        <f>IFERROR(VLOOKUP(发货清单!A613,数据库!A:C,3,0),"")</f>
        <v/>
      </c>
      <c r="E613">
        <f>发货清单!M613</f>
        <v>0</v>
      </c>
      <c r="F613">
        <f>发货清单!U613</f>
        <v>0</v>
      </c>
      <c r="G613" t="str">
        <f>IFERROR(VLOOKUP(发货清单!A613,数据库!A:B,2,0),"")</f>
        <v/>
      </c>
      <c r="H613">
        <f>发货清单!N613</f>
        <v>0</v>
      </c>
      <c r="I613" t="str">
        <f t="shared" si="81"/>
        <v/>
      </c>
      <c r="J613" t="str">
        <f t="shared" si="82"/>
        <v xml:space="preserve"> </v>
      </c>
      <c r="K613" t="str">
        <f t="shared" si="83"/>
        <v/>
      </c>
      <c r="L613" t="str">
        <f t="shared" si="84"/>
        <v/>
      </c>
      <c r="N613" s="245">
        <f t="shared" si="85"/>
        <v>0</v>
      </c>
      <c r="O613" s="245">
        <f t="shared" si="86"/>
        <v>0</v>
      </c>
      <c r="P613" t="str">
        <f t="shared" si="87"/>
        <v/>
      </c>
      <c r="Q613" t="str">
        <f>IFERROR(VLOOKUP(P613,数据库!C:M,11,0),"")</f>
        <v/>
      </c>
      <c r="R613" t="str">
        <f t="shared" si="88"/>
        <v/>
      </c>
      <c r="S613">
        <f t="shared" si="89"/>
        <v>0</v>
      </c>
    </row>
    <row r="614" spans="1:19">
      <c r="A614" t="str">
        <f>IF(B614=0,"",发货清单!A614*10^6+COUNTIF($D$2:D614,D614)*10^3+ROW(A613))</f>
        <v/>
      </c>
      <c r="B614">
        <f>IFERROR(LEFT(发货清单!H614,SEARCH("-",发货清单!H614)-1),发货清单!H614)</f>
        <v>0</v>
      </c>
      <c r="C614" t="str">
        <f>IFERROR(VLOOKUP(发货清单!A614,数据库!A:D,4,0),"")</f>
        <v/>
      </c>
      <c r="D614" t="str">
        <f>IFERROR(VLOOKUP(发货清单!A614,数据库!A:C,3,0),"")</f>
        <v/>
      </c>
      <c r="E614">
        <f>发货清单!M614</f>
        <v>0</v>
      </c>
      <c r="F614">
        <f>发货清单!U614</f>
        <v>0</v>
      </c>
      <c r="G614" t="str">
        <f>IFERROR(VLOOKUP(发货清单!A614,数据库!A:B,2,0),"")</f>
        <v/>
      </c>
      <c r="H614">
        <f>发货清单!N614</f>
        <v>0</v>
      </c>
      <c r="I614" t="str">
        <f t="shared" si="81"/>
        <v/>
      </c>
      <c r="J614" t="str">
        <f t="shared" si="82"/>
        <v xml:space="preserve"> </v>
      </c>
      <c r="K614" t="str">
        <f t="shared" si="83"/>
        <v/>
      </c>
      <c r="L614" t="str">
        <f t="shared" si="84"/>
        <v/>
      </c>
      <c r="N614" s="245">
        <f t="shared" si="85"/>
        <v>0</v>
      </c>
      <c r="O614" s="245">
        <f t="shared" si="86"/>
        <v>0</v>
      </c>
      <c r="P614" t="str">
        <f t="shared" si="87"/>
        <v/>
      </c>
      <c r="Q614" t="str">
        <f>IFERROR(VLOOKUP(P614,数据库!C:M,11,0),"")</f>
        <v/>
      </c>
      <c r="R614" t="str">
        <f t="shared" si="88"/>
        <v/>
      </c>
      <c r="S614">
        <f t="shared" si="89"/>
        <v>0</v>
      </c>
    </row>
    <row r="615" spans="1:19">
      <c r="A615" t="str">
        <f>IF(B615=0,"",发货清单!A615*10^6+COUNTIF($D$2:D615,D615)*10^3+ROW(A614))</f>
        <v/>
      </c>
      <c r="B615">
        <f>IFERROR(LEFT(发货清单!H615,SEARCH("-",发货清单!H615)-1),发货清单!H615)</f>
        <v>0</v>
      </c>
      <c r="C615" t="str">
        <f>IFERROR(VLOOKUP(发货清单!A615,数据库!A:D,4,0),"")</f>
        <v/>
      </c>
      <c r="D615" t="str">
        <f>IFERROR(VLOOKUP(发货清单!A615,数据库!A:C,3,0),"")</f>
        <v/>
      </c>
      <c r="E615">
        <f>发货清单!M615</f>
        <v>0</v>
      </c>
      <c r="F615">
        <f>发货清单!U615</f>
        <v>0</v>
      </c>
      <c r="G615" t="str">
        <f>IFERROR(VLOOKUP(发货清单!A615,数据库!A:B,2,0),"")</f>
        <v/>
      </c>
      <c r="H615">
        <f>发货清单!N615</f>
        <v>0</v>
      </c>
      <c r="I615" t="str">
        <f t="shared" si="81"/>
        <v/>
      </c>
      <c r="J615" t="str">
        <f t="shared" si="82"/>
        <v xml:space="preserve"> </v>
      </c>
      <c r="K615" t="str">
        <f t="shared" si="83"/>
        <v/>
      </c>
      <c r="L615" t="str">
        <f t="shared" si="84"/>
        <v/>
      </c>
      <c r="N615" s="245">
        <f t="shared" si="85"/>
        <v>0</v>
      </c>
      <c r="O615" s="245">
        <f t="shared" si="86"/>
        <v>0</v>
      </c>
      <c r="P615" t="str">
        <f t="shared" si="87"/>
        <v/>
      </c>
      <c r="Q615" t="str">
        <f>IFERROR(VLOOKUP(P615,数据库!C:M,11,0),"")</f>
        <v/>
      </c>
      <c r="R615" t="str">
        <f t="shared" si="88"/>
        <v/>
      </c>
      <c r="S615">
        <f t="shared" si="89"/>
        <v>0</v>
      </c>
    </row>
    <row r="616" spans="1:19">
      <c r="A616" t="str">
        <f>IF(B616=0,"",发货清单!A616*10^6+COUNTIF($D$2:D616,D616)*10^3+ROW(A615))</f>
        <v/>
      </c>
      <c r="B616">
        <f>IFERROR(LEFT(发货清单!H616,SEARCH("-",发货清单!H616)-1),发货清单!H616)</f>
        <v>0</v>
      </c>
      <c r="C616" t="str">
        <f>IFERROR(VLOOKUP(发货清单!A616,数据库!A:D,4,0),"")</f>
        <v/>
      </c>
      <c r="D616" t="str">
        <f>IFERROR(VLOOKUP(发货清单!A616,数据库!A:C,3,0),"")</f>
        <v/>
      </c>
      <c r="E616">
        <f>发货清单!M616</f>
        <v>0</v>
      </c>
      <c r="F616">
        <f>发货清单!U616</f>
        <v>0</v>
      </c>
      <c r="G616" t="str">
        <f>IFERROR(VLOOKUP(发货清单!A616,数据库!A:B,2,0),"")</f>
        <v/>
      </c>
      <c r="H616">
        <f>发货清单!N616</f>
        <v>0</v>
      </c>
      <c r="I616" t="str">
        <f t="shared" si="81"/>
        <v/>
      </c>
      <c r="J616" t="str">
        <f t="shared" si="82"/>
        <v xml:space="preserve"> </v>
      </c>
      <c r="K616" t="str">
        <f t="shared" si="83"/>
        <v/>
      </c>
      <c r="L616" t="str">
        <f t="shared" si="84"/>
        <v/>
      </c>
      <c r="N616" s="245">
        <f t="shared" si="85"/>
        <v>0</v>
      </c>
      <c r="O616" s="245">
        <f t="shared" si="86"/>
        <v>0</v>
      </c>
      <c r="P616" t="str">
        <f t="shared" si="87"/>
        <v/>
      </c>
      <c r="Q616" t="str">
        <f>IFERROR(VLOOKUP(P616,数据库!C:M,11,0),"")</f>
        <v/>
      </c>
      <c r="R616" t="str">
        <f t="shared" si="88"/>
        <v/>
      </c>
      <c r="S616">
        <f t="shared" si="89"/>
        <v>0</v>
      </c>
    </row>
    <row r="617" spans="1:19">
      <c r="A617" t="str">
        <f>IF(B617=0,"",发货清单!A617*10^6+COUNTIF($D$2:D617,D617)*10^3+ROW(A616))</f>
        <v/>
      </c>
      <c r="B617">
        <f>IFERROR(LEFT(发货清单!H617,SEARCH("-",发货清单!H617)-1),发货清单!H617)</f>
        <v>0</v>
      </c>
      <c r="C617" t="str">
        <f>IFERROR(VLOOKUP(发货清单!A617,数据库!A:D,4,0),"")</f>
        <v/>
      </c>
      <c r="D617" t="str">
        <f>IFERROR(VLOOKUP(发货清单!A617,数据库!A:C,3,0),"")</f>
        <v/>
      </c>
      <c r="E617">
        <f>发货清单!M617</f>
        <v>0</v>
      </c>
      <c r="F617">
        <f>发货清单!U617</f>
        <v>0</v>
      </c>
      <c r="G617" t="str">
        <f>IFERROR(VLOOKUP(发货清单!A617,数据库!A:B,2,0),"")</f>
        <v/>
      </c>
      <c r="H617">
        <f>发货清单!N617</f>
        <v>0</v>
      </c>
      <c r="I617" t="str">
        <f t="shared" si="81"/>
        <v/>
      </c>
      <c r="J617" t="str">
        <f t="shared" si="82"/>
        <v xml:space="preserve"> </v>
      </c>
      <c r="K617" t="str">
        <f t="shared" si="83"/>
        <v/>
      </c>
      <c r="L617" t="str">
        <f t="shared" si="84"/>
        <v/>
      </c>
      <c r="N617" s="245">
        <f t="shared" si="85"/>
        <v>0</v>
      </c>
      <c r="O617" s="245">
        <f t="shared" si="86"/>
        <v>0</v>
      </c>
      <c r="P617" t="str">
        <f t="shared" si="87"/>
        <v/>
      </c>
      <c r="Q617" t="str">
        <f>IFERROR(VLOOKUP(P617,数据库!C:M,11,0),"")</f>
        <v/>
      </c>
      <c r="R617" t="str">
        <f t="shared" si="88"/>
        <v/>
      </c>
      <c r="S617">
        <f t="shared" si="89"/>
        <v>0</v>
      </c>
    </row>
    <row r="618" spans="1:19">
      <c r="A618" t="str">
        <f>IF(B618=0,"",发货清单!A618*10^6+COUNTIF($D$2:D618,D618)*10^3+ROW(A617))</f>
        <v/>
      </c>
      <c r="B618">
        <f>IFERROR(LEFT(发货清单!H618,SEARCH("-",发货清单!H618)-1),发货清单!H618)</f>
        <v>0</v>
      </c>
      <c r="C618" t="str">
        <f>IFERROR(VLOOKUP(发货清单!A618,数据库!A:D,4,0),"")</f>
        <v/>
      </c>
      <c r="D618" t="str">
        <f>IFERROR(VLOOKUP(发货清单!A618,数据库!A:C,3,0),"")</f>
        <v/>
      </c>
      <c r="E618">
        <f>发货清单!M618</f>
        <v>0</v>
      </c>
      <c r="F618">
        <f>发货清单!U618</f>
        <v>0</v>
      </c>
      <c r="G618" t="str">
        <f>IFERROR(VLOOKUP(发货清单!A618,数据库!A:B,2,0),"")</f>
        <v/>
      </c>
      <c r="H618">
        <f>发货清单!N618</f>
        <v>0</v>
      </c>
      <c r="I618" t="str">
        <f t="shared" si="81"/>
        <v/>
      </c>
      <c r="J618" t="str">
        <f t="shared" si="82"/>
        <v xml:space="preserve"> </v>
      </c>
      <c r="K618" t="str">
        <f t="shared" si="83"/>
        <v/>
      </c>
      <c r="L618" t="str">
        <f t="shared" si="84"/>
        <v/>
      </c>
      <c r="N618" s="245">
        <f t="shared" si="85"/>
        <v>0</v>
      </c>
      <c r="O618" s="245">
        <f t="shared" si="86"/>
        <v>0</v>
      </c>
      <c r="P618" t="str">
        <f t="shared" si="87"/>
        <v/>
      </c>
      <c r="Q618" t="str">
        <f>IFERROR(VLOOKUP(P618,数据库!C:M,11,0),"")</f>
        <v/>
      </c>
      <c r="R618" t="str">
        <f t="shared" si="88"/>
        <v/>
      </c>
      <c r="S618">
        <f t="shared" si="89"/>
        <v>0</v>
      </c>
    </row>
    <row r="619" spans="1:19">
      <c r="A619" t="str">
        <f>IF(B619=0,"",发货清单!A619*10^6+COUNTIF($D$2:D619,D619)*10^3+ROW(A618))</f>
        <v/>
      </c>
      <c r="B619">
        <f>IFERROR(LEFT(发货清单!H619,SEARCH("-",发货清单!H619)-1),发货清单!H619)</f>
        <v>0</v>
      </c>
      <c r="C619" t="str">
        <f>IFERROR(VLOOKUP(发货清单!A619,数据库!A:D,4,0),"")</f>
        <v/>
      </c>
      <c r="D619" t="str">
        <f>IFERROR(VLOOKUP(发货清单!A619,数据库!A:C,3,0),"")</f>
        <v/>
      </c>
      <c r="E619">
        <f>发货清单!M619</f>
        <v>0</v>
      </c>
      <c r="F619">
        <f>发货清单!U619</f>
        <v>0</v>
      </c>
      <c r="G619" t="str">
        <f>IFERROR(VLOOKUP(发货清单!A619,数据库!A:B,2,0),"")</f>
        <v/>
      </c>
      <c r="H619">
        <f>发货清单!N619</f>
        <v>0</v>
      </c>
      <c r="I619" t="str">
        <f t="shared" si="81"/>
        <v/>
      </c>
      <c r="J619" t="str">
        <f t="shared" si="82"/>
        <v xml:space="preserve"> </v>
      </c>
      <c r="K619" t="str">
        <f t="shared" si="83"/>
        <v/>
      </c>
      <c r="L619" t="str">
        <f t="shared" si="84"/>
        <v/>
      </c>
      <c r="N619" s="245">
        <f t="shared" si="85"/>
        <v>0</v>
      </c>
      <c r="O619" s="245">
        <f t="shared" si="86"/>
        <v>0</v>
      </c>
      <c r="P619" t="str">
        <f t="shared" si="87"/>
        <v/>
      </c>
      <c r="Q619" t="str">
        <f>IFERROR(VLOOKUP(P619,数据库!C:M,11,0),"")</f>
        <v/>
      </c>
      <c r="R619" t="str">
        <f t="shared" si="88"/>
        <v/>
      </c>
      <c r="S619">
        <f t="shared" si="89"/>
        <v>0</v>
      </c>
    </row>
    <row r="620" spans="1:19">
      <c r="A620" t="str">
        <f>IF(B620=0,"",发货清单!A620*10^6+COUNTIF($D$2:D620,D620)*10^3+ROW(A619))</f>
        <v/>
      </c>
      <c r="B620">
        <f>IFERROR(LEFT(发货清单!H620,SEARCH("-",发货清单!H620)-1),发货清单!H620)</f>
        <v>0</v>
      </c>
      <c r="C620" t="str">
        <f>IFERROR(VLOOKUP(发货清单!A620,数据库!A:D,4,0),"")</f>
        <v/>
      </c>
      <c r="D620" t="str">
        <f>IFERROR(VLOOKUP(发货清单!A620,数据库!A:C,3,0),"")</f>
        <v/>
      </c>
      <c r="E620">
        <f>发货清单!M620</f>
        <v>0</v>
      </c>
      <c r="F620">
        <f>发货清单!U620</f>
        <v>0</v>
      </c>
      <c r="G620" t="str">
        <f>IFERROR(VLOOKUP(发货清单!A620,数据库!A:B,2,0),"")</f>
        <v/>
      </c>
      <c r="H620">
        <f>发货清单!N620</f>
        <v>0</v>
      </c>
      <c r="I620" t="str">
        <f t="shared" si="81"/>
        <v/>
      </c>
      <c r="J620" t="str">
        <f t="shared" si="82"/>
        <v xml:space="preserve"> </v>
      </c>
      <c r="K620" t="str">
        <f t="shared" si="83"/>
        <v/>
      </c>
      <c r="L620" t="str">
        <f t="shared" si="84"/>
        <v/>
      </c>
      <c r="N620" s="245">
        <f t="shared" si="85"/>
        <v>0</v>
      </c>
      <c r="O620" s="245">
        <f t="shared" si="86"/>
        <v>0</v>
      </c>
      <c r="P620" t="str">
        <f t="shared" si="87"/>
        <v/>
      </c>
      <c r="Q620" t="str">
        <f>IFERROR(VLOOKUP(P620,数据库!C:M,11,0),"")</f>
        <v/>
      </c>
      <c r="R620" t="str">
        <f t="shared" si="88"/>
        <v/>
      </c>
      <c r="S620">
        <f t="shared" si="89"/>
        <v>0</v>
      </c>
    </row>
    <row r="621" spans="1:19">
      <c r="A621" t="str">
        <f>IF(B621=0,"",发货清单!A621*10^6+COUNTIF($D$2:D621,D621)*10^3+ROW(A620))</f>
        <v/>
      </c>
      <c r="B621">
        <f>IFERROR(LEFT(发货清单!H621,SEARCH("-",发货清单!H621)-1),发货清单!H621)</f>
        <v>0</v>
      </c>
      <c r="C621" t="str">
        <f>IFERROR(VLOOKUP(发货清单!A621,数据库!A:D,4,0),"")</f>
        <v/>
      </c>
      <c r="D621" t="str">
        <f>IFERROR(VLOOKUP(发货清单!A621,数据库!A:C,3,0),"")</f>
        <v/>
      </c>
      <c r="E621">
        <f>发货清单!M621</f>
        <v>0</v>
      </c>
      <c r="F621">
        <f>发货清单!U621</f>
        <v>0</v>
      </c>
      <c r="G621" t="str">
        <f>IFERROR(VLOOKUP(发货清单!A621,数据库!A:B,2,0),"")</f>
        <v/>
      </c>
      <c r="H621">
        <f>发货清单!N621</f>
        <v>0</v>
      </c>
      <c r="I621" t="str">
        <f t="shared" si="81"/>
        <v/>
      </c>
      <c r="J621" t="str">
        <f t="shared" si="82"/>
        <v xml:space="preserve"> </v>
      </c>
      <c r="K621" t="str">
        <f t="shared" si="83"/>
        <v/>
      </c>
      <c r="L621" t="str">
        <f t="shared" si="84"/>
        <v/>
      </c>
      <c r="N621" s="245">
        <f t="shared" si="85"/>
        <v>0</v>
      </c>
      <c r="O621" s="245">
        <f t="shared" si="86"/>
        <v>0</v>
      </c>
      <c r="P621" t="str">
        <f t="shared" si="87"/>
        <v/>
      </c>
      <c r="Q621" t="str">
        <f>IFERROR(VLOOKUP(P621,数据库!C:M,11,0),"")</f>
        <v/>
      </c>
      <c r="R621" t="str">
        <f t="shared" si="88"/>
        <v/>
      </c>
      <c r="S621">
        <f t="shared" si="89"/>
        <v>0</v>
      </c>
    </row>
    <row r="622" spans="1:19">
      <c r="A622" t="str">
        <f>IF(B622=0,"",发货清单!A622*10^6+COUNTIF($D$2:D622,D622)*10^3+ROW(A621))</f>
        <v/>
      </c>
      <c r="B622">
        <f>IFERROR(LEFT(发货清单!H622,SEARCH("-",发货清单!H622)-1),发货清单!H622)</f>
        <v>0</v>
      </c>
      <c r="C622" t="str">
        <f>IFERROR(VLOOKUP(发货清单!A622,数据库!A:D,4,0),"")</f>
        <v/>
      </c>
      <c r="D622" t="str">
        <f>IFERROR(VLOOKUP(发货清单!A622,数据库!A:C,3,0),"")</f>
        <v/>
      </c>
      <c r="E622">
        <f>发货清单!M622</f>
        <v>0</v>
      </c>
      <c r="F622">
        <f>发货清单!U622</f>
        <v>0</v>
      </c>
      <c r="G622" t="str">
        <f>IFERROR(VLOOKUP(发货清单!A622,数据库!A:B,2,0),"")</f>
        <v/>
      </c>
      <c r="H622">
        <f>发货清单!N622</f>
        <v>0</v>
      </c>
      <c r="I622" t="str">
        <f t="shared" si="81"/>
        <v/>
      </c>
      <c r="J622" t="str">
        <f t="shared" si="82"/>
        <v xml:space="preserve"> </v>
      </c>
      <c r="K622" t="str">
        <f t="shared" si="83"/>
        <v/>
      </c>
      <c r="L622" t="str">
        <f t="shared" si="84"/>
        <v/>
      </c>
      <c r="N622" s="245">
        <f t="shared" si="85"/>
        <v>0</v>
      </c>
      <c r="O622" s="245">
        <f t="shared" si="86"/>
        <v>0</v>
      </c>
      <c r="P622" t="str">
        <f t="shared" si="87"/>
        <v/>
      </c>
      <c r="Q622" t="str">
        <f>IFERROR(VLOOKUP(P622,数据库!C:M,11,0),"")</f>
        <v/>
      </c>
      <c r="R622" t="str">
        <f t="shared" si="88"/>
        <v/>
      </c>
      <c r="S622">
        <f t="shared" si="89"/>
        <v>0</v>
      </c>
    </row>
    <row r="623" spans="1:19">
      <c r="A623" t="str">
        <f>IF(B623=0,"",发货清单!A623*10^6+COUNTIF($D$2:D623,D623)*10^3+ROW(A622))</f>
        <v/>
      </c>
      <c r="B623">
        <f>IFERROR(LEFT(发货清单!H623,SEARCH("-",发货清单!H623)-1),发货清单!H623)</f>
        <v>0</v>
      </c>
      <c r="C623" t="str">
        <f>IFERROR(VLOOKUP(发货清单!A623,数据库!A:D,4,0),"")</f>
        <v/>
      </c>
      <c r="D623" t="str">
        <f>IFERROR(VLOOKUP(发货清单!A623,数据库!A:C,3,0),"")</f>
        <v/>
      </c>
      <c r="E623">
        <f>发货清单!M623</f>
        <v>0</v>
      </c>
      <c r="F623">
        <f>发货清单!U623</f>
        <v>0</v>
      </c>
      <c r="G623" t="str">
        <f>IFERROR(VLOOKUP(发货清单!A623,数据库!A:B,2,0),"")</f>
        <v/>
      </c>
      <c r="H623">
        <f>发货清单!N623</f>
        <v>0</v>
      </c>
      <c r="I623" t="str">
        <f t="shared" si="81"/>
        <v/>
      </c>
      <c r="J623" t="str">
        <f t="shared" si="82"/>
        <v xml:space="preserve"> </v>
      </c>
      <c r="K623" t="str">
        <f t="shared" si="83"/>
        <v/>
      </c>
      <c r="L623" t="str">
        <f t="shared" si="84"/>
        <v/>
      </c>
      <c r="N623" s="245">
        <f t="shared" si="85"/>
        <v>0</v>
      </c>
      <c r="O623" s="245">
        <f t="shared" si="86"/>
        <v>0</v>
      </c>
      <c r="P623" t="str">
        <f t="shared" si="87"/>
        <v/>
      </c>
      <c r="Q623" t="str">
        <f>IFERROR(VLOOKUP(P623,数据库!C:M,11,0),"")</f>
        <v/>
      </c>
      <c r="R623" t="str">
        <f t="shared" si="88"/>
        <v/>
      </c>
      <c r="S623">
        <f t="shared" si="89"/>
        <v>0</v>
      </c>
    </row>
    <row r="624" spans="1:19">
      <c r="A624" t="str">
        <f>IF(B624=0,"",发货清单!A624*10^6+COUNTIF($D$2:D624,D624)*10^3+ROW(A623))</f>
        <v/>
      </c>
      <c r="B624">
        <f>IFERROR(LEFT(发货清单!H624,SEARCH("-",发货清单!H624)-1),发货清单!H624)</f>
        <v>0</v>
      </c>
      <c r="C624" t="str">
        <f>IFERROR(VLOOKUP(发货清单!A624,数据库!A:D,4,0),"")</f>
        <v/>
      </c>
      <c r="D624" t="str">
        <f>IFERROR(VLOOKUP(发货清单!A624,数据库!A:C,3,0),"")</f>
        <v/>
      </c>
      <c r="E624">
        <f>发货清单!M624</f>
        <v>0</v>
      </c>
      <c r="F624">
        <f>发货清单!U624</f>
        <v>0</v>
      </c>
      <c r="G624" t="str">
        <f>IFERROR(VLOOKUP(发货清单!A624,数据库!A:B,2,0),"")</f>
        <v/>
      </c>
      <c r="H624">
        <f>发货清单!N624</f>
        <v>0</v>
      </c>
      <c r="I624" t="str">
        <f t="shared" si="81"/>
        <v/>
      </c>
      <c r="J624" t="str">
        <f t="shared" si="82"/>
        <v xml:space="preserve"> </v>
      </c>
      <c r="K624" t="str">
        <f t="shared" si="83"/>
        <v/>
      </c>
      <c r="L624" t="str">
        <f t="shared" si="84"/>
        <v/>
      </c>
      <c r="N624" s="245">
        <f t="shared" si="85"/>
        <v>0</v>
      </c>
      <c r="O624" s="245">
        <f t="shared" si="86"/>
        <v>0</v>
      </c>
      <c r="P624" t="str">
        <f t="shared" si="87"/>
        <v/>
      </c>
      <c r="Q624" t="str">
        <f>IFERROR(VLOOKUP(P624,数据库!C:M,11,0),"")</f>
        <v/>
      </c>
      <c r="R624" t="str">
        <f t="shared" si="88"/>
        <v/>
      </c>
      <c r="S624">
        <f t="shared" si="89"/>
        <v>0</v>
      </c>
    </row>
    <row r="625" spans="1:19">
      <c r="A625" t="str">
        <f>IF(B625=0,"",发货清单!A625*10^6+COUNTIF($D$2:D625,D625)*10^3+ROW(A624))</f>
        <v/>
      </c>
      <c r="B625">
        <f>IFERROR(LEFT(发货清单!H625,SEARCH("-",发货清单!H625)-1),发货清单!H625)</f>
        <v>0</v>
      </c>
      <c r="C625" t="str">
        <f>IFERROR(VLOOKUP(发货清单!A625,数据库!A:D,4,0),"")</f>
        <v/>
      </c>
      <c r="D625" t="str">
        <f>IFERROR(VLOOKUP(发货清单!A625,数据库!A:C,3,0),"")</f>
        <v/>
      </c>
      <c r="E625">
        <f>发货清单!M625</f>
        <v>0</v>
      </c>
      <c r="F625">
        <f>发货清单!U625</f>
        <v>0</v>
      </c>
      <c r="G625" t="str">
        <f>IFERROR(VLOOKUP(发货清单!A625,数据库!A:B,2,0),"")</f>
        <v/>
      </c>
      <c r="H625">
        <f>发货清单!N625</f>
        <v>0</v>
      </c>
      <c r="I625" t="str">
        <f t="shared" si="81"/>
        <v/>
      </c>
      <c r="J625" t="str">
        <f t="shared" si="82"/>
        <v xml:space="preserve"> </v>
      </c>
      <c r="K625" t="str">
        <f t="shared" si="83"/>
        <v/>
      </c>
      <c r="L625" t="str">
        <f t="shared" si="84"/>
        <v/>
      </c>
      <c r="N625" s="245">
        <f t="shared" si="85"/>
        <v>0</v>
      </c>
      <c r="O625" s="245">
        <f t="shared" si="86"/>
        <v>0</v>
      </c>
      <c r="P625" t="str">
        <f t="shared" si="87"/>
        <v/>
      </c>
      <c r="Q625" t="str">
        <f>IFERROR(VLOOKUP(P625,数据库!C:M,11,0),"")</f>
        <v/>
      </c>
      <c r="R625" t="str">
        <f t="shared" si="88"/>
        <v/>
      </c>
      <c r="S625">
        <f t="shared" si="89"/>
        <v>0</v>
      </c>
    </row>
    <row r="626" spans="1:19">
      <c r="A626" t="str">
        <f>IF(B626=0,"",发货清单!A626*10^6+COUNTIF($D$2:D626,D626)*10^3+ROW(A625))</f>
        <v/>
      </c>
      <c r="B626">
        <f>IFERROR(LEFT(发货清单!H626,SEARCH("-",发货清单!H626)-1),发货清单!H626)</f>
        <v>0</v>
      </c>
      <c r="C626" t="str">
        <f>IFERROR(VLOOKUP(发货清单!A626,数据库!A:D,4,0),"")</f>
        <v/>
      </c>
      <c r="D626" t="str">
        <f>IFERROR(VLOOKUP(发货清单!A626,数据库!A:C,3,0),"")</f>
        <v/>
      </c>
      <c r="E626">
        <f>发货清单!M626</f>
        <v>0</v>
      </c>
      <c r="F626">
        <f>发货清单!U626</f>
        <v>0</v>
      </c>
      <c r="G626" t="str">
        <f>IFERROR(VLOOKUP(发货清单!A626,数据库!A:B,2,0),"")</f>
        <v/>
      </c>
      <c r="H626">
        <f>发货清单!N626</f>
        <v>0</v>
      </c>
      <c r="I626" t="str">
        <f t="shared" si="81"/>
        <v/>
      </c>
      <c r="J626" t="str">
        <f t="shared" si="82"/>
        <v xml:space="preserve"> </v>
      </c>
      <c r="K626" t="str">
        <f t="shared" si="83"/>
        <v/>
      </c>
      <c r="L626" t="str">
        <f t="shared" si="84"/>
        <v/>
      </c>
      <c r="N626" s="245">
        <f t="shared" si="85"/>
        <v>0</v>
      </c>
      <c r="O626" s="245">
        <f t="shared" si="86"/>
        <v>0</v>
      </c>
      <c r="P626" t="str">
        <f t="shared" si="87"/>
        <v/>
      </c>
      <c r="Q626" t="str">
        <f>IFERROR(VLOOKUP(P626,数据库!C:M,11,0),"")</f>
        <v/>
      </c>
      <c r="R626" t="str">
        <f t="shared" si="88"/>
        <v/>
      </c>
      <c r="S626">
        <f t="shared" si="89"/>
        <v>0</v>
      </c>
    </row>
    <row r="627" spans="1:19">
      <c r="A627" t="str">
        <f>IF(B627=0,"",发货清单!A627*10^6+COUNTIF($D$2:D627,D627)*10^3+ROW(A626))</f>
        <v/>
      </c>
      <c r="B627">
        <f>IFERROR(LEFT(发货清单!H627,SEARCH("-",发货清单!H627)-1),发货清单!H627)</f>
        <v>0</v>
      </c>
      <c r="C627" t="str">
        <f>IFERROR(VLOOKUP(发货清单!A627,数据库!A:D,4,0),"")</f>
        <v/>
      </c>
      <c r="D627" t="str">
        <f>IFERROR(VLOOKUP(发货清单!A627,数据库!A:C,3,0),"")</f>
        <v/>
      </c>
      <c r="E627">
        <f>发货清单!M627</f>
        <v>0</v>
      </c>
      <c r="F627">
        <f>发货清单!U627</f>
        <v>0</v>
      </c>
      <c r="G627" t="str">
        <f>IFERROR(VLOOKUP(发货清单!A627,数据库!A:B,2,0),"")</f>
        <v/>
      </c>
      <c r="H627">
        <f>发货清单!N627</f>
        <v>0</v>
      </c>
      <c r="I627" t="str">
        <f t="shared" si="81"/>
        <v/>
      </c>
      <c r="J627" t="str">
        <f t="shared" si="82"/>
        <v xml:space="preserve"> </v>
      </c>
      <c r="K627" t="str">
        <f t="shared" si="83"/>
        <v/>
      </c>
      <c r="L627" t="str">
        <f t="shared" si="84"/>
        <v/>
      </c>
      <c r="N627" s="245">
        <f t="shared" si="85"/>
        <v>0</v>
      </c>
      <c r="O627" s="245">
        <f t="shared" si="86"/>
        <v>0</v>
      </c>
      <c r="P627" t="str">
        <f t="shared" si="87"/>
        <v/>
      </c>
      <c r="Q627" t="str">
        <f>IFERROR(VLOOKUP(P627,数据库!C:M,11,0),"")</f>
        <v/>
      </c>
      <c r="R627" t="str">
        <f t="shared" si="88"/>
        <v/>
      </c>
      <c r="S627">
        <f t="shared" si="89"/>
        <v>0</v>
      </c>
    </row>
    <row r="628" spans="1:19">
      <c r="A628" t="str">
        <f>IF(B628=0,"",发货清单!A628*10^6+COUNTIF($D$2:D628,D628)*10^3+ROW(A627))</f>
        <v/>
      </c>
      <c r="B628">
        <f>IFERROR(LEFT(发货清单!H628,SEARCH("-",发货清单!H628)-1),发货清单!H628)</f>
        <v>0</v>
      </c>
      <c r="C628" t="str">
        <f>IFERROR(VLOOKUP(发货清单!A628,数据库!A:D,4,0),"")</f>
        <v/>
      </c>
      <c r="D628" t="str">
        <f>IFERROR(VLOOKUP(发货清单!A628,数据库!A:C,3,0),"")</f>
        <v/>
      </c>
      <c r="E628">
        <f>发货清单!M628</f>
        <v>0</v>
      </c>
      <c r="F628">
        <f>发货清单!U628</f>
        <v>0</v>
      </c>
      <c r="G628" t="str">
        <f>IFERROR(VLOOKUP(发货清单!A628,数据库!A:B,2,0),"")</f>
        <v/>
      </c>
      <c r="H628">
        <f>发货清单!N628</f>
        <v>0</v>
      </c>
      <c r="I628" t="str">
        <f t="shared" si="81"/>
        <v/>
      </c>
      <c r="J628" t="str">
        <f t="shared" si="82"/>
        <v xml:space="preserve"> </v>
      </c>
      <c r="K628" t="str">
        <f t="shared" si="83"/>
        <v/>
      </c>
      <c r="L628" t="str">
        <f t="shared" si="84"/>
        <v/>
      </c>
      <c r="N628" s="245">
        <f t="shared" si="85"/>
        <v>0</v>
      </c>
      <c r="O628" s="245">
        <f t="shared" si="86"/>
        <v>0</v>
      </c>
      <c r="P628" t="str">
        <f t="shared" si="87"/>
        <v/>
      </c>
      <c r="Q628" t="str">
        <f>IFERROR(VLOOKUP(P628,数据库!C:M,11,0),"")</f>
        <v/>
      </c>
      <c r="R628" t="str">
        <f t="shared" si="88"/>
        <v/>
      </c>
      <c r="S628">
        <f t="shared" si="89"/>
        <v>0</v>
      </c>
    </row>
    <row r="629" spans="1:19">
      <c r="A629" t="str">
        <f>IF(B629=0,"",发货清单!A629*10^6+COUNTIF($D$2:D629,D629)*10^3+ROW(A628))</f>
        <v/>
      </c>
      <c r="B629">
        <f>IFERROR(LEFT(发货清单!H629,SEARCH("-",发货清单!H629)-1),发货清单!H629)</f>
        <v>0</v>
      </c>
      <c r="C629" t="str">
        <f>IFERROR(VLOOKUP(发货清单!A629,数据库!A:D,4,0),"")</f>
        <v/>
      </c>
      <c r="D629" t="str">
        <f>IFERROR(VLOOKUP(发货清单!A629,数据库!A:C,3,0),"")</f>
        <v/>
      </c>
      <c r="E629">
        <f>发货清单!M629</f>
        <v>0</v>
      </c>
      <c r="F629">
        <f>发货清单!U629</f>
        <v>0</v>
      </c>
      <c r="G629" t="str">
        <f>IFERROR(VLOOKUP(发货清单!A629,数据库!A:B,2,0),"")</f>
        <v/>
      </c>
      <c r="H629">
        <f>发货清单!N629</f>
        <v>0</v>
      </c>
      <c r="I629" t="str">
        <f t="shared" si="81"/>
        <v/>
      </c>
      <c r="J629" t="str">
        <f t="shared" si="82"/>
        <v xml:space="preserve"> </v>
      </c>
      <c r="K629" t="str">
        <f t="shared" si="83"/>
        <v/>
      </c>
      <c r="L629" t="str">
        <f t="shared" si="84"/>
        <v/>
      </c>
      <c r="N629" s="245">
        <f t="shared" si="85"/>
        <v>0</v>
      </c>
      <c r="O629" s="245">
        <f t="shared" si="86"/>
        <v>0</v>
      </c>
      <c r="P629" t="str">
        <f t="shared" si="87"/>
        <v/>
      </c>
      <c r="Q629" t="str">
        <f>IFERROR(VLOOKUP(P629,数据库!C:M,11,0),"")</f>
        <v/>
      </c>
      <c r="R629" t="str">
        <f t="shared" si="88"/>
        <v/>
      </c>
      <c r="S629">
        <f t="shared" si="89"/>
        <v>0</v>
      </c>
    </row>
    <row r="630" spans="1:19">
      <c r="A630" t="str">
        <f>IF(B630=0,"",发货清单!A630*10^6+COUNTIF($D$2:D630,D630)*10^3+ROW(A629))</f>
        <v/>
      </c>
      <c r="B630">
        <f>IFERROR(LEFT(发货清单!H630,SEARCH("-",发货清单!H630)-1),发货清单!H630)</f>
        <v>0</v>
      </c>
      <c r="C630" t="str">
        <f>IFERROR(VLOOKUP(发货清单!A630,数据库!A:D,4,0),"")</f>
        <v/>
      </c>
      <c r="D630" t="str">
        <f>IFERROR(VLOOKUP(发货清单!A630,数据库!A:C,3,0),"")</f>
        <v/>
      </c>
      <c r="E630">
        <f>发货清单!M630</f>
        <v>0</v>
      </c>
      <c r="F630">
        <f>发货清单!U630</f>
        <v>0</v>
      </c>
      <c r="G630" t="str">
        <f>IFERROR(VLOOKUP(发货清单!A630,数据库!A:B,2,0),"")</f>
        <v/>
      </c>
      <c r="H630">
        <f>发货清单!N630</f>
        <v>0</v>
      </c>
      <c r="I630" t="str">
        <f t="shared" si="81"/>
        <v/>
      </c>
      <c r="J630" t="str">
        <f t="shared" si="82"/>
        <v xml:space="preserve"> </v>
      </c>
      <c r="K630" t="str">
        <f t="shared" si="83"/>
        <v/>
      </c>
      <c r="L630" t="str">
        <f t="shared" si="84"/>
        <v/>
      </c>
      <c r="N630" s="245">
        <f t="shared" si="85"/>
        <v>0</v>
      </c>
      <c r="O630" s="245">
        <f t="shared" si="86"/>
        <v>0</v>
      </c>
      <c r="P630" t="str">
        <f t="shared" si="87"/>
        <v/>
      </c>
      <c r="Q630" t="str">
        <f>IFERROR(VLOOKUP(P630,数据库!C:M,11,0),"")</f>
        <v/>
      </c>
      <c r="R630" t="str">
        <f t="shared" si="88"/>
        <v/>
      </c>
      <c r="S630">
        <f t="shared" si="89"/>
        <v>0</v>
      </c>
    </row>
    <row r="631" spans="1:19">
      <c r="A631" t="str">
        <f>IF(B631=0,"",发货清单!A631*10^6+COUNTIF($D$2:D631,D631)*10^3+ROW(A630))</f>
        <v/>
      </c>
      <c r="B631">
        <f>IFERROR(LEFT(发货清单!H631,SEARCH("-",发货清单!H631)-1),发货清单!H631)</f>
        <v>0</v>
      </c>
      <c r="C631" t="str">
        <f>IFERROR(VLOOKUP(发货清单!A631,数据库!A:D,4,0),"")</f>
        <v/>
      </c>
      <c r="D631" t="str">
        <f>IFERROR(VLOOKUP(发货清单!A631,数据库!A:C,3,0),"")</f>
        <v/>
      </c>
      <c r="E631">
        <f>发货清单!M631</f>
        <v>0</v>
      </c>
      <c r="F631">
        <f>发货清单!U631</f>
        <v>0</v>
      </c>
      <c r="G631" t="str">
        <f>IFERROR(VLOOKUP(发货清单!A631,数据库!A:B,2,0),"")</f>
        <v/>
      </c>
      <c r="H631">
        <f>发货清单!N631</f>
        <v>0</v>
      </c>
      <c r="I631" t="str">
        <f t="shared" si="81"/>
        <v/>
      </c>
      <c r="J631" t="str">
        <f t="shared" si="82"/>
        <v xml:space="preserve"> </v>
      </c>
      <c r="K631" t="str">
        <f t="shared" si="83"/>
        <v/>
      </c>
      <c r="L631" t="str">
        <f t="shared" si="84"/>
        <v/>
      </c>
      <c r="N631" s="245">
        <f t="shared" si="85"/>
        <v>0</v>
      </c>
      <c r="O631" s="245">
        <f t="shared" si="86"/>
        <v>0</v>
      </c>
      <c r="P631" t="str">
        <f t="shared" si="87"/>
        <v/>
      </c>
      <c r="Q631" t="str">
        <f>IFERROR(VLOOKUP(P631,数据库!C:M,11,0),"")</f>
        <v/>
      </c>
      <c r="R631" t="str">
        <f t="shared" si="88"/>
        <v/>
      </c>
      <c r="S631">
        <f t="shared" si="89"/>
        <v>0</v>
      </c>
    </row>
    <row r="632" spans="1:19">
      <c r="A632" t="str">
        <f>IF(B632=0,"",发货清单!A632*10^6+COUNTIF($D$2:D632,D632)*10^3+ROW(A631))</f>
        <v/>
      </c>
      <c r="B632">
        <f>IFERROR(LEFT(发货清单!H632,SEARCH("-",发货清单!H632)-1),发货清单!H632)</f>
        <v>0</v>
      </c>
      <c r="C632" t="str">
        <f>IFERROR(VLOOKUP(发货清单!A632,数据库!A:D,4,0),"")</f>
        <v/>
      </c>
      <c r="D632" t="str">
        <f>IFERROR(VLOOKUP(发货清单!A632,数据库!A:C,3,0),"")</f>
        <v/>
      </c>
      <c r="E632">
        <f>发货清单!M632</f>
        <v>0</v>
      </c>
      <c r="F632">
        <f>发货清单!U632</f>
        <v>0</v>
      </c>
      <c r="G632" t="str">
        <f>IFERROR(VLOOKUP(发货清单!A632,数据库!A:B,2,0),"")</f>
        <v/>
      </c>
      <c r="H632">
        <f>发货清单!N632</f>
        <v>0</v>
      </c>
      <c r="I632" t="str">
        <f t="shared" si="81"/>
        <v/>
      </c>
      <c r="J632" t="str">
        <f t="shared" si="82"/>
        <v xml:space="preserve"> </v>
      </c>
      <c r="K632" t="str">
        <f t="shared" si="83"/>
        <v/>
      </c>
      <c r="L632" t="str">
        <f t="shared" si="84"/>
        <v/>
      </c>
      <c r="N632" s="245">
        <f t="shared" si="85"/>
        <v>0</v>
      </c>
      <c r="O632" s="245">
        <f t="shared" si="86"/>
        <v>0</v>
      </c>
      <c r="P632" t="str">
        <f t="shared" si="87"/>
        <v/>
      </c>
      <c r="Q632" t="str">
        <f>IFERROR(VLOOKUP(P632,数据库!C:M,11,0),"")</f>
        <v/>
      </c>
      <c r="R632" t="str">
        <f t="shared" si="88"/>
        <v/>
      </c>
      <c r="S632">
        <f t="shared" si="89"/>
        <v>0</v>
      </c>
    </row>
    <row r="633" spans="1:19">
      <c r="A633" t="str">
        <f>IF(B633=0,"",发货清单!A633*10^6+COUNTIF($D$2:D633,D633)*10^3+ROW(A632))</f>
        <v/>
      </c>
      <c r="B633">
        <f>IFERROR(LEFT(发货清单!H633,SEARCH("-",发货清单!H633)-1),发货清单!H633)</f>
        <v>0</v>
      </c>
      <c r="C633" t="str">
        <f>IFERROR(VLOOKUP(发货清单!A633,数据库!A:D,4,0),"")</f>
        <v/>
      </c>
      <c r="D633" t="str">
        <f>IFERROR(VLOOKUP(发货清单!A633,数据库!A:C,3,0),"")</f>
        <v/>
      </c>
      <c r="E633">
        <f>发货清单!M633</f>
        <v>0</v>
      </c>
      <c r="F633">
        <f>发货清单!U633</f>
        <v>0</v>
      </c>
      <c r="G633" t="str">
        <f>IFERROR(VLOOKUP(发货清单!A633,数据库!A:B,2,0),"")</f>
        <v/>
      </c>
      <c r="H633">
        <f>发货清单!N633</f>
        <v>0</v>
      </c>
      <c r="I633" t="str">
        <f t="shared" si="81"/>
        <v/>
      </c>
      <c r="J633" t="str">
        <f t="shared" si="82"/>
        <v xml:space="preserve"> </v>
      </c>
      <c r="K633" t="str">
        <f t="shared" si="83"/>
        <v/>
      </c>
      <c r="L633" t="str">
        <f t="shared" si="84"/>
        <v/>
      </c>
      <c r="N633" s="245">
        <f t="shared" si="85"/>
        <v>0</v>
      </c>
      <c r="O633" s="245">
        <f t="shared" si="86"/>
        <v>0</v>
      </c>
      <c r="P633" t="str">
        <f t="shared" si="87"/>
        <v/>
      </c>
      <c r="Q633" t="str">
        <f>IFERROR(VLOOKUP(P633,数据库!C:M,11,0),"")</f>
        <v/>
      </c>
      <c r="R633" t="str">
        <f t="shared" si="88"/>
        <v/>
      </c>
      <c r="S633">
        <f t="shared" si="89"/>
        <v>0</v>
      </c>
    </row>
    <row r="634" spans="1:19">
      <c r="A634" t="str">
        <f>IF(B634=0,"",发货清单!A634*10^6+COUNTIF($D$2:D634,D634)*10^3+ROW(A633))</f>
        <v/>
      </c>
      <c r="B634">
        <f>IFERROR(LEFT(发货清单!H634,SEARCH("-",发货清单!H634)-1),发货清单!H634)</f>
        <v>0</v>
      </c>
      <c r="C634" t="str">
        <f>IFERROR(VLOOKUP(发货清单!A634,数据库!A:D,4,0),"")</f>
        <v/>
      </c>
      <c r="D634" t="str">
        <f>IFERROR(VLOOKUP(发货清单!A634,数据库!A:C,3,0),"")</f>
        <v/>
      </c>
      <c r="E634">
        <f>发货清单!M634</f>
        <v>0</v>
      </c>
      <c r="F634">
        <f>发货清单!U634</f>
        <v>0</v>
      </c>
      <c r="G634" t="str">
        <f>IFERROR(VLOOKUP(发货清单!A634,数据库!A:B,2,0),"")</f>
        <v/>
      </c>
      <c r="H634">
        <f>发货清单!N634</f>
        <v>0</v>
      </c>
      <c r="I634" t="str">
        <f t="shared" si="81"/>
        <v/>
      </c>
      <c r="J634" t="str">
        <f t="shared" si="82"/>
        <v xml:space="preserve"> </v>
      </c>
      <c r="K634" t="str">
        <f t="shared" si="83"/>
        <v/>
      </c>
      <c r="L634" t="str">
        <f t="shared" si="84"/>
        <v/>
      </c>
      <c r="N634" s="245">
        <f t="shared" si="85"/>
        <v>0</v>
      </c>
      <c r="O634" s="245">
        <f t="shared" si="86"/>
        <v>0</v>
      </c>
      <c r="P634" t="str">
        <f t="shared" si="87"/>
        <v/>
      </c>
      <c r="Q634" t="str">
        <f>IFERROR(VLOOKUP(P634,数据库!C:M,11,0),"")</f>
        <v/>
      </c>
      <c r="R634" t="str">
        <f t="shared" si="88"/>
        <v/>
      </c>
      <c r="S634">
        <f t="shared" si="89"/>
        <v>0</v>
      </c>
    </row>
    <row r="635" spans="1:19">
      <c r="A635" t="str">
        <f>IF(B635=0,"",发货清单!A635*10^6+COUNTIF($D$2:D635,D635)*10^3+ROW(A634))</f>
        <v/>
      </c>
      <c r="B635">
        <f>IFERROR(LEFT(发货清单!H635,SEARCH("-",发货清单!H635)-1),发货清单!H635)</f>
        <v>0</v>
      </c>
      <c r="C635" t="str">
        <f>IFERROR(VLOOKUP(发货清单!A635,数据库!A:D,4,0),"")</f>
        <v/>
      </c>
      <c r="D635" t="str">
        <f>IFERROR(VLOOKUP(发货清单!A635,数据库!A:C,3,0),"")</f>
        <v/>
      </c>
      <c r="E635">
        <f>发货清单!M635</f>
        <v>0</v>
      </c>
      <c r="F635">
        <f>发货清单!U635</f>
        <v>0</v>
      </c>
      <c r="G635" t="str">
        <f>IFERROR(VLOOKUP(发货清单!A635,数据库!A:B,2,0),"")</f>
        <v/>
      </c>
      <c r="H635">
        <f>发货清单!N635</f>
        <v>0</v>
      </c>
      <c r="I635" t="str">
        <f t="shared" si="81"/>
        <v/>
      </c>
      <c r="J635" t="str">
        <f t="shared" si="82"/>
        <v xml:space="preserve"> </v>
      </c>
      <c r="K635" t="str">
        <f t="shared" si="83"/>
        <v/>
      </c>
      <c r="L635" t="str">
        <f t="shared" si="84"/>
        <v/>
      </c>
      <c r="N635" s="245">
        <f t="shared" si="85"/>
        <v>0</v>
      </c>
      <c r="O635" s="245">
        <f t="shared" si="86"/>
        <v>0</v>
      </c>
      <c r="P635" t="str">
        <f t="shared" si="87"/>
        <v/>
      </c>
      <c r="Q635" t="str">
        <f>IFERROR(VLOOKUP(P635,数据库!C:M,11,0),"")</f>
        <v/>
      </c>
      <c r="R635" t="str">
        <f t="shared" si="88"/>
        <v/>
      </c>
      <c r="S635">
        <f t="shared" si="89"/>
        <v>0</v>
      </c>
    </row>
    <row r="636" spans="1:19">
      <c r="A636" t="str">
        <f>IF(B636=0,"",发货清单!A636*10^6+COUNTIF($D$2:D636,D636)*10^3+ROW(A635))</f>
        <v/>
      </c>
      <c r="B636">
        <f>IFERROR(LEFT(发货清单!H636,SEARCH("-",发货清单!H636)-1),发货清单!H636)</f>
        <v>0</v>
      </c>
      <c r="C636" t="str">
        <f>IFERROR(VLOOKUP(发货清单!A636,数据库!A:D,4,0),"")</f>
        <v/>
      </c>
      <c r="D636" t="str">
        <f>IFERROR(VLOOKUP(发货清单!A636,数据库!A:C,3,0),"")</f>
        <v/>
      </c>
      <c r="E636">
        <f>发货清单!M636</f>
        <v>0</v>
      </c>
      <c r="F636">
        <f>发货清单!U636</f>
        <v>0</v>
      </c>
      <c r="G636" t="str">
        <f>IFERROR(VLOOKUP(发货清单!A636,数据库!A:B,2,0),"")</f>
        <v/>
      </c>
      <c r="H636">
        <f>发货清单!N636</f>
        <v>0</v>
      </c>
      <c r="I636" t="str">
        <f t="shared" si="81"/>
        <v/>
      </c>
      <c r="J636" t="str">
        <f t="shared" si="82"/>
        <v xml:space="preserve"> </v>
      </c>
      <c r="K636" t="str">
        <f t="shared" si="83"/>
        <v/>
      </c>
      <c r="L636" t="str">
        <f t="shared" si="84"/>
        <v/>
      </c>
      <c r="N636" s="245">
        <f t="shared" si="85"/>
        <v>0</v>
      </c>
      <c r="O636" s="245">
        <f t="shared" si="86"/>
        <v>0</v>
      </c>
      <c r="P636" t="str">
        <f t="shared" si="87"/>
        <v/>
      </c>
      <c r="Q636" t="str">
        <f>IFERROR(VLOOKUP(P636,数据库!C:M,11,0),"")</f>
        <v/>
      </c>
      <c r="R636" t="str">
        <f t="shared" si="88"/>
        <v/>
      </c>
      <c r="S636">
        <f t="shared" si="89"/>
        <v>0</v>
      </c>
    </row>
    <row r="637" spans="1:19">
      <c r="A637" t="str">
        <f>IF(B637=0,"",发货清单!A637*10^6+COUNTIF($D$2:D637,D637)*10^3+ROW(A636))</f>
        <v/>
      </c>
      <c r="B637">
        <f>IFERROR(LEFT(发货清单!H637,SEARCH("-",发货清单!H637)-1),发货清单!H637)</f>
        <v>0</v>
      </c>
      <c r="C637" t="str">
        <f>IFERROR(VLOOKUP(发货清单!A637,数据库!A:D,4,0),"")</f>
        <v/>
      </c>
      <c r="D637" t="str">
        <f>IFERROR(VLOOKUP(发货清单!A637,数据库!A:C,3,0),"")</f>
        <v/>
      </c>
      <c r="E637">
        <f>发货清单!M637</f>
        <v>0</v>
      </c>
      <c r="F637">
        <f>发货清单!U637</f>
        <v>0</v>
      </c>
      <c r="G637" t="str">
        <f>IFERROR(VLOOKUP(发货清单!A637,数据库!A:B,2,0),"")</f>
        <v/>
      </c>
      <c r="H637">
        <f>发货清单!N637</f>
        <v>0</v>
      </c>
      <c r="I637" t="str">
        <f t="shared" si="81"/>
        <v/>
      </c>
      <c r="J637" t="str">
        <f t="shared" si="82"/>
        <v xml:space="preserve"> </v>
      </c>
      <c r="K637" t="str">
        <f t="shared" si="83"/>
        <v/>
      </c>
      <c r="L637" t="str">
        <f t="shared" si="84"/>
        <v/>
      </c>
      <c r="N637" s="245">
        <f t="shared" si="85"/>
        <v>0</v>
      </c>
      <c r="O637" s="245">
        <f t="shared" si="86"/>
        <v>0</v>
      </c>
      <c r="P637" t="str">
        <f t="shared" si="87"/>
        <v/>
      </c>
      <c r="Q637" t="str">
        <f>IFERROR(VLOOKUP(P637,数据库!C:M,11,0),"")</f>
        <v/>
      </c>
      <c r="R637" t="str">
        <f t="shared" si="88"/>
        <v/>
      </c>
      <c r="S637">
        <f t="shared" si="89"/>
        <v>0</v>
      </c>
    </row>
    <row r="638" spans="1:19">
      <c r="A638" t="str">
        <f>IF(B638=0,"",发货清单!A638*10^6+COUNTIF($D$2:D638,D638)*10^3+ROW(A637))</f>
        <v/>
      </c>
      <c r="B638">
        <f>IFERROR(LEFT(发货清单!H638,SEARCH("-",发货清单!H638)-1),发货清单!H638)</f>
        <v>0</v>
      </c>
      <c r="C638" t="str">
        <f>IFERROR(VLOOKUP(发货清单!A638,数据库!A:D,4,0),"")</f>
        <v/>
      </c>
      <c r="D638" t="str">
        <f>IFERROR(VLOOKUP(发货清单!A638,数据库!A:C,3,0),"")</f>
        <v/>
      </c>
      <c r="E638">
        <f>发货清单!M638</f>
        <v>0</v>
      </c>
      <c r="F638">
        <f>发货清单!U638</f>
        <v>0</v>
      </c>
      <c r="G638" t="str">
        <f>IFERROR(VLOOKUP(发货清单!A638,数据库!A:B,2,0),"")</f>
        <v/>
      </c>
      <c r="H638">
        <f>发货清单!N638</f>
        <v>0</v>
      </c>
      <c r="I638" t="str">
        <f t="shared" si="81"/>
        <v/>
      </c>
      <c r="J638" t="str">
        <f t="shared" si="82"/>
        <v xml:space="preserve"> </v>
      </c>
      <c r="K638" t="str">
        <f t="shared" si="83"/>
        <v/>
      </c>
      <c r="L638" t="str">
        <f t="shared" si="84"/>
        <v/>
      </c>
      <c r="N638" s="245">
        <f t="shared" si="85"/>
        <v>0</v>
      </c>
      <c r="O638" s="245">
        <f t="shared" si="86"/>
        <v>0</v>
      </c>
      <c r="P638" t="str">
        <f t="shared" si="87"/>
        <v/>
      </c>
      <c r="Q638" t="str">
        <f>IFERROR(VLOOKUP(P638,数据库!C:M,11,0),"")</f>
        <v/>
      </c>
      <c r="R638" t="str">
        <f t="shared" si="88"/>
        <v/>
      </c>
      <c r="S638">
        <f t="shared" si="89"/>
        <v>0</v>
      </c>
    </row>
    <row r="639" spans="1:19">
      <c r="A639" t="str">
        <f>IF(B639=0,"",发货清单!A639*10^6+COUNTIF($D$2:D639,D639)*10^3+ROW(A638))</f>
        <v/>
      </c>
      <c r="B639">
        <f>IFERROR(LEFT(发货清单!H639,SEARCH("-",发货清单!H639)-1),发货清单!H639)</f>
        <v>0</v>
      </c>
      <c r="C639" t="str">
        <f>IFERROR(VLOOKUP(发货清单!A639,数据库!A:D,4,0),"")</f>
        <v/>
      </c>
      <c r="D639" t="str">
        <f>IFERROR(VLOOKUP(发货清单!A639,数据库!A:C,3,0),"")</f>
        <v/>
      </c>
      <c r="E639">
        <f>发货清单!M639</f>
        <v>0</v>
      </c>
      <c r="F639">
        <f>发货清单!U639</f>
        <v>0</v>
      </c>
      <c r="G639" t="str">
        <f>IFERROR(VLOOKUP(发货清单!A639,数据库!A:B,2,0),"")</f>
        <v/>
      </c>
      <c r="H639">
        <f>发货清单!N639</f>
        <v>0</v>
      </c>
      <c r="I639" t="str">
        <f t="shared" si="81"/>
        <v/>
      </c>
      <c r="J639" t="str">
        <f t="shared" si="82"/>
        <v xml:space="preserve"> </v>
      </c>
      <c r="K639" t="str">
        <f t="shared" si="83"/>
        <v/>
      </c>
      <c r="L639" t="str">
        <f t="shared" si="84"/>
        <v/>
      </c>
      <c r="N639" s="245">
        <f t="shared" si="85"/>
        <v>0</v>
      </c>
      <c r="O639" s="245">
        <f t="shared" si="86"/>
        <v>0</v>
      </c>
      <c r="P639" t="str">
        <f t="shared" si="87"/>
        <v/>
      </c>
      <c r="Q639" t="str">
        <f>IFERROR(VLOOKUP(P639,数据库!C:M,11,0),"")</f>
        <v/>
      </c>
      <c r="R639" t="str">
        <f t="shared" si="88"/>
        <v/>
      </c>
      <c r="S639">
        <f t="shared" si="89"/>
        <v>0</v>
      </c>
    </row>
    <row r="640" spans="1:19">
      <c r="A640" t="str">
        <f>IF(B640=0,"",发货清单!A640*10^6+COUNTIF($D$2:D640,D640)*10^3+ROW(A639))</f>
        <v/>
      </c>
      <c r="B640">
        <f>IFERROR(LEFT(发货清单!H640,SEARCH("-",发货清单!H640)-1),发货清单!H640)</f>
        <v>0</v>
      </c>
      <c r="C640" t="str">
        <f>IFERROR(VLOOKUP(发货清单!A640,数据库!A:D,4,0),"")</f>
        <v/>
      </c>
      <c r="D640" t="str">
        <f>IFERROR(VLOOKUP(发货清单!A640,数据库!A:C,3,0),"")</f>
        <v/>
      </c>
      <c r="E640">
        <f>发货清单!M640</f>
        <v>0</v>
      </c>
      <c r="F640">
        <f>发货清单!U640</f>
        <v>0</v>
      </c>
      <c r="G640" t="str">
        <f>IFERROR(VLOOKUP(发货清单!A640,数据库!A:B,2,0),"")</f>
        <v/>
      </c>
      <c r="H640">
        <f>发货清单!N640</f>
        <v>0</v>
      </c>
      <c r="I640" t="str">
        <f t="shared" si="81"/>
        <v/>
      </c>
      <c r="J640" t="str">
        <f t="shared" si="82"/>
        <v xml:space="preserve"> </v>
      </c>
      <c r="K640" t="str">
        <f t="shared" si="83"/>
        <v/>
      </c>
      <c r="L640" t="str">
        <f t="shared" si="84"/>
        <v/>
      </c>
      <c r="N640" s="245">
        <f t="shared" si="85"/>
        <v>0</v>
      </c>
      <c r="O640" s="245">
        <f t="shared" si="86"/>
        <v>0</v>
      </c>
      <c r="P640" t="str">
        <f t="shared" si="87"/>
        <v/>
      </c>
      <c r="Q640" t="str">
        <f>IFERROR(VLOOKUP(P640,数据库!C:M,11,0),"")</f>
        <v/>
      </c>
      <c r="R640" t="str">
        <f t="shared" si="88"/>
        <v/>
      </c>
      <c r="S640">
        <f t="shared" si="89"/>
        <v>0</v>
      </c>
    </row>
    <row r="641" spans="1:19">
      <c r="A641" t="str">
        <f>IF(B641=0,"",发货清单!A641*10^6+COUNTIF($D$2:D641,D641)*10^3+ROW(A640))</f>
        <v/>
      </c>
      <c r="B641">
        <f>IFERROR(LEFT(发货清单!H641,SEARCH("-",发货清单!H641)-1),发货清单!H641)</f>
        <v>0</v>
      </c>
      <c r="C641" t="str">
        <f>IFERROR(VLOOKUP(发货清单!A641,数据库!A:D,4,0),"")</f>
        <v/>
      </c>
      <c r="D641" t="str">
        <f>IFERROR(VLOOKUP(发货清单!A641,数据库!A:C,3,0),"")</f>
        <v/>
      </c>
      <c r="E641">
        <f>发货清单!M641</f>
        <v>0</v>
      </c>
      <c r="F641">
        <f>发货清单!U641</f>
        <v>0</v>
      </c>
      <c r="G641" t="str">
        <f>IFERROR(VLOOKUP(发货清单!A641,数据库!A:B,2,0),"")</f>
        <v/>
      </c>
      <c r="H641">
        <f>发货清单!N641</f>
        <v>0</v>
      </c>
      <c r="I641" t="str">
        <f t="shared" si="81"/>
        <v/>
      </c>
      <c r="J641" t="str">
        <f t="shared" si="82"/>
        <v xml:space="preserve"> </v>
      </c>
      <c r="K641" t="str">
        <f t="shared" si="83"/>
        <v/>
      </c>
      <c r="L641" t="str">
        <f t="shared" si="84"/>
        <v/>
      </c>
      <c r="N641" s="245">
        <f t="shared" si="85"/>
        <v>0</v>
      </c>
      <c r="O641" s="245">
        <f t="shared" si="86"/>
        <v>0</v>
      </c>
      <c r="P641" t="str">
        <f t="shared" si="87"/>
        <v/>
      </c>
      <c r="Q641" t="str">
        <f>IFERROR(VLOOKUP(P641,数据库!C:M,11,0),"")</f>
        <v/>
      </c>
      <c r="R641" t="str">
        <f t="shared" si="88"/>
        <v/>
      </c>
      <c r="S641">
        <f t="shared" si="89"/>
        <v>0</v>
      </c>
    </row>
    <row r="642" spans="1:19">
      <c r="A642" t="str">
        <f>IF(B642=0,"",发货清单!A642*10^6+COUNTIF($D$2:D642,D642)*10^3+ROW(A641))</f>
        <v/>
      </c>
      <c r="B642">
        <f>IFERROR(LEFT(发货清单!H642,SEARCH("-",发货清单!H642)-1),发货清单!H642)</f>
        <v>0</v>
      </c>
      <c r="C642" t="str">
        <f>IFERROR(VLOOKUP(发货清单!A642,数据库!A:D,4,0),"")</f>
        <v/>
      </c>
      <c r="D642" t="str">
        <f>IFERROR(VLOOKUP(发货清单!A642,数据库!A:C,3,0),"")</f>
        <v/>
      </c>
      <c r="E642">
        <f>发货清单!M642</f>
        <v>0</v>
      </c>
      <c r="F642">
        <f>发货清单!U642</f>
        <v>0</v>
      </c>
      <c r="G642" t="str">
        <f>IFERROR(VLOOKUP(发货清单!A642,数据库!A:B,2,0),"")</f>
        <v/>
      </c>
      <c r="H642">
        <f>发货清单!N642</f>
        <v>0</v>
      </c>
      <c r="I642" t="str">
        <f t="shared" si="81"/>
        <v/>
      </c>
      <c r="J642" t="str">
        <f t="shared" si="82"/>
        <v xml:space="preserve"> </v>
      </c>
      <c r="K642" t="str">
        <f t="shared" si="83"/>
        <v/>
      </c>
      <c r="L642" t="str">
        <f t="shared" si="84"/>
        <v/>
      </c>
      <c r="N642" s="245">
        <f t="shared" si="85"/>
        <v>0</v>
      </c>
      <c r="O642" s="245">
        <f t="shared" si="86"/>
        <v>0</v>
      </c>
      <c r="P642" t="str">
        <f t="shared" si="87"/>
        <v/>
      </c>
      <c r="Q642" t="str">
        <f>IFERROR(VLOOKUP(P642,数据库!C:M,11,0),"")</f>
        <v/>
      </c>
      <c r="R642" t="str">
        <f t="shared" si="88"/>
        <v/>
      </c>
      <c r="S642">
        <f t="shared" si="89"/>
        <v>0</v>
      </c>
    </row>
    <row r="643" spans="1:19">
      <c r="A643" t="str">
        <f>IF(B643=0,"",发货清单!A643*10^6+COUNTIF($D$2:D643,D643)*10^3+ROW(A642))</f>
        <v/>
      </c>
      <c r="B643">
        <f>IFERROR(LEFT(发货清单!H643,SEARCH("-",发货清单!H643)-1),发货清单!H643)</f>
        <v>0</v>
      </c>
      <c r="C643" t="str">
        <f>IFERROR(VLOOKUP(发货清单!A643,数据库!A:D,4,0),"")</f>
        <v/>
      </c>
      <c r="D643" t="str">
        <f>IFERROR(VLOOKUP(发货清单!A643,数据库!A:C,3,0),"")</f>
        <v/>
      </c>
      <c r="E643">
        <f>发货清单!M643</f>
        <v>0</v>
      </c>
      <c r="F643">
        <f>发货清单!U643</f>
        <v>0</v>
      </c>
      <c r="G643" t="str">
        <f>IFERROR(VLOOKUP(发货清单!A643,数据库!A:B,2,0),"")</f>
        <v/>
      </c>
      <c r="H643">
        <f>发货清单!N643</f>
        <v>0</v>
      </c>
      <c r="I643" t="str">
        <f t="shared" ref="I643:I706" si="90">IFERROR(SMALL(A:A,ROW(A642)),"")</f>
        <v/>
      </c>
      <c r="J643" t="str">
        <f t="shared" ref="J643:J706" si="91">IFERROR(IF(RIGHT(I643,6)-2000&gt;0," ",I643)," ")</f>
        <v xml:space="preserve"> </v>
      </c>
      <c r="K643" t="str">
        <f t="shared" ref="K643:K706" si="92">IFERROR(SMALL(J:J,ROW(A642)),"")</f>
        <v/>
      </c>
      <c r="L643" t="str">
        <f t="shared" ref="L643:L706" si="93">IFERROR(VLOOKUP(K643,A:G,7,0)," ")</f>
        <v/>
      </c>
      <c r="N643" s="245">
        <f t="shared" ref="N643:N706" si="94">IF(P643=" ",0,SUMIF(D:D,P643,E:E))</f>
        <v>0</v>
      </c>
      <c r="O643" s="245">
        <f t="shared" ref="O643:O706" si="95">SUMIF(D:D,P643,F:F)</f>
        <v>0</v>
      </c>
      <c r="P643" t="str">
        <f t="shared" ref="P643:P706" si="96">IFERROR(VLOOKUP(K643,A:D,4,0)," ")</f>
        <v/>
      </c>
      <c r="Q643" t="str">
        <f>IFERROR(VLOOKUP(P643,数据库!C:M,11,0),"")</f>
        <v/>
      </c>
      <c r="R643" t="str">
        <f t="shared" ref="R643:R706" si="97">IFERROR(VLOOKUP(K643,A:C,3,0)," ")</f>
        <v/>
      </c>
      <c r="S643">
        <f t="shared" ref="S643:S706" si="98">IFERROR(VLOOKUP(K643,A:H,8,0)," ")</f>
        <v>0</v>
      </c>
    </row>
    <row r="644" spans="1:19">
      <c r="A644" t="str">
        <f>IF(B644=0,"",发货清单!A644*10^6+COUNTIF($D$2:D644,D644)*10^3+ROW(A643))</f>
        <v/>
      </c>
      <c r="B644">
        <f>IFERROR(LEFT(发货清单!H644,SEARCH("-",发货清单!H644)-1),发货清单!H644)</f>
        <v>0</v>
      </c>
      <c r="C644" t="str">
        <f>IFERROR(VLOOKUP(发货清单!A644,数据库!A:D,4,0),"")</f>
        <v/>
      </c>
      <c r="D644" t="str">
        <f>IFERROR(VLOOKUP(发货清单!A644,数据库!A:C,3,0),"")</f>
        <v/>
      </c>
      <c r="E644">
        <f>发货清单!M644</f>
        <v>0</v>
      </c>
      <c r="F644">
        <f>发货清单!U644</f>
        <v>0</v>
      </c>
      <c r="G644" t="str">
        <f>IFERROR(VLOOKUP(发货清单!A644,数据库!A:B,2,0),"")</f>
        <v/>
      </c>
      <c r="H644">
        <f>发货清单!N644</f>
        <v>0</v>
      </c>
      <c r="I644" t="str">
        <f t="shared" si="90"/>
        <v/>
      </c>
      <c r="J644" t="str">
        <f t="shared" si="91"/>
        <v xml:space="preserve"> </v>
      </c>
      <c r="K644" t="str">
        <f t="shared" si="92"/>
        <v/>
      </c>
      <c r="L644" t="str">
        <f t="shared" si="93"/>
        <v/>
      </c>
      <c r="N644" s="245">
        <f t="shared" si="94"/>
        <v>0</v>
      </c>
      <c r="O644" s="245">
        <f t="shared" si="95"/>
        <v>0</v>
      </c>
      <c r="P644" t="str">
        <f t="shared" si="96"/>
        <v/>
      </c>
      <c r="Q644" t="str">
        <f>IFERROR(VLOOKUP(P644,数据库!C:M,11,0),"")</f>
        <v/>
      </c>
      <c r="R644" t="str">
        <f t="shared" si="97"/>
        <v/>
      </c>
      <c r="S644">
        <f t="shared" si="98"/>
        <v>0</v>
      </c>
    </row>
    <row r="645" spans="1:19">
      <c r="A645" t="str">
        <f>IF(B645=0,"",发货清单!A645*10^6+COUNTIF($D$2:D645,D645)*10^3+ROW(A644))</f>
        <v/>
      </c>
      <c r="B645">
        <f>IFERROR(LEFT(发货清单!H645,SEARCH("-",发货清单!H645)-1),发货清单!H645)</f>
        <v>0</v>
      </c>
      <c r="C645" t="str">
        <f>IFERROR(VLOOKUP(发货清单!A645,数据库!A:D,4,0),"")</f>
        <v/>
      </c>
      <c r="D645" t="str">
        <f>IFERROR(VLOOKUP(发货清单!A645,数据库!A:C,3,0),"")</f>
        <v/>
      </c>
      <c r="E645">
        <f>发货清单!M645</f>
        <v>0</v>
      </c>
      <c r="F645">
        <f>发货清单!U645</f>
        <v>0</v>
      </c>
      <c r="G645" t="str">
        <f>IFERROR(VLOOKUP(发货清单!A645,数据库!A:B,2,0),"")</f>
        <v/>
      </c>
      <c r="H645">
        <f>发货清单!N645</f>
        <v>0</v>
      </c>
      <c r="I645" t="str">
        <f t="shared" si="90"/>
        <v/>
      </c>
      <c r="J645" t="str">
        <f t="shared" si="91"/>
        <v xml:space="preserve"> </v>
      </c>
      <c r="K645" t="str">
        <f t="shared" si="92"/>
        <v/>
      </c>
      <c r="L645" t="str">
        <f t="shared" si="93"/>
        <v/>
      </c>
      <c r="N645" s="245">
        <f t="shared" si="94"/>
        <v>0</v>
      </c>
      <c r="O645" s="245">
        <f t="shared" si="95"/>
        <v>0</v>
      </c>
      <c r="P645" t="str">
        <f t="shared" si="96"/>
        <v/>
      </c>
      <c r="Q645" t="str">
        <f>IFERROR(VLOOKUP(P645,数据库!C:M,11,0),"")</f>
        <v/>
      </c>
      <c r="R645" t="str">
        <f t="shared" si="97"/>
        <v/>
      </c>
      <c r="S645">
        <f t="shared" si="98"/>
        <v>0</v>
      </c>
    </row>
    <row r="646" spans="1:19">
      <c r="A646" t="str">
        <f>IF(B646=0,"",发货清单!A646*10^6+COUNTIF($D$2:D646,D646)*10^3+ROW(A645))</f>
        <v/>
      </c>
      <c r="B646">
        <f>IFERROR(LEFT(发货清单!H646,SEARCH("-",发货清单!H646)-1),发货清单!H646)</f>
        <v>0</v>
      </c>
      <c r="C646" t="str">
        <f>IFERROR(VLOOKUP(发货清单!A646,数据库!A:D,4,0),"")</f>
        <v/>
      </c>
      <c r="D646" t="str">
        <f>IFERROR(VLOOKUP(发货清单!A646,数据库!A:C,3,0),"")</f>
        <v/>
      </c>
      <c r="E646">
        <f>发货清单!M646</f>
        <v>0</v>
      </c>
      <c r="F646">
        <f>发货清单!U646</f>
        <v>0</v>
      </c>
      <c r="G646" t="str">
        <f>IFERROR(VLOOKUP(发货清单!A646,数据库!A:B,2,0),"")</f>
        <v/>
      </c>
      <c r="H646">
        <f>发货清单!N646</f>
        <v>0</v>
      </c>
      <c r="I646" t="str">
        <f t="shared" si="90"/>
        <v/>
      </c>
      <c r="J646" t="str">
        <f t="shared" si="91"/>
        <v xml:space="preserve"> </v>
      </c>
      <c r="K646" t="str">
        <f t="shared" si="92"/>
        <v/>
      </c>
      <c r="L646" t="str">
        <f t="shared" si="93"/>
        <v/>
      </c>
      <c r="N646" s="245">
        <f t="shared" si="94"/>
        <v>0</v>
      </c>
      <c r="O646" s="245">
        <f t="shared" si="95"/>
        <v>0</v>
      </c>
      <c r="P646" t="str">
        <f t="shared" si="96"/>
        <v/>
      </c>
      <c r="Q646" t="str">
        <f>IFERROR(VLOOKUP(P646,数据库!C:M,11,0),"")</f>
        <v/>
      </c>
      <c r="R646" t="str">
        <f t="shared" si="97"/>
        <v/>
      </c>
      <c r="S646">
        <f t="shared" si="98"/>
        <v>0</v>
      </c>
    </row>
    <row r="647" spans="1:19">
      <c r="A647" t="str">
        <f>IF(B647=0,"",发货清单!A647*10^6+COUNTIF($D$2:D647,D647)*10^3+ROW(A646))</f>
        <v/>
      </c>
      <c r="B647">
        <f>IFERROR(LEFT(发货清单!H647,SEARCH("-",发货清单!H647)-1),发货清单!H647)</f>
        <v>0</v>
      </c>
      <c r="C647" t="str">
        <f>IFERROR(VLOOKUP(发货清单!A647,数据库!A:D,4,0),"")</f>
        <v/>
      </c>
      <c r="D647" t="str">
        <f>IFERROR(VLOOKUP(发货清单!A647,数据库!A:C,3,0),"")</f>
        <v/>
      </c>
      <c r="E647">
        <f>发货清单!M647</f>
        <v>0</v>
      </c>
      <c r="F647">
        <f>发货清单!U647</f>
        <v>0</v>
      </c>
      <c r="G647" t="str">
        <f>IFERROR(VLOOKUP(发货清单!A647,数据库!A:B,2,0),"")</f>
        <v/>
      </c>
      <c r="H647">
        <f>发货清单!N647</f>
        <v>0</v>
      </c>
      <c r="I647" t="str">
        <f t="shared" si="90"/>
        <v/>
      </c>
      <c r="J647" t="str">
        <f t="shared" si="91"/>
        <v xml:space="preserve"> </v>
      </c>
      <c r="K647" t="str">
        <f t="shared" si="92"/>
        <v/>
      </c>
      <c r="L647" t="str">
        <f t="shared" si="93"/>
        <v/>
      </c>
      <c r="N647" s="245">
        <f t="shared" si="94"/>
        <v>0</v>
      </c>
      <c r="O647" s="245">
        <f t="shared" si="95"/>
        <v>0</v>
      </c>
      <c r="P647" t="str">
        <f t="shared" si="96"/>
        <v/>
      </c>
      <c r="Q647" t="str">
        <f>IFERROR(VLOOKUP(P647,数据库!C:M,11,0),"")</f>
        <v/>
      </c>
      <c r="R647" t="str">
        <f t="shared" si="97"/>
        <v/>
      </c>
      <c r="S647">
        <f t="shared" si="98"/>
        <v>0</v>
      </c>
    </row>
    <row r="648" spans="1:19">
      <c r="A648" t="str">
        <f>IF(B648=0,"",发货清单!A648*10^6+COUNTIF($D$2:D648,D648)*10^3+ROW(A647))</f>
        <v/>
      </c>
      <c r="B648">
        <f>IFERROR(LEFT(发货清单!H648,SEARCH("-",发货清单!H648)-1),发货清单!H648)</f>
        <v>0</v>
      </c>
      <c r="C648" t="str">
        <f>IFERROR(VLOOKUP(发货清单!A648,数据库!A:D,4,0),"")</f>
        <v/>
      </c>
      <c r="D648" t="str">
        <f>IFERROR(VLOOKUP(发货清单!A648,数据库!A:C,3,0),"")</f>
        <v/>
      </c>
      <c r="E648">
        <f>发货清单!M648</f>
        <v>0</v>
      </c>
      <c r="F648">
        <f>发货清单!U648</f>
        <v>0</v>
      </c>
      <c r="G648" t="str">
        <f>IFERROR(VLOOKUP(发货清单!A648,数据库!A:B,2,0),"")</f>
        <v/>
      </c>
      <c r="H648">
        <f>发货清单!N648</f>
        <v>0</v>
      </c>
      <c r="I648" t="str">
        <f t="shared" si="90"/>
        <v/>
      </c>
      <c r="J648" t="str">
        <f t="shared" si="91"/>
        <v xml:space="preserve"> </v>
      </c>
      <c r="K648" t="str">
        <f t="shared" si="92"/>
        <v/>
      </c>
      <c r="L648" t="str">
        <f t="shared" si="93"/>
        <v/>
      </c>
      <c r="N648" s="245">
        <f t="shared" si="94"/>
        <v>0</v>
      </c>
      <c r="O648" s="245">
        <f t="shared" si="95"/>
        <v>0</v>
      </c>
      <c r="P648" t="str">
        <f t="shared" si="96"/>
        <v/>
      </c>
      <c r="Q648" t="str">
        <f>IFERROR(VLOOKUP(P648,数据库!C:M,11,0),"")</f>
        <v/>
      </c>
      <c r="R648" t="str">
        <f t="shared" si="97"/>
        <v/>
      </c>
      <c r="S648">
        <f t="shared" si="98"/>
        <v>0</v>
      </c>
    </row>
    <row r="649" spans="1:19">
      <c r="A649" t="str">
        <f>IF(B649=0,"",发货清单!A649*10^6+COUNTIF($D$2:D649,D649)*10^3+ROW(A648))</f>
        <v/>
      </c>
      <c r="B649">
        <f>IFERROR(LEFT(发货清单!H649,SEARCH("-",发货清单!H649)-1),发货清单!H649)</f>
        <v>0</v>
      </c>
      <c r="C649" t="str">
        <f>IFERROR(VLOOKUP(发货清单!A649,数据库!A:D,4,0),"")</f>
        <v/>
      </c>
      <c r="D649" t="str">
        <f>IFERROR(VLOOKUP(发货清单!A649,数据库!A:C,3,0),"")</f>
        <v/>
      </c>
      <c r="E649">
        <f>发货清单!M649</f>
        <v>0</v>
      </c>
      <c r="F649">
        <f>发货清单!U649</f>
        <v>0</v>
      </c>
      <c r="G649" t="str">
        <f>IFERROR(VLOOKUP(发货清单!A649,数据库!A:B,2,0),"")</f>
        <v/>
      </c>
      <c r="H649">
        <f>发货清单!N649</f>
        <v>0</v>
      </c>
      <c r="I649" t="str">
        <f t="shared" si="90"/>
        <v/>
      </c>
      <c r="J649" t="str">
        <f t="shared" si="91"/>
        <v xml:space="preserve"> </v>
      </c>
      <c r="K649" t="str">
        <f t="shared" si="92"/>
        <v/>
      </c>
      <c r="L649" t="str">
        <f t="shared" si="93"/>
        <v/>
      </c>
      <c r="N649" s="245">
        <f t="shared" si="94"/>
        <v>0</v>
      </c>
      <c r="O649" s="245">
        <f t="shared" si="95"/>
        <v>0</v>
      </c>
      <c r="P649" t="str">
        <f t="shared" si="96"/>
        <v/>
      </c>
      <c r="Q649" t="str">
        <f>IFERROR(VLOOKUP(P649,数据库!C:M,11,0),"")</f>
        <v/>
      </c>
      <c r="R649" t="str">
        <f t="shared" si="97"/>
        <v/>
      </c>
      <c r="S649">
        <f t="shared" si="98"/>
        <v>0</v>
      </c>
    </row>
    <row r="650" spans="1:19">
      <c r="A650" t="str">
        <f>IF(B650=0,"",发货清单!A650*10^6+COUNTIF($D$2:D650,D650)*10^3+ROW(A649))</f>
        <v/>
      </c>
      <c r="B650">
        <f>IFERROR(LEFT(发货清单!H650,SEARCH("-",发货清单!H650)-1),发货清单!H650)</f>
        <v>0</v>
      </c>
      <c r="C650" t="str">
        <f>IFERROR(VLOOKUP(发货清单!A650,数据库!A:D,4,0),"")</f>
        <v/>
      </c>
      <c r="D650" t="str">
        <f>IFERROR(VLOOKUP(发货清单!A650,数据库!A:C,3,0),"")</f>
        <v/>
      </c>
      <c r="E650">
        <f>发货清单!M650</f>
        <v>0</v>
      </c>
      <c r="F650">
        <f>发货清单!U650</f>
        <v>0</v>
      </c>
      <c r="G650" t="str">
        <f>IFERROR(VLOOKUP(发货清单!A650,数据库!A:B,2,0),"")</f>
        <v/>
      </c>
      <c r="H650">
        <f>发货清单!N650</f>
        <v>0</v>
      </c>
      <c r="I650" t="str">
        <f t="shared" si="90"/>
        <v/>
      </c>
      <c r="J650" t="str">
        <f t="shared" si="91"/>
        <v xml:space="preserve"> </v>
      </c>
      <c r="K650" t="str">
        <f t="shared" si="92"/>
        <v/>
      </c>
      <c r="L650" t="str">
        <f t="shared" si="93"/>
        <v/>
      </c>
      <c r="N650" s="245">
        <f t="shared" si="94"/>
        <v>0</v>
      </c>
      <c r="O650" s="245">
        <f t="shared" si="95"/>
        <v>0</v>
      </c>
      <c r="P650" t="str">
        <f t="shared" si="96"/>
        <v/>
      </c>
      <c r="Q650" t="str">
        <f>IFERROR(VLOOKUP(P650,数据库!C:M,11,0),"")</f>
        <v/>
      </c>
      <c r="R650" t="str">
        <f t="shared" si="97"/>
        <v/>
      </c>
      <c r="S650">
        <f t="shared" si="98"/>
        <v>0</v>
      </c>
    </row>
    <row r="651" spans="1:19">
      <c r="A651" t="str">
        <f>IF(B651=0,"",发货清单!A651*10^6+COUNTIF($D$2:D651,D651)*10^3+ROW(A650))</f>
        <v/>
      </c>
      <c r="B651">
        <f>IFERROR(LEFT(发货清单!H651,SEARCH("-",发货清单!H651)-1),发货清单!H651)</f>
        <v>0</v>
      </c>
      <c r="C651" t="str">
        <f>IFERROR(VLOOKUP(发货清单!A651,数据库!A:D,4,0),"")</f>
        <v/>
      </c>
      <c r="D651" t="str">
        <f>IFERROR(VLOOKUP(发货清单!A651,数据库!A:C,3,0),"")</f>
        <v/>
      </c>
      <c r="E651">
        <f>发货清单!M651</f>
        <v>0</v>
      </c>
      <c r="F651">
        <f>发货清单!U651</f>
        <v>0</v>
      </c>
      <c r="G651" t="str">
        <f>IFERROR(VLOOKUP(发货清单!A651,数据库!A:B,2,0),"")</f>
        <v/>
      </c>
      <c r="H651">
        <f>发货清单!N651</f>
        <v>0</v>
      </c>
      <c r="I651" t="str">
        <f t="shared" si="90"/>
        <v/>
      </c>
      <c r="J651" t="str">
        <f t="shared" si="91"/>
        <v xml:space="preserve"> </v>
      </c>
      <c r="K651" t="str">
        <f t="shared" si="92"/>
        <v/>
      </c>
      <c r="L651" t="str">
        <f t="shared" si="93"/>
        <v/>
      </c>
      <c r="N651" s="245">
        <f t="shared" si="94"/>
        <v>0</v>
      </c>
      <c r="O651" s="245">
        <f t="shared" si="95"/>
        <v>0</v>
      </c>
      <c r="P651" t="str">
        <f t="shared" si="96"/>
        <v/>
      </c>
      <c r="Q651" t="str">
        <f>IFERROR(VLOOKUP(P651,数据库!C:M,11,0),"")</f>
        <v/>
      </c>
      <c r="R651" t="str">
        <f t="shared" si="97"/>
        <v/>
      </c>
      <c r="S651">
        <f t="shared" si="98"/>
        <v>0</v>
      </c>
    </row>
    <row r="652" spans="1:19">
      <c r="A652" t="str">
        <f>IF(B652=0,"",发货清单!A652*10^6+COUNTIF($D$2:D652,D652)*10^3+ROW(A651))</f>
        <v/>
      </c>
      <c r="B652">
        <f>IFERROR(LEFT(发货清单!H652,SEARCH("-",发货清单!H652)-1),发货清单!H652)</f>
        <v>0</v>
      </c>
      <c r="C652" t="str">
        <f>IFERROR(VLOOKUP(发货清单!A652,数据库!A:D,4,0),"")</f>
        <v/>
      </c>
      <c r="D652" t="str">
        <f>IFERROR(VLOOKUP(发货清单!A652,数据库!A:C,3,0),"")</f>
        <v/>
      </c>
      <c r="E652">
        <f>发货清单!M652</f>
        <v>0</v>
      </c>
      <c r="F652">
        <f>发货清单!U652</f>
        <v>0</v>
      </c>
      <c r="G652" t="str">
        <f>IFERROR(VLOOKUP(发货清单!A652,数据库!A:B,2,0),"")</f>
        <v/>
      </c>
      <c r="H652">
        <f>发货清单!N652</f>
        <v>0</v>
      </c>
      <c r="I652" t="str">
        <f t="shared" si="90"/>
        <v/>
      </c>
      <c r="J652" t="str">
        <f t="shared" si="91"/>
        <v xml:space="preserve"> </v>
      </c>
      <c r="K652" t="str">
        <f t="shared" si="92"/>
        <v/>
      </c>
      <c r="L652" t="str">
        <f t="shared" si="93"/>
        <v/>
      </c>
      <c r="N652" s="245">
        <f t="shared" si="94"/>
        <v>0</v>
      </c>
      <c r="O652" s="245">
        <f t="shared" si="95"/>
        <v>0</v>
      </c>
      <c r="P652" t="str">
        <f t="shared" si="96"/>
        <v/>
      </c>
      <c r="Q652" t="str">
        <f>IFERROR(VLOOKUP(P652,数据库!C:M,11,0),"")</f>
        <v/>
      </c>
      <c r="R652" t="str">
        <f t="shared" si="97"/>
        <v/>
      </c>
      <c r="S652">
        <f t="shared" si="98"/>
        <v>0</v>
      </c>
    </row>
    <row r="653" spans="1:19">
      <c r="A653" t="str">
        <f>IF(B653=0,"",发货清单!A653*10^6+COUNTIF($D$2:D653,D653)*10^3+ROW(A652))</f>
        <v/>
      </c>
      <c r="B653">
        <f>IFERROR(LEFT(发货清单!H653,SEARCH("-",发货清单!H653)-1),发货清单!H653)</f>
        <v>0</v>
      </c>
      <c r="C653" t="str">
        <f>IFERROR(VLOOKUP(发货清单!A653,数据库!A:D,4,0),"")</f>
        <v/>
      </c>
      <c r="D653" t="str">
        <f>IFERROR(VLOOKUP(发货清单!A653,数据库!A:C,3,0),"")</f>
        <v/>
      </c>
      <c r="E653">
        <f>发货清单!M653</f>
        <v>0</v>
      </c>
      <c r="F653">
        <f>发货清单!U653</f>
        <v>0</v>
      </c>
      <c r="G653" t="str">
        <f>IFERROR(VLOOKUP(发货清单!A653,数据库!A:B,2,0),"")</f>
        <v/>
      </c>
      <c r="H653">
        <f>发货清单!N653</f>
        <v>0</v>
      </c>
      <c r="I653" t="str">
        <f t="shared" si="90"/>
        <v/>
      </c>
      <c r="J653" t="str">
        <f t="shared" si="91"/>
        <v xml:space="preserve"> </v>
      </c>
      <c r="K653" t="str">
        <f t="shared" si="92"/>
        <v/>
      </c>
      <c r="L653" t="str">
        <f t="shared" si="93"/>
        <v/>
      </c>
      <c r="N653" s="245">
        <f t="shared" si="94"/>
        <v>0</v>
      </c>
      <c r="O653" s="245">
        <f t="shared" si="95"/>
        <v>0</v>
      </c>
      <c r="P653" t="str">
        <f t="shared" si="96"/>
        <v/>
      </c>
      <c r="Q653" t="str">
        <f>IFERROR(VLOOKUP(P653,数据库!C:M,11,0),"")</f>
        <v/>
      </c>
      <c r="R653" t="str">
        <f t="shared" si="97"/>
        <v/>
      </c>
      <c r="S653">
        <f t="shared" si="98"/>
        <v>0</v>
      </c>
    </row>
    <row r="654" spans="1:19">
      <c r="A654" t="str">
        <f>IF(B654=0,"",发货清单!A654*10^6+COUNTIF($D$2:D654,D654)*10^3+ROW(A653))</f>
        <v/>
      </c>
      <c r="B654">
        <f>IFERROR(LEFT(发货清单!H654,SEARCH("-",发货清单!H654)-1),发货清单!H654)</f>
        <v>0</v>
      </c>
      <c r="C654" t="str">
        <f>IFERROR(VLOOKUP(发货清单!A654,数据库!A:D,4,0),"")</f>
        <v/>
      </c>
      <c r="D654" t="str">
        <f>IFERROR(VLOOKUP(发货清单!A654,数据库!A:C,3,0),"")</f>
        <v/>
      </c>
      <c r="E654">
        <f>发货清单!M654</f>
        <v>0</v>
      </c>
      <c r="F654">
        <f>发货清单!U654</f>
        <v>0</v>
      </c>
      <c r="G654" t="str">
        <f>IFERROR(VLOOKUP(发货清单!A654,数据库!A:B,2,0),"")</f>
        <v/>
      </c>
      <c r="H654">
        <f>发货清单!N654</f>
        <v>0</v>
      </c>
      <c r="I654" t="str">
        <f t="shared" si="90"/>
        <v/>
      </c>
      <c r="J654" t="str">
        <f t="shared" si="91"/>
        <v xml:space="preserve"> </v>
      </c>
      <c r="K654" t="str">
        <f t="shared" si="92"/>
        <v/>
      </c>
      <c r="L654" t="str">
        <f t="shared" si="93"/>
        <v/>
      </c>
      <c r="N654" s="245">
        <f t="shared" si="94"/>
        <v>0</v>
      </c>
      <c r="O654" s="245">
        <f t="shared" si="95"/>
        <v>0</v>
      </c>
      <c r="P654" t="str">
        <f t="shared" si="96"/>
        <v/>
      </c>
      <c r="Q654" t="str">
        <f>IFERROR(VLOOKUP(P654,数据库!C:M,11,0),"")</f>
        <v/>
      </c>
      <c r="R654" t="str">
        <f t="shared" si="97"/>
        <v/>
      </c>
      <c r="S654">
        <f t="shared" si="98"/>
        <v>0</v>
      </c>
    </row>
    <row r="655" spans="1:19">
      <c r="A655" t="str">
        <f>IF(B655=0,"",发货清单!A655*10^6+COUNTIF($D$2:D655,D655)*10^3+ROW(A654))</f>
        <v/>
      </c>
      <c r="B655">
        <f>IFERROR(LEFT(发货清单!H655,SEARCH("-",发货清单!H655)-1),发货清单!H655)</f>
        <v>0</v>
      </c>
      <c r="C655" t="str">
        <f>IFERROR(VLOOKUP(发货清单!A655,数据库!A:D,4,0),"")</f>
        <v/>
      </c>
      <c r="D655" t="str">
        <f>IFERROR(VLOOKUP(发货清单!A655,数据库!A:C,3,0),"")</f>
        <v/>
      </c>
      <c r="E655">
        <f>发货清单!M655</f>
        <v>0</v>
      </c>
      <c r="F655">
        <f>发货清单!U655</f>
        <v>0</v>
      </c>
      <c r="G655" t="str">
        <f>IFERROR(VLOOKUP(发货清单!A655,数据库!A:B,2,0),"")</f>
        <v/>
      </c>
      <c r="H655">
        <f>发货清单!N655</f>
        <v>0</v>
      </c>
      <c r="I655" t="str">
        <f t="shared" si="90"/>
        <v/>
      </c>
      <c r="J655" t="str">
        <f t="shared" si="91"/>
        <v xml:space="preserve"> </v>
      </c>
      <c r="K655" t="str">
        <f t="shared" si="92"/>
        <v/>
      </c>
      <c r="L655" t="str">
        <f t="shared" si="93"/>
        <v/>
      </c>
      <c r="N655" s="245">
        <f t="shared" si="94"/>
        <v>0</v>
      </c>
      <c r="O655" s="245">
        <f t="shared" si="95"/>
        <v>0</v>
      </c>
      <c r="P655" t="str">
        <f t="shared" si="96"/>
        <v/>
      </c>
      <c r="Q655" t="str">
        <f>IFERROR(VLOOKUP(P655,数据库!C:M,11,0),"")</f>
        <v/>
      </c>
      <c r="R655" t="str">
        <f t="shared" si="97"/>
        <v/>
      </c>
      <c r="S655">
        <f t="shared" si="98"/>
        <v>0</v>
      </c>
    </row>
    <row r="656" spans="1:19">
      <c r="A656" t="str">
        <f>IF(B656=0,"",发货清单!A656*10^6+COUNTIF($D$2:D656,D656)*10^3+ROW(A655))</f>
        <v/>
      </c>
      <c r="B656">
        <f>IFERROR(LEFT(发货清单!H656,SEARCH("-",发货清单!H656)-1),发货清单!H656)</f>
        <v>0</v>
      </c>
      <c r="C656" t="str">
        <f>IFERROR(VLOOKUP(发货清单!A656,数据库!A:D,4,0),"")</f>
        <v/>
      </c>
      <c r="D656" t="str">
        <f>IFERROR(VLOOKUP(发货清单!A656,数据库!A:C,3,0),"")</f>
        <v/>
      </c>
      <c r="E656">
        <f>发货清单!M656</f>
        <v>0</v>
      </c>
      <c r="F656">
        <f>发货清单!U656</f>
        <v>0</v>
      </c>
      <c r="G656" t="str">
        <f>IFERROR(VLOOKUP(发货清单!A656,数据库!A:B,2,0),"")</f>
        <v/>
      </c>
      <c r="H656">
        <f>发货清单!N656</f>
        <v>0</v>
      </c>
      <c r="I656" t="str">
        <f t="shared" si="90"/>
        <v/>
      </c>
      <c r="J656" t="str">
        <f t="shared" si="91"/>
        <v xml:space="preserve"> </v>
      </c>
      <c r="K656" t="str">
        <f t="shared" si="92"/>
        <v/>
      </c>
      <c r="L656" t="str">
        <f t="shared" si="93"/>
        <v/>
      </c>
      <c r="N656" s="245">
        <f t="shared" si="94"/>
        <v>0</v>
      </c>
      <c r="O656" s="245">
        <f t="shared" si="95"/>
        <v>0</v>
      </c>
      <c r="P656" t="str">
        <f t="shared" si="96"/>
        <v/>
      </c>
      <c r="Q656" t="str">
        <f>IFERROR(VLOOKUP(P656,数据库!C:M,11,0),"")</f>
        <v/>
      </c>
      <c r="R656" t="str">
        <f t="shared" si="97"/>
        <v/>
      </c>
      <c r="S656">
        <f t="shared" si="98"/>
        <v>0</v>
      </c>
    </row>
    <row r="657" spans="1:19">
      <c r="A657" t="str">
        <f>IF(B657=0,"",发货清单!A657*10^6+COUNTIF($D$2:D657,D657)*10^3+ROW(A656))</f>
        <v/>
      </c>
      <c r="B657">
        <f>IFERROR(LEFT(发货清单!H657,SEARCH("-",发货清单!H657)-1),发货清单!H657)</f>
        <v>0</v>
      </c>
      <c r="C657" t="str">
        <f>IFERROR(VLOOKUP(发货清单!A657,数据库!A:D,4,0),"")</f>
        <v/>
      </c>
      <c r="D657" t="str">
        <f>IFERROR(VLOOKUP(发货清单!A657,数据库!A:C,3,0),"")</f>
        <v/>
      </c>
      <c r="E657">
        <f>发货清单!M657</f>
        <v>0</v>
      </c>
      <c r="F657">
        <f>发货清单!U657</f>
        <v>0</v>
      </c>
      <c r="G657" t="str">
        <f>IFERROR(VLOOKUP(发货清单!A657,数据库!A:B,2,0),"")</f>
        <v/>
      </c>
      <c r="H657">
        <f>发货清单!N657</f>
        <v>0</v>
      </c>
      <c r="I657" t="str">
        <f t="shared" si="90"/>
        <v/>
      </c>
      <c r="J657" t="str">
        <f t="shared" si="91"/>
        <v xml:space="preserve"> </v>
      </c>
      <c r="K657" t="str">
        <f t="shared" si="92"/>
        <v/>
      </c>
      <c r="L657" t="str">
        <f t="shared" si="93"/>
        <v/>
      </c>
      <c r="N657" s="245">
        <f t="shared" si="94"/>
        <v>0</v>
      </c>
      <c r="O657" s="245">
        <f t="shared" si="95"/>
        <v>0</v>
      </c>
      <c r="P657" t="str">
        <f t="shared" si="96"/>
        <v/>
      </c>
      <c r="Q657" t="str">
        <f>IFERROR(VLOOKUP(P657,数据库!C:M,11,0),"")</f>
        <v/>
      </c>
      <c r="R657" t="str">
        <f t="shared" si="97"/>
        <v/>
      </c>
      <c r="S657">
        <f t="shared" si="98"/>
        <v>0</v>
      </c>
    </row>
    <row r="658" spans="1:19">
      <c r="A658" t="str">
        <f>IF(B658=0,"",发货清单!A658*10^6+COUNTIF($D$2:D658,D658)*10^3+ROW(A657))</f>
        <v/>
      </c>
      <c r="B658">
        <f>IFERROR(LEFT(发货清单!H658,SEARCH("-",发货清单!H658)-1),发货清单!H658)</f>
        <v>0</v>
      </c>
      <c r="C658" t="str">
        <f>IFERROR(VLOOKUP(发货清单!A658,数据库!A:D,4,0),"")</f>
        <v/>
      </c>
      <c r="D658" t="str">
        <f>IFERROR(VLOOKUP(发货清单!A658,数据库!A:C,3,0),"")</f>
        <v/>
      </c>
      <c r="E658">
        <f>发货清单!M658</f>
        <v>0</v>
      </c>
      <c r="F658">
        <f>发货清单!U658</f>
        <v>0</v>
      </c>
      <c r="G658" t="str">
        <f>IFERROR(VLOOKUP(发货清单!A658,数据库!A:B,2,0),"")</f>
        <v/>
      </c>
      <c r="H658">
        <f>发货清单!N658</f>
        <v>0</v>
      </c>
      <c r="I658" t="str">
        <f t="shared" si="90"/>
        <v/>
      </c>
      <c r="J658" t="str">
        <f t="shared" si="91"/>
        <v xml:space="preserve"> </v>
      </c>
      <c r="K658" t="str">
        <f t="shared" si="92"/>
        <v/>
      </c>
      <c r="L658" t="str">
        <f t="shared" si="93"/>
        <v/>
      </c>
      <c r="N658" s="245">
        <f t="shared" si="94"/>
        <v>0</v>
      </c>
      <c r="O658" s="245">
        <f t="shared" si="95"/>
        <v>0</v>
      </c>
      <c r="P658" t="str">
        <f t="shared" si="96"/>
        <v/>
      </c>
      <c r="Q658" t="str">
        <f>IFERROR(VLOOKUP(P658,数据库!C:M,11,0),"")</f>
        <v/>
      </c>
      <c r="R658" t="str">
        <f t="shared" si="97"/>
        <v/>
      </c>
      <c r="S658">
        <f t="shared" si="98"/>
        <v>0</v>
      </c>
    </row>
    <row r="659" spans="1:19">
      <c r="A659" t="str">
        <f>IF(B659=0,"",发货清单!A659*10^6+COUNTIF($D$2:D659,D659)*10^3+ROW(A658))</f>
        <v/>
      </c>
      <c r="B659">
        <f>IFERROR(LEFT(发货清单!H659,SEARCH("-",发货清单!H659)-1),发货清单!H659)</f>
        <v>0</v>
      </c>
      <c r="C659" t="str">
        <f>IFERROR(VLOOKUP(发货清单!A659,数据库!A:D,4,0),"")</f>
        <v/>
      </c>
      <c r="D659" t="str">
        <f>IFERROR(VLOOKUP(发货清单!A659,数据库!A:C,3,0),"")</f>
        <v/>
      </c>
      <c r="E659">
        <f>发货清单!M659</f>
        <v>0</v>
      </c>
      <c r="F659">
        <f>发货清单!U659</f>
        <v>0</v>
      </c>
      <c r="G659" t="str">
        <f>IFERROR(VLOOKUP(发货清单!A659,数据库!A:B,2,0),"")</f>
        <v/>
      </c>
      <c r="H659">
        <f>发货清单!N659</f>
        <v>0</v>
      </c>
      <c r="I659" t="str">
        <f t="shared" si="90"/>
        <v/>
      </c>
      <c r="J659" t="str">
        <f t="shared" si="91"/>
        <v xml:space="preserve"> </v>
      </c>
      <c r="K659" t="str">
        <f t="shared" si="92"/>
        <v/>
      </c>
      <c r="L659" t="str">
        <f t="shared" si="93"/>
        <v/>
      </c>
      <c r="N659" s="245">
        <f t="shared" si="94"/>
        <v>0</v>
      </c>
      <c r="O659" s="245">
        <f t="shared" si="95"/>
        <v>0</v>
      </c>
      <c r="P659" t="str">
        <f t="shared" si="96"/>
        <v/>
      </c>
      <c r="Q659" t="str">
        <f>IFERROR(VLOOKUP(P659,数据库!C:M,11,0),"")</f>
        <v/>
      </c>
      <c r="R659" t="str">
        <f t="shared" si="97"/>
        <v/>
      </c>
      <c r="S659">
        <f t="shared" si="98"/>
        <v>0</v>
      </c>
    </row>
    <row r="660" spans="1:19">
      <c r="A660" t="str">
        <f>IF(B660=0,"",发货清单!A660*10^6+COUNTIF($D$2:D660,D660)*10^3+ROW(A659))</f>
        <v/>
      </c>
      <c r="B660">
        <f>IFERROR(LEFT(发货清单!H660,SEARCH("-",发货清单!H660)-1),发货清单!H660)</f>
        <v>0</v>
      </c>
      <c r="C660" t="str">
        <f>IFERROR(VLOOKUP(发货清单!A660,数据库!A:D,4,0),"")</f>
        <v/>
      </c>
      <c r="D660" t="str">
        <f>IFERROR(VLOOKUP(发货清单!A660,数据库!A:C,3,0),"")</f>
        <v/>
      </c>
      <c r="E660">
        <f>发货清单!M660</f>
        <v>0</v>
      </c>
      <c r="F660">
        <f>发货清单!U660</f>
        <v>0</v>
      </c>
      <c r="G660" t="str">
        <f>IFERROR(VLOOKUP(发货清单!A660,数据库!A:B,2,0),"")</f>
        <v/>
      </c>
      <c r="H660">
        <f>发货清单!N660</f>
        <v>0</v>
      </c>
      <c r="I660" t="str">
        <f t="shared" si="90"/>
        <v/>
      </c>
      <c r="J660" t="str">
        <f t="shared" si="91"/>
        <v xml:space="preserve"> </v>
      </c>
      <c r="K660" t="str">
        <f t="shared" si="92"/>
        <v/>
      </c>
      <c r="L660" t="str">
        <f t="shared" si="93"/>
        <v/>
      </c>
      <c r="N660" s="245">
        <f t="shared" si="94"/>
        <v>0</v>
      </c>
      <c r="O660" s="245">
        <f t="shared" si="95"/>
        <v>0</v>
      </c>
      <c r="P660" t="str">
        <f t="shared" si="96"/>
        <v/>
      </c>
      <c r="Q660" t="str">
        <f>IFERROR(VLOOKUP(P660,数据库!C:M,11,0),"")</f>
        <v/>
      </c>
      <c r="R660" t="str">
        <f t="shared" si="97"/>
        <v/>
      </c>
      <c r="S660">
        <f t="shared" si="98"/>
        <v>0</v>
      </c>
    </row>
    <row r="661" spans="1:19">
      <c r="A661" t="str">
        <f>IF(B661=0,"",发货清单!A661*10^6+COUNTIF($D$2:D661,D661)*10^3+ROW(A660))</f>
        <v/>
      </c>
      <c r="B661">
        <f>IFERROR(LEFT(发货清单!H661,SEARCH("-",发货清单!H661)-1),发货清单!H661)</f>
        <v>0</v>
      </c>
      <c r="C661" t="str">
        <f>IFERROR(VLOOKUP(发货清单!A661,数据库!A:D,4,0),"")</f>
        <v/>
      </c>
      <c r="D661" t="str">
        <f>IFERROR(VLOOKUP(发货清单!A661,数据库!A:C,3,0),"")</f>
        <v/>
      </c>
      <c r="E661">
        <f>发货清单!M661</f>
        <v>0</v>
      </c>
      <c r="F661">
        <f>发货清单!U661</f>
        <v>0</v>
      </c>
      <c r="G661" t="str">
        <f>IFERROR(VLOOKUP(发货清单!A661,数据库!A:B,2,0),"")</f>
        <v/>
      </c>
      <c r="H661">
        <f>发货清单!N661</f>
        <v>0</v>
      </c>
      <c r="I661" t="str">
        <f t="shared" si="90"/>
        <v/>
      </c>
      <c r="J661" t="str">
        <f t="shared" si="91"/>
        <v xml:space="preserve"> </v>
      </c>
      <c r="K661" t="str">
        <f t="shared" si="92"/>
        <v/>
      </c>
      <c r="L661" t="str">
        <f t="shared" si="93"/>
        <v/>
      </c>
      <c r="N661" s="245">
        <f t="shared" si="94"/>
        <v>0</v>
      </c>
      <c r="O661" s="245">
        <f t="shared" si="95"/>
        <v>0</v>
      </c>
      <c r="P661" t="str">
        <f t="shared" si="96"/>
        <v/>
      </c>
      <c r="Q661" t="str">
        <f>IFERROR(VLOOKUP(P661,数据库!C:M,11,0),"")</f>
        <v/>
      </c>
      <c r="R661" t="str">
        <f t="shared" si="97"/>
        <v/>
      </c>
      <c r="S661">
        <f t="shared" si="98"/>
        <v>0</v>
      </c>
    </row>
    <row r="662" spans="1:19">
      <c r="A662" t="str">
        <f>IF(B662=0,"",发货清单!A662*10^6+COUNTIF($D$2:D662,D662)*10^3+ROW(A661))</f>
        <v/>
      </c>
      <c r="B662">
        <f>IFERROR(LEFT(发货清单!H662,SEARCH("-",发货清单!H662)-1),发货清单!H662)</f>
        <v>0</v>
      </c>
      <c r="C662" t="str">
        <f>IFERROR(VLOOKUP(发货清单!A662,数据库!A:D,4,0),"")</f>
        <v/>
      </c>
      <c r="D662" t="str">
        <f>IFERROR(VLOOKUP(发货清单!A662,数据库!A:C,3,0),"")</f>
        <v/>
      </c>
      <c r="E662">
        <f>发货清单!M662</f>
        <v>0</v>
      </c>
      <c r="F662">
        <f>发货清单!U662</f>
        <v>0</v>
      </c>
      <c r="G662" t="str">
        <f>IFERROR(VLOOKUP(发货清单!A662,数据库!A:B,2,0),"")</f>
        <v/>
      </c>
      <c r="H662">
        <f>发货清单!N662</f>
        <v>0</v>
      </c>
      <c r="I662" t="str">
        <f t="shared" si="90"/>
        <v/>
      </c>
      <c r="J662" t="str">
        <f t="shared" si="91"/>
        <v xml:space="preserve"> </v>
      </c>
      <c r="K662" t="str">
        <f t="shared" si="92"/>
        <v/>
      </c>
      <c r="L662" t="str">
        <f t="shared" si="93"/>
        <v/>
      </c>
      <c r="N662" s="245">
        <f t="shared" si="94"/>
        <v>0</v>
      </c>
      <c r="O662" s="245">
        <f t="shared" si="95"/>
        <v>0</v>
      </c>
      <c r="P662" t="str">
        <f t="shared" si="96"/>
        <v/>
      </c>
      <c r="Q662" t="str">
        <f>IFERROR(VLOOKUP(P662,数据库!C:M,11,0),"")</f>
        <v/>
      </c>
      <c r="R662" t="str">
        <f t="shared" si="97"/>
        <v/>
      </c>
      <c r="S662">
        <f t="shared" si="98"/>
        <v>0</v>
      </c>
    </row>
    <row r="663" spans="1:19">
      <c r="A663" t="str">
        <f>IF(B663=0,"",发货清单!A663*10^6+COUNTIF($D$2:D663,D663)*10^3+ROW(A662))</f>
        <v/>
      </c>
      <c r="B663">
        <f>IFERROR(LEFT(发货清单!H663,SEARCH("-",发货清单!H663)-1),发货清单!H663)</f>
        <v>0</v>
      </c>
      <c r="C663" t="str">
        <f>IFERROR(VLOOKUP(发货清单!A663,数据库!A:D,4,0),"")</f>
        <v/>
      </c>
      <c r="D663" t="str">
        <f>IFERROR(VLOOKUP(发货清单!A663,数据库!A:C,3,0),"")</f>
        <v/>
      </c>
      <c r="E663">
        <f>发货清单!M663</f>
        <v>0</v>
      </c>
      <c r="F663">
        <f>发货清单!U663</f>
        <v>0</v>
      </c>
      <c r="G663" t="str">
        <f>IFERROR(VLOOKUP(发货清单!A663,数据库!A:B,2,0),"")</f>
        <v/>
      </c>
      <c r="H663">
        <f>发货清单!N663</f>
        <v>0</v>
      </c>
      <c r="I663" t="str">
        <f t="shared" si="90"/>
        <v/>
      </c>
      <c r="J663" t="str">
        <f t="shared" si="91"/>
        <v xml:space="preserve"> </v>
      </c>
      <c r="K663" t="str">
        <f t="shared" si="92"/>
        <v/>
      </c>
      <c r="L663" t="str">
        <f t="shared" si="93"/>
        <v/>
      </c>
      <c r="N663" s="245">
        <f t="shared" si="94"/>
        <v>0</v>
      </c>
      <c r="O663" s="245">
        <f t="shared" si="95"/>
        <v>0</v>
      </c>
      <c r="P663" t="str">
        <f t="shared" si="96"/>
        <v/>
      </c>
      <c r="Q663" t="str">
        <f>IFERROR(VLOOKUP(P663,数据库!C:M,11,0),"")</f>
        <v/>
      </c>
      <c r="R663" t="str">
        <f t="shared" si="97"/>
        <v/>
      </c>
      <c r="S663">
        <f t="shared" si="98"/>
        <v>0</v>
      </c>
    </row>
    <row r="664" spans="1:19">
      <c r="A664" t="str">
        <f>IF(B664=0,"",发货清单!A664*10^6+COUNTIF($D$2:D664,D664)*10^3+ROW(A663))</f>
        <v/>
      </c>
      <c r="B664">
        <f>IFERROR(LEFT(发货清单!H664,SEARCH("-",发货清单!H664)-1),发货清单!H664)</f>
        <v>0</v>
      </c>
      <c r="C664" t="str">
        <f>IFERROR(VLOOKUP(发货清单!A664,数据库!A:D,4,0),"")</f>
        <v/>
      </c>
      <c r="D664" t="str">
        <f>IFERROR(VLOOKUP(发货清单!A664,数据库!A:C,3,0),"")</f>
        <v/>
      </c>
      <c r="E664">
        <f>发货清单!M664</f>
        <v>0</v>
      </c>
      <c r="F664">
        <f>发货清单!U664</f>
        <v>0</v>
      </c>
      <c r="G664" t="str">
        <f>IFERROR(VLOOKUP(发货清单!A664,数据库!A:B,2,0),"")</f>
        <v/>
      </c>
      <c r="H664">
        <f>发货清单!N664</f>
        <v>0</v>
      </c>
      <c r="I664" t="str">
        <f t="shared" si="90"/>
        <v/>
      </c>
      <c r="J664" t="str">
        <f t="shared" si="91"/>
        <v xml:space="preserve"> </v>
      </c>
      <c r="K664" t="str">
        <f t="shared" si="92"/>
        <v/>
      </c>
      <c r="L664" t="str">
        <f t="shared" si="93"/>
        <v/>
      </c>
      <c r="N664" s="245">
        <f t="shared" si="94"/>
        <v>0</v>
      </c>
      <c r="O664" s="245">
        <f t="shared" si="95"/>
        <v>0</v>
      </c>
      <c r="P664" t="str">
        <f t="shared" si="96"/>
        <v/>
      </c>
      <c r="Q664" t="str">
        <f>IFERROR(VLOOKUP(P664,数据库!C:M,11,0),"")</f>
        <v/>
      </c>
      <c r="R664" t="str">
        <f t="shared" si="97"/>
        <v/>
      </c>
      <c r="S664">
        <f t="shared" si="98"/>
        <v>0</v>
      </c>
    </row>
    <row r="665" spans="1:19">
      <c r="A665" t="str">
        <f>IF(B665=0,"",发货清单!A665*10^6+COUNTIF($D$2:D665,D665)*10^3+ROW(A664))</f>
        <v/>
      </c>
      <c r="B665">
        <f>IFERROR(LEFT(发货清单!H665,SEARCH("-",发货清单!H665)-1),发货清单!H665)</f>
        <v>0</v>
      </c>
      <c r="C665" t="str">
        <f>IFERROR(VLOOKUP(发货清单!A665,数据库!A:D,4,0),"")</f>
        <v/>
      </c>
      <c r="D665" t="str">
        <f>IFERROR(VLOOKUP(发货清单!A665,数据库!A:C,3,0),"")</f>
        <v/>
      </c>
      <c r="E665">
        <f>发货清单!M665</f>
        <v>0</v>
      </c>
      <c r="F665">
        <f>发货清单!U665</f>
        <v>0</v>
      </c>
      <c r="G665" t="str">
        <f>IFERROR(VLOOKUP(发货清单!A665,数据库!A:B,2,0),"")</f>
        <v/>
      </c>
      <c r="H665">
        <f>发货清单!N665</f>
        <v>0</v>
      </c>
      <c r="I665" t="str">
        <f t="shared" si="90"/>
        <v/>
      </c>
      <c r="J665" t="str">
        <f t="shared" si="91"/>
        <v xml:space="preserve"> </v>
      </c>
      <c r="K665" t="str">
        <f t="shared" si="92"/>
        <v/>
      </c>
      <c r="L665" t="str">
        <f t="shared" si="93"/>
        <v/>
      </c>
      <c r="N665" s="245">
        <f t="shared" si="94"/>
        <v>0</v>
      </c>
      <c r="O665" s="245">
        <f t="shared" si="95"/>
        <v>0</v>
      </c>
      <c r="P665" t="str">
        <f t="shared" si="96"/>
        <v/>
      </c>
      <c r="Q665" t="str">
        <f>IFERROR(VLOOKUP(P665,数据库!C:M,11,0),"")</f>
        <v/>
      </c>
      <c r="R665" t="str">
        <f t="shared" si="97"/>
        <v/>
      </c>
      <c r="S665">
        <f t="shared" si="98"/>
        <v>0</v>
      </c>
    </row>
    <row r="666" spans="1:19">
      <c r="A666" t="str">
        <f>IF(B666=0,"",发货清单!A666*10^6+COUNTIF($D$2:D666,D666)*10^3+ROW(A665))</f>
        <v/>
      </c>
      <c r="B666">
        <f>IFERROR(LEFT(发货清单!H666,SEARCH("-",发货清单!H666)-1),发货清单!H666)</f>
        <v>0</v>
      </c>
      <c r="C666" t="str">
        <f>IFERROR(VLOOKUP(发货清单!A666,数据库!A:D,4,0),"")</f>
        <v/>
      </c>
      <c r="D666" t="str">
        <f>IFERROR(VLOOKUP(发货清单!A666,数据库!A:C,3,0),"")</f>
        <v/>
      </c>
      <c r="E666">
        <f>发货清单!M666</f>
        <v>0</v>
      </c>
      <c r="F666">
        <f>发货清单!U666</f>
        <v>0</v>
      </c>
      <c r="G666" t="str">
        <f>IFERROR(VLOOKUP(发货清单!A666,数据库!A:B,2,0),"")</f>
        <v/>
      </c>
      <c r="H666">
        <f>发货清单!N666</f>
        <v>0</v>
      </c>
      <c r="I666" t="str">
        <f t="shared" si="90"/>
        <v/>
      </c>
      <c r="J666" t="str">
        <f t="shared" si="91"/>
        <v xml:space="preserve"> </v>
      </c>
      <c r="K666" t="str">
        <f t="shared" si="92"/>
        <v/>
      </c>
      <c r="L666" t="str">
        <f t="shared" si="93"/>
        <v/>
      </c>
      <c r="N666" s="245">
        <f t="shared" si="94"/>
        <v>0</v>
      </c>
      <c r="O666" s="245">
        <f t="shared" si="95"/>
        <v>0</v>
      </c>
      <c r="P666" t="str">
        <f t="shared" si="96"/>
        <v/>
      </c>
      <c r="Q666" t="str">
        <f>IFERROR(VLOOKUP(P666,数据库!C:M,11,0),"")</f>
        <v/>
      </c>
      <c r="R666" t="str">
        <f t="shared" si="97"/>
        <v/>
      </c>
      <c r="S666">
        <f t="shared" si="98"/>
        <v>0</v>
      </c>
    </row>
    <row r="667" spans="1:19">
      <c r="A667" t="str">
        <f>IF(B667=0,"",发货清单!A667*10^6+COUNTIF($D$2:D667,D667)*10^3+ROW(A666))</f>
        <v/>
      </c>
      <c r="B667">
        <f>IFERROR(LEFT(发货清单!H667,SEARCH("-",发货清单!H667)-1),发货清单!H667)</f>
        <v>0</v>
      </c>
      <c r="C667" t="str">
        <f>IFERROR(VLOOKUP(发货清单!A667,数据库!A:D,4,0),"")</f>
        <v/>
      </c>
      <c r="D667" t="str">
        <f>IFERROR(VLOOKUP(发货清单!A667,数据库!A:C,3,0),"")</f>
        <v/>
      </c>
      <c r="E667">
        <f>发货清单!M667</f>
        <v>0</v>
      </c>
      <c r="F667">
        <f>发货清单!U667</f>
        <v>0</v>
      </c>
      <c r="G667" t="str">
        <f>IFERROR(VLOOKUP(发货清单!A667,数据库!A:B,2,0),"")</f>
        <v/>
      </c>
      <c r="H667">
        <f>发货清单!N667</f>
        <v>0</v>
      </c>
      <c r="I667" t="str">
        <f t="shared" si="90"/>
        <v/>
      </c>
      <c r="J667" t="str">
        <f t="shared" si="91"/>
        <v xml:space="preserve"> </v>
      </c>
      <c r="K667" t="str">
        <f t="shared" si="92"/>
        <v/>
      </c>
      <c r="L667" t="str">
        <f t="shared" si="93"/>
        <v/>
      </c>
      <c r="N667" s="245">
        <f t="shared" si="94"/>
        <v>0</v>
      </c>
      <c r="O667" s="245">
        <f t="shared" si="95"/>
        <v>0</v>
      </c>
      <c r="P667" t="str">
        <f t="shared" si="96"/>
        <v/>
      </c>
      <c r="Q667" t="str">
        <f>IFERROR(VLOOKUP(P667,数据库!C:M,11,0),"")</f>
        <v/>
      </c>
      <c r="R667" t="str">
        <f t="shared" si="97"/>
        <v/>
      </c>
      <c r="S667">
        <f t="shared" si="98"/>
        <v>0</v>
      </c>
    </row>
    <row r="668" spans="1:19">
      <c r="A668" t="str">
        <f>IF(B668=0,"",发货清单!A668*10^6+COUNTIF($D$2:D668,D668)*10^3+ROW(A667))</f>
        <v/>
      </c>
      <c r="B668">
        <f>IFERROR(LEFT(发货清单!H668,SEARCH("-",发货清单!H668)-1),发货清单!H668)</f>
        <v>0</v>
      </c>
      <c r="C668" t="str">
        <f>IFERROR(VLOOKUP(发货清单!A668,数据库!A:D,4,0),"")</f>
        <v/>
      </c>
      <c r="D668" t="str">
        <f>IFERROR(VLOOKUP(发货清单!A668,数据库!A:C,3,0),"")</f>
        <v/>
      </c>
      <c r="E668">
        <f>发货清单!M668</f>
        <v>0</v>
      </c>
      <c r="F668">
        <f>发货清单!U668</f>
        <v>0</v>
      </c>
      <c r="G668" t="str">
        <f>IFERROR(VLOOKUP(发货清单!A668,数据库!A:B,2,0),"")</f>
        <v/>
      </c>
      <c r="H668">
        <f>发货清单!N668</f>
        <v>0</v>
      </c>
      <c r="I668" t="str">
        <f t="shared" si="90"/>
        <v/>
      </c>
      <c r="J668" t="str">
        <f t="shared" si="91"/>
        <v xml:space="preserve"> </v>
      </c>
      <c r="K668" t="str">
        <f t="shared" si="92"/>
        <v/>
      </c>
      <c r="L668" t="str">
        <f t="shared" si="93"/>
        <v/>
      </c>
      <c r="N668" s="245">
        <f t="shared" si="94"/>
        <v>0</v>
      </c>
      <c r="O668" s="245">
        <f t="shared" si="95"/>
        <v>0</v>
      </c>
      <c r="P668" t="str">
        <f t="shared" si="96"/>
        <v/>
      </c>
      <c r="Q668" t="str">
        <f>IFERROR(VLOOKUP(P668,数据库!C:M,11,0),"")</f>
        <v/>
      </c>
      <c r="R668" t="str">
        <f t="shared" si="97"/>
        <v/>
      </c>
      <c r="S668">
        <f t="shared" si="98"/>
        <v>0</v>
      </c>
    </row>
    <row r="669" spans="1:19">
      <c r="A669" t="str">
        <f>IF(B669=0,"",发货清单!A669*10^6+COUNTIF($D$2:D669,D669)*10^3+ROW(A668))</f>
        <v/>
      </c>
      <c r="B669">
        <f>IFERROR(LEFT(发货清单!H669,SEARCH("-",发货清单!H669)-1),发货清单!H669)</f>
        <v>0</v>
      </c>
      <c r="C669" t="str">
        <f>IFERROR(VLOOKUP(发货清单!A669,数据库!A:D,4,0),"")</f>
        <v/>
      </c>
      <c r="D669" t="str">
        <f>IFERROR(VLOOKUP(发货清单!A669,数据库!A:C,3,0),"")</f>
        <v/>
      </c>
      <c r="E669">
        <f>发货清单!M669</f>
        <v>0</v>
      </c>
      <c r="F669">
        <f>发货清单!U669</f>
        <v>0</v>
      </c>
      <c r="G669" t="str">
        <f>IFERROR(VLOOKUP(发货清单!A669,数据库!A:B,2,0),"")</f>
        <v/>
      </c>
      <c r="H669">
        <f>发货清单!N669</f>
        <v>0</v>
      </c>
      <c r="I669" t="str">
        <f t="shared" si="90"/>
        <v/>
      </c>
      <c r="J669" t="str">
        <f t="shared" si="91"/>
        <v xml:space="preserve"> </v>
      </c>
      <c r="K669" t="str">
        <f t="shared" si="92"/>
        <v/>
      </c>
      <c r="L669" t="str">
        <f t="shared" si="93"/>
        <v/>
      </c>
      <c r="N669" s="245">
        <f t="shared" si="94"/>
        <v>0</v>
      </c>
      <c r="O669" s="245">
        <f t="shared" si="95"/>
        <v>0</v>
      </c>
      <c r="P669" t="str">
        <f t="shared" si="96"/>
        <v/>
      </c>
      <c r="Q669" t="str">
        <f>IFERROR(VLOOKUP(P669,数据库!C:M,11,0),"")</f>
        <v/>
      </c>
      <c r="R669" t="str">
        <f t="shared" si="97"/>
        <v/>
      </c>
      <c r="S669">
        <f t="shared" si="98"/>
        <v>0</v>
      </c>
    </row>
    <row r="670" spans="1:19">
      <c r="A670" t="str">
        <f>IF(B670=0,"",发货清单!A670*10^6+COUNTIF($D$2:D670,D670)*10^3+ROW(A669))</f>
        <v/>
      </c>
      <c r="B670">
        <f>IFERROR(LEFT(发货清单!H670,SEARCH("-",发货清单!H670)-1),发货清单!H670)</f>
        <v>0</v>
      </c>
      <c r="C670" t="str">
        <f>IFERROR(VLOOKUP(发货清单!A670,数据库!A:D,4,0),"")</f>
        <v/>
      </c>
      <c r="D670" t="str">
        <f>IFERROR(VLOOKUP(发货清单!A670,数据库!A:C,3,0),"")</f>
        <v/>
      </c>
      <c r="E670">
        <f>发货清单!M670</f>
        <v>0</v>
      </c>
      <c r="F670">
        <f>发货清单!U670</f>
        <v>0</v>
      </c>
      <c r="G670" t="str">
        <f>IFERROR(VLOOKUP(发货清单!A670,数据库!A:B,2,0),"")</f>
        <v/>
      </c>
      <c r="H670">
        <f>发货清单!N670</f>
        <v>0</v>
      </c>
      <c r="I670" t="str">
        <f t="shared" si="90"/>
        <v/>
      </c>
      <c r="J670" t="str">
        <f t="shared" si="91"/>
        <v xml:space="preserve"> </v>
      </c>
      <c r="K670" t="str">
        <f t="shared" si="92"/>
        <v/>
      </c>
      <c r="L670" t="str">
        <f t="shared" si="93"/>
        <v/>
      </c>
      <c r="N670" s="245">
        <f t="shared" si="94"/>
        <v>0</v>
      </c>
      <c r="O670" s="245">
        <f t="shared" si="95"/>
        <v>0</v>
      </c>
      <c r="P670" t="str">
        <f t="shared" si="96"/>
        <v/>
      </c>
      <c r="Q670" t="str">
        <f>IFERROR(VLOOKUP(P670,数据库!C:M,11,0),"")</f>
        <v/>
      </c>
      <c r="R670" t="str">
        <f t="shared" si="97"/>
        <v/>
      </c>
      <c r="S670">
        <f t="shared" si="98"/>
        <v>0</v>
      </c>
    </row>
    <row r="671" spans="1:19">
      <c r="A671" t="str">
        <f>IF(B671=0,"",发货清单!A671*10^6+COUNTIF($D$2:D671,D671)*10^3+ROW(A670))</f>
        <v/>
      </c>
      <c r="B671">
        <f>IFERROR(LEFT(发货清单!H671,SEARCH("-",发货清单!H671)-1),发货清单!H671)</f>
        <v>0</v>
      </c>
      <c r="C671" t="str">
        <f>IFERROR(VLOOKUP(发货清单!A671,数据库!A:D,4,0),"")</f>
        <v/>
      </c>
      <c r="D671" t="str">
        <f>IFERROR(VLOOKUP(发货清单!A671,数据库!A:C,3,0),"")</f>
        <v/>
      </c>
      <c r="E671">
        <f>发货清单!M671</f>
        <v>0</v>
      </c>
      <c r="F671">
        <f>发货清单!U671</f>
        <v>0</v>
      </c>
      <c r="G671" t="str">
        <f>IFERROR(VLOOKUP(发货清单!A671,数据库!A:B,2,0),"")</f>
        <v/>
      </c>
      <c r="H671">
        <f>发货清单!N671</f>
        <v>0</v>
      </c>
      <c r="I671" t="str">
        <f t="shared" si="90"/>
        <v/>
      </c>
      <c r="J671" t="str">
        <f t="shared" si="91"/>
        <v xml:space="preserve"> </v>
      </c>
      <c r="K671" t="str">
        <f t="shared" si="92"/>
        <v/>
      </c>
      <c r="L671" t="str">
        <f t="shared" si="93"/>
        <v/>
      </c>
      <c r="N671" s="245">
        <f t="shared" si="94"/>
        <v>0</v>
      </c>
      <c r="O671" s="245">
        <f t="shared" si="95"/>
        <v>0</v>
      </c>
      <c r="P671" t="str">
        <f t="shared" si="96"/>
        <v/>
      </c>
      <c r="Q671" t="str">
        <f>IFERROR(VLOOKUP(P671,数据库!C:M,11,0),"")</f>
        <v/>
      </c>
      <c r="R671" t="str">
        <f t="shared" si="97"/>
        <v/>
      </c>
      <c r="S671">
        <f t="shared" si="98"/>
        <v>0</v>
      </c>
    </row>
    <row r="672" spans="1:19">
      <c r="A672" t="str">
        <f>IF(B672=0,"",发货清单!A672*10^6+COUNTIF($D$2:D672,D672)*10^3+ROW(A671))</f>
        <v/>
      </c>
      <c r="B672">
        <f>IFERROR(LEFT(发货清单!H672,SEARCH("-",发货清单!H672)-1),发货清单!H672)</f>
        <v>0</v>
      </c>
      <c r="C672" t="str">
        <f>IFERROR(VLOOKUP(发货清单!A672,数据库!A:D,4,0),"")</f>
        <v/>
      </c>
      <c r="D672" t="str">
        <f>IFERROR(VLOOKUP(发货清单!A672,数据库!A:C,3,0),"")</f>
        <v/>
      </c>
      <c r="E672">
        <f>发货清单!M672</f>
        <v>0</v>
      </c>
      <c r="F672">
        <f>发货清单!U672</f>
        <v>0</v>
      </c>
      <c r="G672" t="str">
        <f>IFERROR(VLOOKUP(发货清单!A672,数据库!A:B,2,0),"")</f>
        <v/>
      </c>
      <c r="H672">
        <f>发货清单!N672</f>
        <v>0</v>
      </c>
      <c r="I672" t="str">
        <f t="shared" si="90"/>
        <v/>
      </c>
      <c r="J672" t="str">
        <f t="shared" si="91"/>
        <v xml:space="preserve"> </v>
      </c>
      <c r="K672" t="str">
        <f t="shared" si="92"/>
        <v/>
      </c>
      <c r="L672" t="str">
        <f t="shared" si="93"/>
        <v/>
      </c>
      <c r="N672" s="245">
        <f t="shared" si="94"/>
        <v>0</v>
      </c>
      <c r="O672" s="245">
        <f t="shared" si="95"/>
        <v>0</v>
      </c>
      <c r="P672" t="str">
        <f t="shared" si="96"/>
        <v/>
      </c>
      <c r="Q672" t="str">
        <f>IFERROR(VLOOKUP(P672,数据库!C:M,11,0),"")</f>
        <v/>
      </c>
      <c r="R672" t="str">
        <f t="shared" si="97"/>
        <v/>
      </c>
      <c r="S672">
        <f t="shared" si="98"/>
        <v>0</v>
      </c>
    </row>
    <row r="673" spans="1:19">
      <c r="A673" t="str">
        <f>IF(B673=0,"",发货清单!A673*10^6+COUNTIF($D$2:D673,D673)*10^3+ROW(A672))</f>
        <v/>
      </c>
      <c r="B673">
        <f>IFERROR(LEFT(发货清单!H673,SEARCH("-",发货清单!H673)-1),发货清单!H673)</f>
        <v>0</v>
      </c>
      <c r="C673" t="str">
        <f>IFERROR(VLOOKUP(发货清单!A673,数据库!A:D,4,0),"")</f>
        <v/>
      </c>
      <c r="D673" t="str">
        <f>IFERROR(VLOOKUP(发货清单!A673,数据库!A:C,3,0),"")</f>
        <v/>
      </c>
      <c r="E673">
        <f>发货清单!M673</f>
        <v>0</v>
      </c>
      <c r="F673">
        <f>发货清单!U673</f>
        <v>0</v>
      </c>
      <c r="G673" t="str">
        <f>IFERROR(VLOOKUP(发货清单!A673,数据库!A:B,2,0),"")</f>
        <v/>
      </c>
      <c r="H673">
        <f>发货清单!N673</f>
        <v>0</v>
      </c>
      <c r="I673" t="str">
        <f t="shared" si="90"/>
        <v/>
      </c>
      <c r="J673" t="str">
        <f t="shared" si="91"/>
        <v xml:space="preserve"> </v>
      </c>
      <c r="K673" t="str">
        <f t="shared" si="92"/>
        <v/>
      </c>
      <c r="L673" t="str">
        <f t="shared" si="93"/>
        <v/>
      </c>
      <c r="N673" s="245">
        <f t="shared" si="94"/>
        <v>0</v>
      </c>
      <c r="O673" s="245">
        <f t="shared" si="95"/>
        <v>0</v>
      </c>
      <c r="P673" t="str">
        <f t="shared" si="96"/>
        <v/>
      </c>
      <c r="Q673" t="str">
        <f>IFERROR(VLOOKUP(P673,数据库!C:M,11,0),"")</f>
        <v/>
      </c>
      <c r="R673" t="str">
        <f t="shared" si="97"/>
        <v/>
      </c>
      <c r="S673">
        <f t="shared" si="98"/>
        <v>0</v>
      </c>
    </row>
    <row r="674" spans="1:19">
      <c r="A674" t="str">
        <f>IF(B674=0,"",发货清单!A674*10^6+COUNTIF($D$2:D674,D674)*10^3+ROW(A673))</f>
        <v/>
      </c>
      <c r="B674">
        <f>IFERROR(LEFT(发货清单!H674,SEARCH("-",发货清单!H674)-1),发货清单!H674)</f>
        <v>0</v>
      </c>
      <c r="C674" t="str">
        <f>IFERROR(VLOOKUP(发货清单!A674,数据库!A:D,4,0),"")</f>
        <v/>
      </c>
      <c r="D674" t="str">
        <f>IFERROR(VLOOKUP(发货清单!A674,数据库!A:C,3,0),"")</f>
        <v/>
      </c>
      <c r="E674">
        <f>发货清单!M674</f>
        <v>0</v>
      </c>
      <c r="F674">
        <f>发货清单!U674</f>
        <v>0</v>
      </c>
      <c r="G674" t="str">
        <f>IFERROR(VLOOKUP(发货清单!A674,数据库!A:B,2,0),"")</f>
        <v/>
      </c>
      <c r="H674">
        <f>发货清单!N674</f>
        <v>0</v>
      </c>
      <c r="I674" t="str">
        <f t="shared" si="90"/>
        <v/>
      </c>
      <c r="J674" t="str">
        <f t="shared" si="91"/>
        <v xml:space="preserve"> </v>
      </c>
      <c r="K674" t="str">
        <f t="shared" si="92"/>
        <v/>
      </c>
      <c r="L674" t="str">
        <f t="shared" si="93"/>
        <v/>
      </c>
      <c r="N674" s="245">
        <f t="shared" si="94"/>
        <v>0</v>
      </c>
      <c r="O674" s="245">
        <f t="shared" si="95"/>
        <v>0</v>
      </c>
      <c r="P674" t="str">
        <f t="shared" si="96"/>
        <v/>
      </c>
      <c r="Q674" t="str">
        <f>IFERROR(VLOOKUP(P674,数据库!C:M,11,0),"")</f>
        <v/>
      </c>
      <c r="R674" t="str">
        <f t="shared" si="97"/>
        <v/>
      </c>
      <c r="S674">
        <f t="shared" si="98"/>
        <v>0</v>
      </c>
    </row>
    <row r="675" spans="1:19">
      <c r="A675" t="str">
        <f>IF(B675=0,"",发货清单!A675*10^6+COUNTIF($D$2:D675,D675)*10^3+ROW(A674))</f>
        <v/>
      </c>
      <c r="B675">
        <f>IFERROR(LEFT(发货清单!H675,SEARCH("-",发货清单!H675)-1),发货清单!H675)</f>
        <v>0</v>
      </c>
      <c r="C675" t="str">
        <f>IFERROR(VLOOKUP(发货清单!A675,数据库!A:D,4,0),"")</f>
        <v/>
      </c>
      <c r="D675" t="str">
        <f>IFERROR(VLOOKUP(发货清单!A675,数据库!A:C,3,0),"")</f>
        <v/>
      </c>
      <c r="E675">
        <f>发货清单!M675</f>
        <v>0</v>
      </c>
      <c r="F675">
        <f>发货清单!U675</f>
        <v>0</v>
      </c>
      <c r="G675" t="str">
        <f>IFERROR(VLOOKUP(发货清单!A675,数据库!A:B,2,0),"")</f>
        <v/>
      </c>
      <c r="H675">
        <f>发货清单!N675</f>
        <v>0</v>
      </c>
      <c r="I675" t="str">
        <f t="shared" si="90"/>
        <v/>
      </c>
      <c r="J675" t="str">
        <f t="shared" si="91"/>
        <v xml:space="preserve"> </v>
      </c>
      <c r="K675" t="str">
        <f t="shared" si="92"/>
        <v/>
      </c>
      <c r="L675" t="str">
        <f t="shared" si="93"/>
        <v/>
      </c>
      <c r="N675" s="245">
        <f t="shared" si="94"/>
        <v>0</v>
      </c>
      <c r="O675" s="245">
        <f t="shared" si="95"/>
        <v>0</v>
      </c>
      <c r="P675" t="str">
        <f t="shared" si="96"/>
        <v/>
      </c>
      <c r="Q675" t="str">
        <f>IFERROR(VLOOKUP(P675,数据库!C:M,11,0),"")</f>
        <v/>
      </c>
      <c r="R675" t="str">
        <f t="shared" si="97"/>
        <v/>
      </c>
      <c r="S675">
        <f t="shared" si="98"/>
        <v>0</v>
      </c>
    </row>
    <row r="676" spans="1:19">
      <c r="A676" t="str">
        <f>IF(B676=0,"",发货清单!A676*10^6+COUNTIF($D$2:D676,D676)*10^3+ROW(A675))</f>
        <v/>
      </c>
      <c r="B676">
        <f>IFERROR(LEFT(发货清单!H676,SEARCH("-",发货清单!H676)-1),发货清单!H676)</f>
        <v>0</v>
      </c>
      <c r="C676" t="str">
        <f>IFERROR(VLOOKUP(发货清单!A676,数据库!A:D,4,0),"")</f>
        <v/>
      </c>
      <c r="D676" t="str">
        <f>IFERROR(VLOOKUP(发货清单!A676,数据库!A:C,3,0),"")</f>
        <v/>
      </c>
      <c r="E676">
        <f>发货清单!M676</f>
        <v>0</v>
      </c>
      <c r="F676">
        <f>发货清单!U676</f>
        <v>0</v>
      </c>
      <c r="G676" t="str">
        <f>IFERROR(VLOOKUP(发货清单!A676,数据库!A:B,2,0),"")</f>
        <v/>
      </c>
      <c r="H676">
        <f>发货清单!N676</f>
        <v>0</v>
      </c>
      <c r="I676" t="str">
        <f t="shared" si="90"/>
        <v/>
      </c>
      <c r="J676" t="str">
        <f t="shared" si="91"/>
        <v xml:space="preserve"> </v>
      </c>
      <c r="K676" t="str">
        <f t="shared" si="92"/>
        <v/>
      </c>
      <c r="L676" t="str">
        <f t="shared" si="93"/>
        <v/>
      </c>
      <c r="N676" s="245">
        <f t="shared" si="94"/>
        <v>0</v>
      </c>
      <c r="O676" s="245">
        <f t="shared" si="95"/>
        <v>0</v>
      </c>
      <c r="P676" t="str">
        <f t="shared" si="96"/>
        <v/>
      </c>
      <c r="Q676" t="str">
        <f>IFERROR(VLOOKUP(P676,数据库!C:M,11,0),"")</f>
        <v/>
      </c>
      <c r="R676" t="str">
        <f t="shared" si="97"/>
        <v/>
      </c>
      <c r="S676">
        <f t="shared" si="98"/>
        <v>0</v>
      </c>
    </row>
    <row r="677" spans="1:19">
      <c r="A677" t="str">
        <f>IF(B677=0,"",发货清单!A677*10^6+COUNTIF($D$2:D677,D677)*10^3+ROW(A676))</f>
        <v/>
      </c>
      <c r="B677">
        <f>IFERROR(LEFT(发货清单!H677,SEARCH("-",发货清单!H677)-1),发货清单!H677)</f>
        <v>0</v>
      </c>
      <c r="C677" t="str">
        <f>IFERROR(VLOOKUP(发货清单!A677,数据库!A:D,4,0),"")</f>
        <v/>
      </c>
      <c r="D677" t="str">
        <f>IFERROR(VLOOKUP(发货清单!A677,数据库!A:C,3,0),"")</f>
        <v/>
      </c>
      <c r="E677">
        <f>发货清单!M677</f>
        <v>0</v>
      </c>
      <c r="F677">
        <f>发货清单!U677</f>
        <v>0</v>
      </c>
      <c r="G677" t="str">
        <f>IFERROR(VLOOKUP(发货清单!A677,数据库!A:B,2,0),"")</f>
        <v/>
      </c>
      <c r="H677">
        <f>发货清单!N677</f>
        <v>0</v>
      </c>
      <c r="I677" t="str">
        <f t="shared" si="90"/>
        <v/>
      </c>
      <c r="J677" t="str">
        <f t="shared" si="91"/>
        <v xml:space="preserve"> </v>
      </c>
      <c r="K677" t="str">
        <f t="shared" si="92"/>
        <v/>
      </c>
      <c r="L677" t="str">
        <f t="shared" si="93"/>
        <v/>
      </c>
      <c r="N677" s="245">
        <f t="shared" si="94"/>
        <v>0</v>
      </c>
      <c r="O677" s="245">
        <f t="shared" si="95"/>
        <v>0</v>
      </c>
      <c r="P677" t="str">
        <f t="shared" si="96"/>
        <v/>
      </c>
      <c r="Q677" t="str">
        <f>IFERROR(VLOOKUP(P677,数据库!C:M,11,0),"")</f>
        <v/>
      </c>
      <c r="R677" t="str">
        <f t="shared" si="97"/>
        <v/>
      </c>
      <c r="S677">
        <f t="shared" si="98"/>
        <v>0</v>
      </c>
    </row>
    <row r="678" spans="1:19">
      <c r="A678" t="str">
        <f>IF(B678=0,"",发货清单!A678*10^6+COUNTIF($D$2:D678,D678)*10^3+ROW(A677))</f>
        <v/>
      </c>
      <c r="B678">
        <f>IFERROR(LEFT(发货清单!H678,SEARCH("-",发货清单!H678)-1),发货清单!H678)</f>
        <v>0</v>
      </c>
      <c r="C678" t="str">
        <f>IFERROR(VLOOKUP(发货清单!A678,数据库!A:D,4,0),"")</f>
        <v/>
      </c>
      <c r="D678" t="str">
        <f>IFERROR(VLOOKUP(发货清单!A678,数据库!A:C,3,0),"")</f>
        <v/>
      </c>
      <c r="E678">
        <f>发货清单!M678</f>
        <v>0</v>
      </c>
      <c r="F678">
        <f>发货清单!U678</f>
        <v>0</v>
      </c>
      <c r="G678" t="str">
        <f>IFERROR(VLOOKUP(发货清单!A678,数据库!A:B,2,0),"")</f>
        <v/>
      </c>
      <c r="H678">
        <f>发货清单!N678</f>
        <v>0</v>
      </c>
      <c r="I678" t="str">
        <f t="shared" si="90"/>
        <v/>
      </c>
      <c r="J678" t="str">
        <f t="shared" si="91"/>
        <v xml:space="preserve"> </v>
      </c>
      <c r="K678" t="str">
        <f t="shared" si="92"/>
        <v/>
      </c>
      <c r="L678" t="str">
        <f t="shared" si="93"/>
        <v/>
      </c>
      <c r="N678" s="245">
        <f t="shared" si="94"/>
        <v>0</v>
      </c>
      <c r="O678" s="245">
        <f t="shared" si="95"/>
        <v>0</v>
      </c>
      <c r="P678" t="str">
        <f t="shared" si="96"/>
        <v/>
      </c>
      <c r="Q678" t="str">
        <f>IFERROR(VLOOKUP(P678,数据库!C:M,11,0),"")</f>
        <v/>
      </c>
      <c r="R678" t="str">
        <f t="shared" si="97"/>
        <v/>
      </c>
      <c r="S678">
        <f t="shared" si="98"/>
        <v>0</v>
      </c>
    </row>
    <row r="679" spans="1:19">
      <c r="A679" t="str">
        <f>IF(B679=0,"",发货清单!A679*10^6+COUNTIF($D$2:D679,D679)*10^3+ROW(A678))</f>
        <v/>
      </c>
      <c r="B679">
        <f>IFERROR(LEFT(发货清单!H679,SEARCH("-",发货清单!H679)-1),发货清单!H679)</f>
        <v>0</v>
      </c>
      <c r="C679" t="str">
        <f>IFERROR(VLOOKUP(发货清单!A679,数据库!A:D,4,0),"")</f>
        <v/>
      </c>
      <c r="D679" t="str">
        <f>IFERROR(VLOOKUP(发货清单!A679,数据库!A:C,3,0),"")</f>
        <v/>
      </c>
      <c r="E679">
        <f>发货清单!M679</f>
        <v>0</v>
      </c>
      <c r="F679">
        <f>发货清单!U679</f>
        <v>0</v>
      </c>
      <c r="G679" t="str">
        <f>IFERROR(VLOOKUP(发货清单!A679,数据库!A:B,2,0),"")</f>
        <v/>
      </c>
      <c r="H679">
        <f>发货清单!N679</f>
        <v>0</v>
      </c>
      <c r="I679" t="str">
        <f t="shared" si="90"/>
        <v/>
      </c>
      <c r="J679" t="str">
        <f t="shared" si="91"/>
        <v xml:space="preserve"> </v>
      </c>
      <c r="K679" t="str">
        <f t="shared" si="92"/>
        <v/>
      </c>
      <c r="L679" t="str">
        <f t="shared" si="93"/>
        <v/>
      </c>
      <c r="N679" s="245">
        <f t="shared" si="94"/>
        <v>0</v>
      </c>
      <c r="O679" s="245">
        <f t="shared" si="95"/>
        <v>0</v>
      </c>
      <c r="P679" t="str">
        <f t="shared" si="96"/>
        <v/>
      </c>
      <c r="Q679" t="str">
        <f>IFERROR(VLOOKUP(P679,数据库!C:M,11,0),"")</f>
        <v/>
      </c>
      <c r="R679" t="str">
        <f t="shared" si="97"/>
        <v/>
      </c>
      <c r="S679">
        <f t="shared" si="98"/>
        <v>0</v>
      </c>
    </row>
    <row r="680" spans="1:19">
      <c r="A680" t="str">
        <f>IF(B680=0,"",发货清单!A680*10^6+COUNTIF($D$2:D680,D680)*10^3+ROW(A679))</f>
        <v/>
      </c>
      <c r="B680">
        <f>IFERROR(LEFT(发货清单!H680,SEARCH("-",发货清单!H680)-1),发货清单!H680)</f>
        <v>0</v>
      </c>
      <c r="C680" t="str">
        <f>IFERROR(VLOOKUP(发货清单!A680,数据库!A:D,4,0),"")</f>
        <v/>
      </c>
      <c r="D680" t="str">
        <f>IFERROR(VLOOKUP(发货清单!A680,数据库!A:C,3,0),"")</f>
        <v/>
      </c>
      <c r="E680">
        <f>发货清单!M680</f>
        <v>0</v>
      </c>
      <c r="F680">
        <f>发货清单!U680</f>
        <v>0</v>
      </c>
      <c r="G680" t="str">
        <f>IFERROR(VLOOKUP(发货清单!A680,数据库!A:B,2,0),"")</f>
        <v/>
      </c>
      <c r="H680">
        <f>发货清单!N680</f>
        <v>0</v>
      </c>
      <c r="I680" t="str">
        <f t="shared" si="90"/>
        <v/>
      </c>
      <c r="J680" t="str">
        <f t="shared" si="91"/>
        <v xml:space="preserve"> </v>
      </c>
      <c r="K680" t="str">
        <f t="shared" si="92"/>
        <v/>
      </c>
      <c r="L680" t="str">
        <f t="shared" si="93"/>
        <v/>
      </c>
      <c r="N680" s="245">
        <f t="shared" si="94"/>
        <v>0</v>
      </c>
      <c r="O680" s="245">
        <f t="shared" si="95"/>
        <v>0</v>
      </c>
      <c r="P680" t="str">
        <f t="shared" si="96"/>
        <v/>
      </c>
      <c r="Q680" t="str">
        <f>IFERROR(VLOOKUP(P680,数据库!C:M,11,0),"")</f>
        <v/>
      </c>
      <c r="R680" t="str">
        <f t="shared" si="97"/>
        <v/>
      </c>
      <c r="S680">
        <f t="shared" si="98"/>
        <v>0</v>
      </c>
    </row>
    <row r="681" spans="1:19">
      <c r="A681" t="str">
        <f>IF(B681=0,"",发货清单!A681*10^6+COUNTIF($D$2:D681,D681)*10^3+ROW(A680))</f>
        <v/>
      </c>
      <c r="B681">
        <f>IFERROR(LEFT(发货清单!H681,SEARCH("-",发货清单!H681)-1),发货清单!H681)</f>
        <v>0</v>
      </c>
      <c r="C681" t="str">
        <f>IFERROR(VLOOKUP(发货清单!A681,数据库!A:D,4,0),"")</f>
        <v/>
      </c>
      <c r="D681" t="str">
        <f>IFERROR(VLOOKUP(发货清单!A681,数据库!A:C,3,0),"")</f>
        <v/>
      </c>
      <c r="E681">
        <f>发货清单!M681</f>
        <v>0</v>
      </c>
      <c r="F681">
        <f>发货清单!U681</f>
        <v>0</v>
      </c>
      <c r="G681" t="str">
        <f>IFERROR(VLOOKUP(发货清单!A681,数据库!A:B,2,0),"")</f>
        <v/>
      </c>
      <c r="H681">
        <f>发货清单!N681</f>
        <v>0</v>
      </c>
      <c r="I681" t="str">
        <f t="shared" si="90"/>
        <v/>
      </c>
      <c r="J681" t="str">
        <f t="shared" si="91"/>
        <v xml:space="preserve"> </v>
      </c>
      <c r="K681" t="str">
        <f t="shared" si="92"/>
        <v/>
      </c>
      <c r="L681" t="str">
        <f t="shared" si="93"/>
        <v/>
      </c>
      <c r="N681" s="245">
        <f t="shared" si="94"/>
        <v>0</v>
      </c>
      <c r="O681" s="245">
        <f t="shared" si="95"/>
        <v>0</v>
      </c>
      <c r="P681" t="str">
        <f t="shared" si="96"/>
        <v/>
      </c>
      <c r="Q681" t="str">
        <f>IFERROR(VLOOKUP(P681,数据库!C:M,11,0),"")</f>
        <v/>
      </c>
      <c r="R681" t="str">
        <f t="shared" si="97"/>
        <v/>
      </c>
      <c r="S681">
        <f t="shared" si="98"/>
        <v>0</v>
      </c>
    </row>
    <row r="682" spans="1:19">
      <c r="A682" t="str">
        <f>IF(B682=0,"",发货清单!A682*10^6+COUNTIF($D$2:D682,D682)*10^3+ROW(A681))</f>
        <v/>
      </c>
      <c r="B682">
        <f>IFERROR(LEFT(发货清单!H682,SEARCH("-",发货清单!H682)-1),发货清单!H682)</f>
        <v>0</v>
      </c>
      <c r="C682" t="str">
        <f>IFERROR(VLOOKUP(发货清单!A682,数据库!A:D,4,0),"")</f>
        <v/>
      </c>
      <c r="D682" t="str">
        <f>IFERROR(VLOOKUP(发货清单!A682,数据库!A:C,3,0),"")</f>
        <v/>
      </c>
      <c r="E682">
        <f>发货清单!M682</f>
        <v>0</v>
      </c>
      <c r="F682">
        <f>发货清单!U682</f>
        <v>0</v>
      </c>
      <c r="G682" t="str">
        <f>IFERROR(VLOOKUP(发货清单!A682,数据库!A:B,2,0),"")</f>
        <v/>
      </c>
      <c r="H682">
        <f>发货清单!N682</f>
        <v>0</v>
      </c>
      <c r="I682" t="str">
        <f t="shared" si="90"/>
        <v/>
      </c>
      <c r="J682" t="str">
        <f t="shared" si="91"/>
        <v xml:space="preserve"> </v>
      </c>
      <c r="K682" t="str">
        <f t="shared" si="92"/>
        <v/>
      </c>
      <c r="L682" t="str">
        <f t="shared" si="93"/>
        <v/>
      </c>
      <c r="N682" s="245">
        <f t="shared" si="94"/>
        <v>0</v>
      </c>
      <c r="O682" s="245">
        <f t="shared" si="95"/>
        <v>0</v>
      </c>
      <c r="P682" t="str">
        <f t="shared" si="96"/>
        <v/>
      </c>
      <c r="Q682" t="str">
        <f>IFERROR(VLOOKUP(P682,数据库!C:M,11,0),"")</f>
        <v/>
      </c>
      <c r="R682" t="str">
        <f t="shared" si="97"/>
        <v/>
      </c>
      <c r="S682">
        <f t="shared" si="98"/>
        <v>0</v>
      </c>
    </row>
    <row r="683" spans="1:19">
      <c r="A683" t="str">
        <f>IF(B683=0,"",发货清单!A683*10^6+COUNTIF($D$2:D683,D683)*10^3+ROW(A682))</f>
        <v/>
      </c>
      <c r="B683">
        <f>IFERROR(LEFT(发货清单!H683,SEARCH("-",发货清单!H683)-1),发货清单!H683)</f>
        <v>0</v>
      </c>
      <c r="C683" t="str">
        <f>IFERROR(VLOOKUP(发货清单!A683,数据库!A:D,4,0),"")</f>
        <v/>
      </c>
      <c r="D683" t="str">
        <f>IFERROR(VLOOKUP(发货清单!A683,数据库!A:C,3,0),"")</f>
        <v/>
      </c>
      <c r="E683">
        <f>发货清单!M683</f>
        <v>0</v>
      </c>
      <c r="F683">
        <f>发货清单!U683</f>
        <v>0</v>
      </c>
      <c r="G683" t="str">
        <f>IFERROR(VLOOKUP(发货清单!A683,数据库!A:B,2,0),"")</f>
        <v/>
      </c>
      <c r="H683">
        <f>发货清单!N683</f>
        <v>0</v>
      </c>
      <c r="I683" t="str">
        <f t="shared" si="90"/>
        <v/>
      </c>
      <c r="J683" t="str">
        <f t="shared" si="91"/>
        <v xml:space="preserve"> </v>
      </c>
      <c r="K683" t="str">
        <f t="shared" si="92"/>
        <v/>
      </c>
      <c r="L683" t="str">
        <f t="shared" si="93"/>
        <v/>
      </c>
      <c r="N683" s="245">
        <f t="shared" si="94"/>
        <v>0</v>
      </c>
      <c r="O683" s="245">
        <f t="shared" si="95"/>
        <v>0</v>
      </c>
      <c r="P683" t="str">
        <f t="shared" si="96"/>
        <v/>
      </c>
      <c r="Q683" t="str">
        <f>IFERROR(VLOOKUP(P683,数据库!C:M,11,0),"")</f>
        <v/>
      </c>
      <c r="R683" t="str">
        <f t="shared" si="97"/>
        <v/>
      </c>
      <c r="S683">
        <f t="shared" si="98"/>
        <v>0</v>
      </c>
    </row>
    <row r="684" spans="1:19">
      <c r="A684" t="str">
        <f>IF(B684=0,"",发货清单!A684*10^6+COUNTIF($D$2:D684,D684)*10^3+ROW(A683))</f>
        <v/>
      </c>
      <c r="B684">
        <f>IFERROR(LEFT(发货清单!H684,SEARCH("-",发货清单!H684)-1),发货清单!H684)</f>
        <v>0</v>
      </c>
      <c r="C684" t="str">
        <f>IFERROR(VLOOKUP(发货清单!A684,数据库!A:D,4,0),"")</f>
        <v/>
      </c>
      <c r="D684" t="str">
        <f>IFERROR(VLOOKUP(发货清单!A684,数据库!A:C,3,0),"")</f>
        <v/>
      </c>
      <c r="E684">
        <f>发货清单!M684</f>
        <v>0</v>
      </c>
      <c r="F684">
        <f>发货清单!U684</f>
        <v>0</v>
      </c>
      <c r="G684" t="str">
        <f>IFERROR(VLOOKUP(发货清单!A684,数据库!A:B,2,0),"")</f>
        <v/>
      </c>
      <c r="H684">
        <f>发货清单!N684</f>
        <v>0</v>
      </c>
      <c r="I684" t="str">
        <f t="shared" si="90"/>
        <v/>
      </c>
      <c r="J684" t="str">
        <f t="shared" si="91"/>
        <v xml:space="preserve"> </v>
      </c>
      <c r="K684" t="str">
        <f t="shared" si="92"/>
        <v/>
      </c>
      <c r="L684" t="str">
        <f t="shared" si="93"/>
        <v/>
      </c>
      <c r="N684" s="245">
        <f t="shared" si="94"/>
        <v>0</v>
      </c>
      <c r="O684" s="245">
        <f t="shared" si="95"/>
        <v>0</v>
      </c>
      <c r="P684" t="str">
        <f t="shared" si="96"/>
        <v/>
      </c>
      <c r="Q684" t="str">
        <f>IFERROR(VLOOKUP(P684,数据库!C:M,11,0),"")</f>
        <v/>
      </c>
      <c r="R684" t="str">
        <f t="shared" si="97"/>
        <v/>
      </c>
      <c r="S684">
        <f t="shared" si="98"/>
        <v>0</v>
      </c>
    </row>
    <row r="685" spans="1:19">
      <c r="A685" t="str">
        <f>IF(B685=0,"",发货清单!A685*10^6+COUNTIF($D$2:D685,D685)*10^3+ROW(A684))</f>
        <v/>
      </c>
      <c r="B685">
        <f>IFERROR(LEFT(发货清单!H685,SEARCH("-",发货清单!H685)-1),发货清单!H685)</f>
        <v>0</v>
      </c>
      <c r="C685" t="str">
        <f>IFERROR(VLOOKUP(发货清单!A685,数据库!A:D,4,0),"")</f>
        <v/>
      </c>
      <c r="D685" t="str">
        <f>IFERROR(VLOOKUP(发货清单!A685,数据库!A:C,3,0),"")</f>
        <v/>
      </c>
      <c r="E685">
        <f>发货清单!M685</f>
        <v>0</v>
      </c>
      <c r="F685">
        <f>发货清单!U685</f>
        <v>0</v>
      </c>
      <c r="G685" t="str">
        <f>IFERROR(VLOOKUP(发货清单!A685,数据库!A:B,2,0),"")</f>
        <v/>
      </c>
      <c r="H685">
        <f>发货清单!N685</f>
        <v>0</v>
      </c>
      <c r="I685" t="str">
        <f t="shared" si="90"/>
        <v/>
      </c>
      <c r="J685" t="str">
        <f t="shared" si="91"/>
        <v xml:space="preserve"> </v>
      </c>
      <c r="K685" t="str">
        <f t="shared" si="92"/>
        <v/>
      </c>
      <c r="L685" t="str">
        <f t="shared" si="93"/>
        <v/>
      </c>
      <c r="N685" s="245">
        <f t="shared" si="94"/>
        <v>0</v>
      </c>
      <c r="O685" s="245">
        <f t="shared" si="95"/>
        <v>0</v>
      </c>
      <c r="P685" t="str">
        <f t="shared" si="96"/>
        <v/>
      </c>
      <c r="Q685" t="str">
        <f>IFERROR(VLOOKUP(P685,数据库!C:M,11,0),"")</f>
        <v/>
      </c>
      <c r="R685" t="str">
        <f t="shared" si="97"/>
        <v/>
      </c>
      <c r="S685">
        <f t="shared" si="98"/>
        <v>0</v>
      </c>
    </row>
    <row r="686" spans="1:19">
      <c r="A686" t="str">
        <f>IF(B686=0,"",发货清单!A686*10^6+COUNTIF($D$2:D686,D686)*10^3+ROW(A685))</f>
        <v/>
      </c>
      <c r="B686">
        <f>IFERROR(LEFT(发货清单!H686,SEARCH("-",发货清单!H686)-1),发货清单!H686)</f>
        <v>0</v>
      </c>
      <c r="C686" t="str">
        <f>IFERROR(VLOOKUP(发货清单!A686,数据库!A:D,4,0),"")</f>
        <v/>
      </c>
      <c r="D686" t="str">
        <f>IFERROR(VLOOKUP(发货清单!A686,数据库!A:C,3,0),"")</f>
        <v/>
      </c>
      <c r="E686">
        <f>发货清单!M686</f>
        <v>0</v>
      </c>
      <c r="F686">
        <f>发货清单!U686</f>
        <v>0</v>
      </c>
      <c r="G686" t="str">
        <f>IFERROR(VLOOKUP(发货清单!A686,数据库!A:B,2,0),"")</f>
        <v/>
      </c>
      <c r="H686">
        <f>发货清单!N686</f>
        <v>0</v>
      </c>
      <c r="I686" t="str">
        <f t="shared" si="90"/>
        <v/>
      </c>
      <c r="J686" t="str">
        <f t="shared" si="91"/>
        <v xml:space="preserve"> </v>
      </c>
      <c r="K686" t="str">
        <f t="shared" si="92"/>
        <v/>
      </c>
      <c r="L686" t="str">
        <f t="shared" si="93"/>
        <v/>
      </c>
      <c r="N686" s="245">
        <f t="shared" si="94"/>
        <v>0</v>
      </c>
      <c r="O686" s="245">
        <f t="shared" si="95"/>
        <v>0</v>
      </c>
      <c r="P686" t="str">
        <f t="shared" si="96"/>
        <v/>
      </c>
      <c r="Q686" t="str">
        <f>IFERROR(VLOOKUP(P686,数据库!C:M,11,0),"")</f>
        <v/>
      </c>
      <c r="R686" t="str">
        <f t="shared" si="97"/>
        <v/>
      </c>
      <c r="S686">
        <f t="shared" si="98"/>
        <v>0</v>
      </c>
    </row>
    <row r="687" spans="1:19">
      <c r="A687" t="str">
        <f>IF(B687=0,"",发货清单!A687*10^6+COUNTIF($D$2:D687,D687)*10^3+ROW(A686))</f>
        <v/>
      </c>
      <c r="B687">
        <f>IFERROR(LEFT(发货清单!H687,SEARCH("-",发货清单!H687)-1),发货清单!H687)</f>
        <v>0</v>
      </c>
      <c r="C687" t="str">
        <f>IFERROR(VLOOKUP(发货清单!A687,数据库!A:D,4,0),"")</f>
        <v/>
      </c>
      <c r="D687" t="str">
        <f>IFERROR(VLOOKUP(发货清单!A687,数据库!A:C,3,0),"")</f>
        <v/>
      </c>
      <c r="E687">
        <f>发货清单!M687</f>
        <v>0</v>
      </c>
      <c r="F687">
        <f>发货清单!U687</f>
        <v>0</v>
      </c>
      <c r="G687" t="str">
        <f>IFERROR(VLOOKUP(发货清单!A687,数据库!A:B,2,0),"")</f>
        <v/>
      </c>
      <c r="H687">
        <f>发货清单!N687</f>
        <v>0</v>
      </c>
      <c r="I687" t="str">
        <f t="shared" si="90"/>
        <v/>
      </c>
      <c r="J687" t="str">
        <f t="shared" si="91"/>
        <v xml:space="preserve"> </v>
      </c>
      <c r="K687" t="str">
        <f t="shared" si="92"/>
        <v/>
      </c>
      <c r="L687" t="str">
        <f t="shared" si="93"/>
        <v/>
      </c>
      <c r="N687" s="245">
        <f t="shared" si="94"/>
        <v>0</v>
      </c>
      <c r="O687" s="245">
        <f t="shared" si="95"/>
        <v>0</v>
      </c>
      <c r="P687" t="str">
        <f t="shared" si="96"/>
        <v/>
      </c>
      <c r="Q687" t="str">
        <f>IFERROR(VLOOKUP(P687,数据库!C:M,11,0),"")</f>
        <v/>
      </c>
      <c r="R687" t="str">
        <f t="shared" si="97"/>
        <v/>
      </c>
      <c r="S687">
        <f t="shared" si="98"/>
        <v>0</v>
      </c>
    </row>
    <row r="688" spans="1:19">
      <c r="A688" t="str">
        <f>IF(B688=0,"",发货清单!A688*10^6+COUNTIF($D$2:D688,D688)*10^3+ROW(A687))</f>
        <v/>
      </c>
      <c r="B688">
        <f>IFERROR(LEFT(发货清单!H688,SEARCH("-",发货清单!H688)-1),发货清单!H688)</f>
        <v>0</v>
      </c>
      <c r="C688" t="str">
        <f>IFERROR(VLOOKUP(发货清单!A688,数据库!A:D,4,0),"")</f>
        <v/>
      </c>
      <c r="D688" t="str">
        <f>IFERROR(VLOOKUP(发货清单!A688,数据库!A:C,3,0),"")</f>
        <v/>
      </c>
      <c r="E688">
        <f>发货清单!M688</f>
        <v>0</v>
      </c>
      <c r="F688">
        <f>发货清单!U688</f>
        <v>0</v>
      </c>
      <c r="G688" t="str">
        <f>IFERROR(VLOOKUP(发货清单!A688,数据库!A:B,2,0),"")</f>
        <v/>
      </c>
      <c r="H688">
        <f>发货清单!N688</f>
        <v>0</v>
      </c>
      <c r="I688" t="str">
        <f t="shared" si="90"/>
        <v/>
      </c>
      <c r="J688" t="str">
        <f t="shared" si="91"/>
        <v xml:space="preserve"> </v>
      </c>
      <c r="K688" t="str">
        <f t="shared" si="92"/>
        <v/>
      </c>
      <c r="L688" t="str">
        <f t="shared" si="93"/>
        <v/>
      </c>
      <c r="N688" s="245">
        <f t="shared" si="94"/>
        <v>0</v>
      </c>
      <c r="O688" s="245">
        <f t="shared" si="95"/>
        <v>0</v>
      </c>
      <c r="P688" t="str">
        <f t="shared" si="96"/>
        <v/>
      </c>
      <c r="Q688" t="str">
        <f>IFERROR(VLOOKUP(P688,数据库!C:M,11,0),"")</f>
        <v/>
      </c>
      <c r="R688" t="str">
        <f t="shared" si="97"/>
        <v/>
      </c>
      <c r="S688">
        <f t="shared" si="98"/>
        <v>0</v>
      </c>
    </row>
    <row r="689" spans="1:19">
      <c r="A689" t="str">
        <f>IF(B689=0,"",发货清单!A689*10^6+COUNTIF($D$2:D689,D689)*10^3+ROW(A688))</f>
        <v/>
      </c>
      <c r="B689">
        <f>IFERROR(LEFT(发货清单!H689,SEARCH("-",发货清单!H689)-1),发货清单!H689)</f>
        <v>0</v>
      </c>
      <c r="C689" t="str">
        <f>IFERROR(VLOOKUP(发货清单!A689,数据库!A:D,4,0),"")</f>
        <v/>
      </c>
      <c r="D689" t="str">
        <f>IFERROR(VLOOKUP(发货清单!A689,数据库!A:C,3,0),"")</f>
        <v/>
      </c>
      <c r="E689">
        <f>发货清单!M689</f>
        <v>0</v>
      </c>
      <c r="F689">
        <f>发货清单!U689</f>
        <v>0</v>
      </c>
      <c r="G689" t="str">
        <f>IFERROR(VLOOKUP(发货清单!A689,数据库!A:B,2,0),"")</f>
        <v/>
      </c>
      <c r="H689">
        <f>发货清单!N689</f>
        <v>0</v>
      </c>
      <c r="I689" t="str">
        <f t="shared" si="90"/>
        <v/>
      </c>
      <c r="J689" t="str">
        <f t="shared" si="91"/>
        <v xml:space="preserve"> </v>
      </c>
      <c r="K689" t="str">
        <f t="shared" si="92"/>
        <v/>
      </c>
      <c r="L689" t="str">
        <f t="shared" si="93"/>
        <v/>
      </c>
      <c r="N689" s="245">
        <f t="shared" si="94"/>
        <v>0</v>
      </c>
      <c r="O689" s="245">
        <f t="shared" si="95"/>
        <v>0</v>
      </c>
      <c r="P689" t="str">
        <f t="shared" si="96"/>
        <v/>
      </c>
      <c r="Q689" t="str">
        <f>IFERROR(VLOOKUP(P689,数据库!C:M,11,0),"")</f>
        <v/>
      </c>
      <c r="R689" t="str">
        <f t="shared" si="97"/>
        <v/>
      </c>
      <c r="S689">
        <f t="shared" si="98"/>
        <v>0</v>
      </c>
    </row>
    <row r="690" spans="1:19">
      <c r="A690" t="str">
        <f>IF(B690=0,"",发货清单!A690*10^6+COUNTIF($D$2:D690,D690)*10^3+ROW(A689))</f>
        <v/>
      </c>
      <c r="B690">
        <f>IFERROR(LEFT(发货清单!H690,SEARCH("-",发货清单!H690)-1),发货清单!H690)</f>
        <v>0</v>
      </c>
      <c r="C690" t="str">
        <f>IFERROR(VLOOKUP(发货清单!A690,数据库!A:D,4,0),"")</f>
        <v/>
      </c>
      <c r="D690" t="str">
        <f>IFERROR(VLOOKUP(发货清单!A690,数据库!A:C,3,0),"")</f>
        <v/>
      </c>
      <c r="E690">
        <f>发货清单!M690</f>
        <v>0</v>
      </c>
      <c r="F690">
        <f>发货清单!U690</f>
        <v>0</v>
      </c>
      <c r="G690" t="str">
        <f>IFERROR(VLOOKUP(发货清单!A690,数据库!A:B,2,0),"")</f>
        <v/>
      </c>
      <c r="H690">
        <f>发货清单!N690</f>
        <v>0</v>
      </c>
      <c r="I690" t="str">
        <f t="shared" si="90"/>
        <v/>
      </c>
      <c r="J690" t="str">
        <f t="shared" si="91"/>
        <v xml:space="preserve"> </v>
      </c>
      <c r="K690" t="str">
        <f t="shared" si="92"/>
        <v/>
      </c>
      <c r="L690" t="str">
        <f t="shared" si="93"/>
        <v/>
      </c>
      <c r="N690" s="245">
        <f t="shared" si="94"/>
        <v>0</v>
      </c>
      <c r="O690" s="245">
        <f t="shared" si="95"/>
        <v>0</v>
      </c>
      <c r="P690" t="str">
        <f t="shared" si="96"/>
        <v/>
      </c>
      <c r="Q690" t="str">
        <f>IFERROR(VLOOKUP(P690,数据库!C:M,11,0),"")</f>
        <v/>
      </c>
      <c r="R690" t="str">
        <f t="shared" si="97"/>
        <v/>
      </c>
      <c r="S690">
        <f t="shared" si="98"/>
        <v>0</v>
      </c>
    </row>
    <row r="691" spans="1:19">
      <c r="A691" t="str">
        <f>IF(B691=0,"",发货清单!A691*10^6+COUNTIF($D$2:D691,D691)*10^3+ROW(A690))</f>
        <v/>
      </c>
      <c r="B691">
        <f>IFERROR(LEFT(发货清单!H691,SEARCH("-",发货清单!H691)-1),发货清单!H691)</f>
        <v>0</v>
      </c>
      <c r="C691" t="str">
        <f>IFERROR(VLOOKUP(发货清单!A691,数据库!A:D,4,0),"")</f>
        <v/>
      </c>
      <c r="D691" t="str">
        <f>IFERROR(VLOOKUP(发货清单!A691,数据库!A:C,3,0),"")</f>
        <v/>
      </c>
      <c r="E691">
        <f>发货清单!M691</f>
        <v>0</v>
      </c>
      <c r="F691">
        <f>发货清单!U691</f>
        <v>0</v>
      </c>
      <c r="G691" t="str">
        <f>IFERROR(VLOOKUP(发货清单!A691,数据库!A:B,2,0),"")</f>
        <v/>
      </c>
      <c r="H691">
        <f>发货清单!N691</f>
        <v>0</v>
      </c>
      <c r="I691" t="str">
        <f t="shared" si="90"/>
        <v/>
      </c>
      <c r="J691" t="str">
        <f t="shared" si="91"/>
        <v xml:space="preserve"> </v>
      </c>
      <c r="K691" t="str">
        <f t="shared" si="92"/>
        <v/>
      </c>
      <c r="L691" t="str">
        <f t="shared" si="93"/>
        <v/>
      </c>
      <c r="N691" s="245">
        <f t="shared" si="94"/>
        <v>0</v>
      </c>
      <c r="O691" s="245">
        <f t="shared" si="95"/>
        <v>0</v>
      </c>
      <c r="P691" t="str">
        <f t="shared" si="96"/>
        <v/>
      </c>
      <c r="Q691" t="str">
        <f>IFERROR(VLOOKUP(P691,数据库!C:M,11,0),"")</f>
        <v/>
      </c>
      <c r="R691" t="str">
        <f t="shared" si="97"/>
        <v/>
      </c>
      <c r="S691">
        <f t="shared" si="98"/>
        <v>0</v>
      </c>
    </row>
    <row r="692" spans="1:19">
      <c r="A692" t="str">
        <f>IF(B692=0,"",发货清单!A692*10^6+COUNTIF($D$2:D692,D692)*10^3+ROW(A691))</f>
        <v/>
      </c>
      <c r="B692">
        <f>IFERROR(LEFT(发货清单!H692,SEARCH("-",发货清单!H692)-1),发货清单!H692)</f>
        <v>0</v>
      </c>
      <c r="C692" t="str">
        <f>IFERROR(VLOOKUP(发货清单!A692,数据库!A:D,4,0),"")</f>
        <v/>
      </c>
      <c r="D692" t="str">
        <f>IFERROR(VLOOKUP(发货清单!A692,数据库!A:C,3,0),"")</f>
        <v/>
      </c>
      <c r="E692">
        <f>发货清单!M692</f>
        <v>0</v>
      </c>
      <c r="F692">
        <f>发货清单!U692</f>
        <v>0</v>
      </c>
      <c r="G692" t="str">
        <f>IFERROR(VLOOKUP(发货清单!A692,数据库!A:B,2,0),"")</f>
        <v/>
      </c>
      <c r="H692">
        <f>发货清单!N692</f>
        <v>0</v>
      </c>
      <c r="I692" t="str">
        <f t="shared" si="90"/>
        <v/>
      </c>
      <c r="J692" t="str">
        <f t="shared" si="91"/>
        <v xml:space="preserve"> </v>
      </c>
      <c r="K692" t="str">
        <f t="shared" si="92"/>
        <v/>
      </c>
      <c r="L692" t="str">
        <f t="shared" si="93"/>
        <v/>
      </c>
      <c r="N692" s="245">
        <f t="shared" si="94"/>
        <v>0</v>
      </c>
      <c r="O692" s="245">
        <f t="shared" si="95"/>
        <v>0</v>
      </c>
      <c r="P692" t="str">
        <f t="shared" si="96"/>
        <v/>
      </c>
      <c r="Q692" t="str">
        <f>IFERROR(VLOOKUP(P692,数据库!C:M,11,0),"")</f>
        <v/>
      </c>
      <c r="R692" t="str">
        <f t="shared" si="97"/>
        <v/>
      </c>
      <c r="S692">
        <f t="shared" si="98"/>
        <v>0</v>
      </c>
    </row>
    <row r="693" spans="1:19">
      <c r="A693" t="str">
        <f>IF(B693=0,"",发货清单!A693*10^6+COUNTIF($D$2:D693,D693)*10^3+ROW(A692))</f>
        <v/>
      </c>
      <c r="B693">
        <f>IFERROR(LEFT(发货清单!H693,SEARCH("-",发货清单!H693)-1),发货清单!H693)</f>
        <v>0</v>
      </c>
      <c r="C693" t="str">
        <f>IFERROR(VLOOKUP(发货清单!A693,数据库!A:D,4,0),"")</f>
        <v/>
      </c>
      <c r="D693" t="str">
        <f>IFERROR(VLOOKUP(发货清单!A693,数据库!A:C,3,0),"")</f>
        <v/>
      </c>
      <c r="E693">
        <f>发货清单!M693</f>
        <v>0</v>
      </c>
      <c r="F693">
        <f>发货清单!U693</f>
        <v>0</v>
      </c>
      <c r="G693" t="str">
        <f>IFERROR(VLOOKUP(发货清单!A693,数据库!A:B,2,0),"")</f>
        <v/>
      </c>
      <c r="H693">
        <f>发货清单!N693</f>
        <v>0</v>
      </c>
      <c r="I693" t="str">
        <f t="shared" si="90"/>
        <v/>
      </c>
      <c r="J693" t="str">
        <f t="shared" si="91"/>
        <v xml:space="preserve"> </v>
      </c>
      <c r="K693" t="str">
        <f t="shared" si="92"/>
        <v/>
      </c>
      <c r="L693" t="str">
        <f t="shared" si="93"/>
        <v/>
      </c>
      <c r="N693" s="245">
        <f t="shared" si="94"/>
        <v>0</v>
      </c>
      <c r="O693" s="245">
        <f t="shared" si="95"/>
        <v>0</v>
      </c>
      <c r="P693" t="str">
        <f t="shared" si="96"/>
        <v/>
      </c>
      <c r="Q693" t="str">
        <f>IFERROR(VLOOKUP(P693,数据库!C:M,11,0),"")</f>
        <v/>
      </c>
      <c r="R693" t="str">
        <f t="shared" si="97"/>
        <v/>
      </c>
      <c r="S693">
        <f t="shared" si="98"/>
        <v>0</v>
      </c>
    </row>
    <row r="694" spans="1:19">
      <c r="A694" t="str">
        <f>IF(B694=0,"",发货清单!A694*10^6+COUNTIF($D$2:D694,D694)*10^3+ROW(A693))</f>
        <v/>
      </c>
      <c r="B694">
        <f>IFERROR(LEFT(发货清单!H694,SEARCH("-",发货清单!H694)-1),发货清单!H694)</f>
        <v>0</v>
      </c>
      <c r="C694" t="str">
        <f>IFERROR(VLOOKUP(发货清单!A694,数据库!A:D,4,0),"")</f>
        <v/>
      </c>
      <c r="D694" t="str">
        <f>IFERROR(VLOOKUP(发货清单!A694,数据库!A:C,3,0),"")</f>
        <v/>
      </c>
      <c r="E694">
        <f>发货清单!M694</f>
        <v>0</v>
      </c>
      <c r="F694">
        <f>发货清单!U694</f>
        <v>0</v>
      </c>
      <c r="G694" t="str">
        <f>IFERROR(VLOOKUP(发货清单!A694,数据库!A:B,2,0),"")</f>
        <v/>
      </c>
      <c r="H694">
        <f>发货清单!N694</f>
        <v>0</v>
      </c>
      <c r="I694" t="str">
        <f t="shared" si="90"/>
        <v/>
      </c>
      <c r="J694" t="str">
        <f t="shared" si="91"/>
        <v xml:space="preserve"> </v>
      </c>
      <c r="K694" t="str">
        <f t="shared" si="92"/>
        <v/>
      </c>
      <c r="L694" t="str">
        <f t="shared" si="93"/>
        <v/>
      </c>
      <c r="N694" s="245">
        <f t="shared" si="94"/>
        <v>0</v>
      </c>
      <c r="O694" s="245">
        <f t="shared" si="95"/>
        <v>0</v>
      </c>
      <c r="P694" t="str">
        <f t="shared" si="96"/>
        <v/>
      </c>
      <c r="Q694" t="str">
        <f>IFERROR(VLOOKUP(P694,数据库!C:M,11,0),"")</f>
        <v/>
      </c>
      <c r="R694" t="str">
        <f t="shared" si="97"/>
        <v/>
      </c>
      <c r="S694">
        <f t="shared" si="98"/>
        <v>0</v>
      </c>
    </row>
    <row r="695" spans="1:19">
      <c r="A695" t="str">
        <f>IF(B695=0,"",发货清单!A695*10^6+COUNTIF($D$2:D695,D695)*10^3+ROW(A694))</f>
        <v/>
      </c>
      <c r="B695">
        <f>IFERROR(LEFT(发货清单!H695,SEARCH("-",发货清单!H695)-1),发货清单!H695)</f>
        <v>0</v>
      </c>
      <c r="C695" t="str">
        <f>IFERROR(VLOOKUP(发货清单!A695,数据库!A:D,4,0),"")</f>
        <v/>
      </c>
      <c r="D695" t="str">
        <f>IFERROR(VLOOKUP(发货清单!A695,数据库!A:C,3,0),"")</f>
        <v/>
      </c>
      <c r="E695">
        <f>发货清单!M695</f>
        <v>0</v>
      </c>
      <c r="F695">
        <f>发货清单!U695</f>
        <v>0</v>
      </c>
      <c r="G695" t="str">
        <f>IFERROR(VLOOKUP(发货清单!A695,数据库!A:B,2,0),"")</f>
        <v/>
      </c>
      <c r="H695">
        <f>发货清单!N695</f>
        <v>0</v>
      </c>
      <c r="I695" t="str">
        <f t="shared" si="90"/>
        <v/>
      </c>
      <c r="J695" t="str">
        <f t="shared" si="91"/>
        <v xml:space="preserve"> </v>
      </c>
      <c r="K695" t="str">
        <f t="shared" si="92"/>
        <v/>
      </c>
      <c r="L695" t="str">
        <f t="shared" si="93"/>
        <v/>
      </c>
      <c r="N695" s="245">
        <f t="shared" si="94"/>
        <v>0</v>
      </c>
      <c r="O695" s="245">
        <f t="shared" si="95"/>
        <v>0</v>
      </c>
      <c r="P695" t="str">
        <f t="shared" si="96"/>
        <v/>
      </c>
      <c r="Q695" t="str">
        <f>IFERROR(VLOOKUP(P695,数据库!C:M,11,0),"")</f>
        <v/>
      </c>
      <c r="R695" t="str">
        <f t="shared" si="97"/>
        <v/>
      </c>
      <c r="S695">
        <f t="shared" si="98"/>
        <v>0</v>
      </c>
    </row>
    <row r="696" spans="1:19">
      <c r="A696" t="str">
        <f>IF(B696=0,"",发货清单!A696*10^6+COUNTIF($D$2:D696,D696)*10^3+ROW(A695))</f>
        <v/>
      </c>
      <c r="B696">
        <f>IFERROR(LEFT(发货清单!H696,SEARCH("-",发货清单!H696)-1),发货清单!H696)</f>
        <v>0</v>
      </c>
      <c r="C696" t="str">
        <f>IFERROR(VLOOKUP(发货清单!A696,数据库!A:D,4,0),"")</f>
        <v/>
      </c>
      <c r="D696" t="str">
        <f>IFERROR(VLOOKUP(发货清单!A696,数据库!A:C,3,0),"")</f>
        <v/>
      </c>
      <c r="E696">
        <f>发货清单!M696</f>
        <v>0</v>
      </c>
      <c r="F696">
        <f>发货清单!U696</f>
        <v>0</v>
      </c>
      <c r="G696" t="str">
        <f>IFERROR(VLOOKUP(发货清单!A696,数据库!A:B,2,0),"")</f>
        <v/>
      </c>
      <c r="H696">
        <f>发货清单!N696</f>
        <v>0</v>
      </c>
      <c r="I696" t="str">
        <f t="shared" si="90"/>
        <v/>
      </c>
      <c r="J696" t="str">
        <f t="shared" si="91"/>
        <v xml:space="preserve"> </v>
      </c>
      <c r="K696" t="str">
        <f t="shared" si="92"/>
        <v/>
      </c>
      <c r="L696" t="str">
        <f t="shared" si="93"/>
        <v/>
      </c>
      <c r="N696" s="245">
        <f t="shared" si="94"/>
        <v>0</v>
      </c>
      <c r="O696" s="245">
        <f t="shared" si="95"/>
        <v>0</v>
      </c>
      <c r="P696" t="str">
        <f t="shared" si="96"/>
        <v/>
      </c>
      <c r="Q696" t="str">
        <f>IFERROR(VLOOKUP(P696,数据库!C:M,11,0),"")</f>
        <v/>
      </c>
      <c r="R696" t="str">
        <f t="shared" si="97"/>
        <v/>
      </c>
      <c r="S696">
        <f t="shared" si="98"/>
        <v>0</v>
      </c>
    </row>
    <row r="697" spans="1:19">
      <c r="A697" t="str">
        <f>IF(B697=0,"",发货清单!A697*10^6+COUNTIF($D$2:D697,D697)*10^3+ROW(A696))</f>
        <v/>
      </c>
      <c r="B697">
        <f>IFERROR(LEFT(发货清单!H697,SEARCH("-",发货清单!H697)-1),发货清单!H697)</f>
        <v>0</v>
      </c>
      <c r="C697" t="str">
        <f>IFERROR(VLOOKUP(发货清单!A697,数据库!A:D,4,0),"")</f>
        <v/>
      </c>
      <c r="D697" t="str">
        <f>IFERROR(VLOOKUP(发货清单!A697,数据库!A:C,3,0),"")</f>
        <v/>
      </c>
      <c r="E697">
        <f>发货清单!M697</f>
        <v>0</v>
      </c>
      <c r="F697">
        <f>发货清单!U697</f>
        <v>0</v>
      </c>
      <c r="G697" t="str">
        <f>IFERROR(VLOOKUP(发货清单!A697,数据库!A:B,2,0),"")</f>
        <v/>
      </c>
      <c r="H697">
        <f>发货清单!N697</f>
        <v>0</v>
      </c>
      <c r="I697" t="str">
        <f t="shared" si="90"/>
        <v/>
      </c>
      <c r="J697" t="str">
        <f t="shared" si="91"/>
        <v xml:space="preserve"> </v>
      </c>
      <c r="K697" t="str">
        <f t="shared" si="92"/>
        <v/>
      </c>
      <c r="L697" t="str">
        <f t="shared" si="93"/>
        <v/>
      </c>
      <c r="N697" s="245">
        <f t="shared" si="94"/>
        <v>0</v>
      </c>
      <c r="O697" s="245">
        <f t="shared" si="95"/>
        <v>0</v>
      </c>
      <c r="P697" t="str">
        <f t="shared" si="96"/>
        <v/>
      </c>
      <c r="Q697" t="str">
        <f>IFERROR(VLOOKUP(P697,数据库!C:M,11,0),"")</f>
        <v/>
      </c>
      <c r="R697" t="str">
        <f t="shared" si="97"/>
        <v/>
      </c>
      <c r="S697">
        <f t="shared" si="98"/>
        <v>0</v>
      </c>
    </row>
    <row r="698" spans="1:19">
      <c r="A698" t="str">
        <f>IF(B698=0,"",发货清单!A698*10^6+COUNTIF($D$2:D698,D698)*10^3+ROW(A697))</f>
        <v/>
      </c>
      <c r="B698">
        <f>IFERROR(LEFT(发货清单!H698,SEARCH("-",发货清单!H698)-1),发货清单!H698)</f>
        <v>0</v>
      </c>
      <c r="C698" t="str">
        <f>IFERROR(VLOOKUP(发货清单!A698,数据库!A:D,4,0),"")</f>
        <v/>
      </c>
      <c r="D698" t="str">
        <f>IFERROR(VLOOKUP(发货清单!A698,数据库!A:C,3,0),"")</f>
        <v/>
      </c>
      <c r="E698">
        <f>发货清单!M698</f>
        <v>0</v>
      </c>
      <c r="F698">
        <f>发货清单!U698</f>
        <v>0</v>
      </c>
      <c r="G698" t="str">
        <f>IFERROR(VLOOKUP(发货清单!A698,数据库!A:B,2,0),"")</f>
        <v/>
      </c>
      <c r="H698">
        <f>发货清单!N698</f>
        <v>0</v>
      </c>
      <c r="I698" t="str">
        <f t="shared" si="90"/>
        <v/>
      </c>
      <c r="J698" t="str">
        <f t="shared" si="91"/>
        <v xml:space="preserve"> </v>
      </c>
      <c r="K698" t="str">
        <f t="shared" si="92"/>
        <v/>
      </c>
      <c r="L698" t="str">
        <f t="shared" si="93"/>
        <v/>
      </c>
      <c r="N698" s="245">
        <f t="shared" si="94"/>
        <v>0</v>
      </c>
      <c r="O698" s="245">
        <f t="shared" si="95"/>
        <v>0</v>
      </c>
      <c r="P698" t="str">
        <f t="shared" si="96"/>
        <v/>
      </c>
      <c r="Q698" t="str">
        <f>IFERROR(VLOOKUP(P698,数据库!C:M,11,0),"")</f>
        <v/>
      </c>
      <c r="R698" t="str">
        <f t="shared" si="97"/>
        <v/>
      </c>
      <c r="S698">
        <f t="shared" si="98"/>
        <v>0</v>
      </c>
    </row>
    <row r="699" spans="1:19">
      <c r="A699" t="str">
        <f>IF(B699=0,"",发货清单!A699*10^6+COUNTIF($D$2:D699,D699)*10^3+ROW(A698))</f>
        <v/>
      </c>
      <c r="B699">
        <f>IFERROR(LEFT(发货清单!H699,SEARCH("-",发货清单!H699)-1),发货清单!H699)</f>
        <v>0</v>
      </c>
      <c r="C699" t="str">
        <f>IFERROR(VLOOKUP(发货清单!A699,数据库!A:D,4,0),"")</f>
        <v/>
      </c>
      <c r="D699" t="str">
        <f>IFERROR(VLOOKUP(发货清单!A699,数据库!A:C,3,0),"")</f>
        <v/>
      </c>
      <c r="E699">
        <f>发货清单!M699</f>
        <v>0</v>
      </c>
      <c r="F699">
        <f>发货清单!U699</f>
        <v>0</v>
      </c>
      <c r="G699" t="str">
        <f>IFERROR(VLOOKUP(发货清单!A699,数据库!A:B,2,0),"")</f>
        <v/>
      </c>
      <c r="H699">
        <f>发货清单!N699</f>
        <v>0</v>
      </c>
      <c r="I699" t="str">
        <f t="shared" si="90"/>
        <v/>
      </c>
      <c r="J699" t="str">
        <f t="shared" si="91"/>
        <v xml:space="preserve"> </v>
      </c>
      <c r="K699" t="str">
        <f t="shared" si="92"/>
        <v/>
      </c>
      <c r="L699" t="str">
        <f t="shared" si="93"/>
        <v/>
      </c>
      <c r="N699" s="245">
        <f t="shared" si="94"/>
        <v>0</v>
      </c>
      <c r="O699" s="245">
        <f t="shared" si="95"/>
        <v>0</v>
      </c>
      <c r="P699" t="str">
        <f t="shared" si="96"/>
        <v/>
      </c>
      <c r="Q699" t="str">
        <f>IFERROR(VLOOKUP(P699,数据库!C:M,11,0),"")</f>
        <v/>
      </c>
      <c r="R699" t="str">
        <f t="shared" si="97"/>
        <v/>
      </c>
      <c r="S699">
        <f t="shared" si="98"/>
        <v>0</v>
      </c>
    </row>
    <row r="700" spans="1:19">
      <c r="A700" t="str">
        <f>IF(B700=0,"",发货清单!A700*10^6+COUNTIF($D$2:D700,D700)*10^3+ROW(A699))</f>
        <v/>
      </c>
      <c r="B700">
        <f>IFERROR(LEFT(发货清单!H700,SEARCH("-",发货清单!H700)-1),发货清单!H700)</f>
        <v>0</v>
      </c>
      <c r="C700" t="str">
        <f>IFERROR(VLOOKUP(发货清单!A700,数据库!A:D,4,0),"")</f>
        <v/>
      </c>
      <c r="D700" t="str">
        <f>IFERROR(VLOOKUP(发货清单!A700,数据库!A:C,3,0),"")</f>
        <v/>
      </c>
      <c r="E700">
        <f>发货清单!M700</f>
        <v>0</v>
      </c>
      <c r="F700">
        <f>发货清单!U700</f>
        <v>0</v>
      </c>
      <c r="G700" t="str">
        <f>IFERROR(VLOOKUP(发货清单!A700,数据库!A:B,2,0),"")</f>
        <v/>
      </c>
      <c r="H700">
        <f>发货清单!N700</f>
        <v>0</v>
      </c>
      <c r="I700" t="str">
        <f t="shared" si="90"/>
        <v/>
      </c>
      <c r="J700" t="str">
        <f t="shared" si="91"/>
        <v xml:space="preserve"> </v>
      </c>
      <c r="K700" t="str">
        <f t="shared" si="92"/>
        <v/>
      </c>
      <c r="L700" t="str">
        <f t="shared" si="93"/>
        <v/>
      </c>
      <c r="N700" s="245">
        <f t="shared" si="94"/>
        <v>0</v>
      </c>
      <c r="O700" s="245">
        <f t="shared" si="95"/>
        <v>0</v>
      </c>
      <c r="P700" t="str">
        <f t="shared" si="96"/>
        <v/>
      </c>
      <c r="Q700" t="str">
        <f>IFERROR(VLOOKUP(P700,数据库!C:M,11,0),"")</f>
        <v/>
      </c>
      <c r="R700" t="str">
        <f t="shared" si="97"/>
        <v/>
      </c>
      <c r="S700">
        <f t="shared" si="98"/>
        <v>0</v>
      </c>
    </row>
    <row r="701" spans="1:19">
      <c r="A701" t="str">
        <f>IF(B701=0,"",发货清单!A701*10^6+COUNTIF($D$2:D701,D701)*10^3+ROW(A700))</f>
        <v/>
      </c>
      <c r="B701">
        <f>IFERROR(LEFT(发货清单!H701,SEARCH("-",发货清单!H701)-1),发货清单!H701)</f>
        <v>0</v>
      </c>
      <c r="C701" t="str">
        <f>IFERROR(VLOOKUP(发货清单!A701,数据库!A:D,4,0),"")</f>
        <v/>
      </c>
      <c r="D701" t="str">
        <f>IFERROR(VLOOKUP(发货清单!A701,数据库!A:C,3,0),"")</f>
        <v/>
      </c>
      <c r="E701">
        <f>发货清单!M701</f>
        <v>0</v>
      </c>
      <c r="F701">
        <f>发货清单!U701</f>
        <v>0</v>
      </c>
      <c r="G701" t="str">
        <f>IFERROR(VLOOKUP(发货清单!A701,数据库!A:B,2,0),"")</f>
        <v/>
      </c>
      <c r="H701">
        <f>发货清单!N701</f>
        <v>0</v>
      </c>
      <c r="I701" t="str">
        <f t="shared" si="90"/>
        <v/>
      </c>
      <c r="J701" t="str">
        <f t="shared" si="91"/>
        <v xml:space="preserve"> </v>
      </c>
      <c r="K701" t="str">
        <f t="shared" si="92"/>
        <v/>
      </c>
      <c r="L701" t="str">
        <f t="shared" si="93"/>
        <v/>
      </c>
      <c r="N701" s="245">
        <f t="shared" si="94"/>
        <v>0</v>
      </c>
      <c r="O701" s="245">
        <f t="shared" si="95"/>
        <v>0</v>
      </c>
      <c r="P701" t="str">
        <f t="shared" si="96"/>
        <v/>
      </c>
      <c r="Q701" t="str">
        <f>IFERROR(VLOOKUP(P701,数据库!C:M,11,0),"")</f>
        <v/>
      </c>
      <c r="R701" t="str">
        <f t="shared" si="97"/>
        <v/>
      </c>
      <c r="S701">
        <f t="shared" si="98"/>
        <v>0</v>
      </c>
    </row>
    <row r="702" spans="1:19">
      <c r="A702" t="str">
        <f>IF(B702=0,"",发货清单!A702*10^6+COUNTIF($D$2:D702,D702)*10^3+ROW(A701))</f>
        <v/>
      </c>
      <c r="B702">
        <f>IFERROR(LEFT(发货清单!H702,SEARCH("-",发货清单!H702)-1),发货清单!H702)</f>
        <v>0</v>
      </c>
      <c r="C702" t="str">
        <f>IFERROR(VLOOKUP(发货清单!A702,数据库!A:D,4,0),"")</f>
        <v/>
      </c>
      <c r="D702" t="str">
        <f>IFERROR(VLOOKUP(发货清单!A702,数据库!A:C,3,0),"")</f>
        <v/>
      </c>
      <c r="E702">
        <f>发货清单!M702</f>
        <v>0</v>
      </c>
      <c r="F702">
        <f>发货清单!U702</f>
        <v>0</v>
      </c>
      <c r="G702" t="str">
        <f>IFERROR(VLOOKUP(发货清单!A702,数据库!A:B,2,0),"")</f>
        <v/>
      </c>
      <c r="H702">
        <f>发货清单!N702</f>
        <v>0</v>
      </c>
      <c r="I702" t="str">
        <f t="shared" si="90"/>
        <v/>
      </c>
      <c r="J702" t="str">
        <f t="shared" si="91"/>
        <v xml:space="preserve"> </v>
      </c>
      <c r="K702" t="str">
        <f t="shared" si="92"/>
        <v/>
      </c>
      <c r="L702" t="str">
        <f t="shared" si="93"/>
        <v/>
      </c>
      <c r="N702" s="245">
        <f t="shared" si="94"/>
        <v>0</v>
      </c>
      <c r="O702" s="245">
        <f t="shared" si="95"/>
        <v>0</v>
      </c>
      <c r="P702" t="str">
        <f t="shared" si="96"/>
        <v/>
      </c>
      <c r="Q702" t="str">
        <f>IFERROR(VLOOKUP(P702,数据库!C:M,11,0),"")</f>
        <v/>
      </c>
      <c r="R702" t="str">
        <f t="shared" si="97"/>
        <v/>
      </c>
      <c r="S702">
        <f t="shared" si="98"/>
        <v>0</v>
      </c>
    </row>
    <row r="703" spans="1:19">
      <c r="A703" t="str">
        <f>IF(B703=0,"",发货清单!A703*10^6+COUNTIF($D$2:D703,D703)*10^3+ROW(A702))</f>
        <v/>
      </c>
      <c r="B703">
        <f>IFERROR(LEFT(发货清单!H703,SEARCH("-",发货清单!H703)-1),发货清单!H703)</f>
        <v>0</v>
      </c>
      <c r="C703" t="str">
        <f>IFERROR(VLOOKUP(发货清单!A703,数据库!A:D,4,0),"")</f>
        <v/>
      </c>
      <c r="D703" t="str">
        <f>IFERROR(VLOOKUP(发货清单!A703,数据库!A:C,3,0),"")</f>
        <v/>
      </c>
      <c r="E703">
        <f>发货清单!M703</f>
        <v>0</v>
      </c>
      <c r="F703">
        <f>发货清单!U703</f>
        <v>0</v>
      </c>
      <c r="G703" t="str">
        <f>IFERROR(VLOOKUP(发货清单!A703,数据库!A:B,2,0),"")</f>
        <v/>
      </c>
      <c r="H703">
        <f>发货清单!N703</f>
        <v>0</v>
      </c>
      <c r="I703" t="str">
        <f t="shared" si="90"/>
        <v/>
      </c>
      <c r="J703" t="str">
        <f t="shared" si="91"/>
        <v xml:space="preserve"> </v>
      </c>
      <c r="K703" t="str">
        <f t="shared" si="92"/>
        <v/>
      </c>
      <c r="L703" t="str">
        <f t="shared" si="93"/>
        <v/>
      </c>
      <c r="N703" s="245">
        <f t="shared" si="94"/>
        <v>0</v>
      </c>
      <c r="O703" s="245">
        <f t="shared" si="95"/>
        <v>0</v>
      </c>
      <c r="P703" t="str">
        <f t="shared" si="96"/>
        <v/>
      </c>
      <c r="Q703" t="str">
        <f>IFERROR(VLOOKUP(P703,数据库!C:M,11,0),"")</f>
        <v/>
      </c>
      <c r="R703" t="str">
        <f t="shared" si="97"/>
        <v/>
      </c>
      <c r="S703">
        <f t="shared" si="98"/>
        <v>0</v>
      </c>
    </row>
    <row r="704" spans="1:19">
      <c r="A704" t="str">
        <f>IF(B704=0,"",发货清单!A704*10^6+COUNTIF($D$2:D704,D704)*10^3+ROW(A703))</f>
        <v/>
      </c>
      <c r="B704">
        <f>IFERROR(LEFT(发货清单!H704,SEARCH("-",发货清单!H704)-1),发货清单!H704)</f>
        <v>0</v>
      </c>
      <c r="C704" t="str">
        <f>IFERROR(VLOOKUP(发货清单!A704,数据库!A:D,4,0),"")</f>
        <v/>
      </c>
      <c r="D704" t="str">
        <f>IFERROR(VLOOKUP(发货清单!A704,数据库!A:C,3,0),"")</f>
        <v/>
      </c>
      <c r="E704">
        <f>发货清单!M704</f>
        <v>0</v>
      </c>
      <c r="F704">
        <f>发货清单!U704</f>
        <v>0</v>
      </c>
      <c r="G704" t="str">
        <f>IFERROR(VLOOKUP(发货清单!A704,数据库!A:B,2,0),"")</f>
        <v/>
      </c>
      <c r="H704">
        <f>发货清单!N704</f>
        <v>0</v>
      </c>
      <c r="I704" t="str">
        <f t="shared" si="90"/>
        <v/>
      </c>
      <c r="J704" t="str">
        <f t="shared" si="91"/>
        <v xml:space="preserve"> </v>
      </c>
      <c r="K704" t="str">
        <f t="shared" si="92"/>
        <v/>
      </c>
      <c r="L704" t="str">
        <f t="shared" si="93"/>
        <v/>
      </c>
      <c r="N704" s="245">
        <f t="shared" si="94"/>
        <v>0</v>
      </c>
      <c r="O704" s="245">
        <f t="shared" si="95"/>
        <v>0</v>
      </c>
      <c r="P704" t="str">
        <f t="shared" si="96"/>
        <v/>
      </c>
      <c r="Q704" t="str">
        <f>IFERROR(VLOOKUP(P704,数据库!C:M,11,0),"")</f>
        <v/>
      </c>
      <c r="R704" t="str">
        <f t="shared" si="97"/>
        <v/>
      </c>
      <c r="S704">
        <f t="shared" si="98"/>
        <v>0</v>
      </c>
    </row>
    <row r="705" spans="1:19">
      <c r="A705" t="str">
        <f>IF(B705=0,"",发货清单!A705*10^6+COUNTIF($D$2:D705,D705)*10^3+ROW(A704))</f>
        <v/>
      </c>
      <c r="B705">
        <f>IFERROR(LEFT(发货清单!H705,SEARCH("-",发货清单!H705)-1),发货清单!H705)</f>
        <v>0</v>
      </c>
      <c r="C705" t="str">
        <f>IFERROR(VLOOKUP(发货清单!A705,数据库!A:D,4,0),"")</f>
        <v/>
      </c>
      <c r="D705" t="str">
        <f>IFERROR(VLOOKUP(发货清单!A705,数据库!A:C,3,0),"")</f>
        <v/>
      </c>
      <c r="E705">
        <f>发货清单!M705</f>
        <v>0</v>
      </c>
      <c r="F705">
        <f>发货清单!U705</f>
        <v>0</v>
      </c>
      <c r="G705" t="str">
        <f>IFERROR(VLOOKUP(发货清单!A705,数据库!A:B,2,0),"")</f>
        <v/>
      </c>
      <c r="H705">
        <f>发货清单!N705</f>
        <v>0</v>
      </c>
      <c r="I705" t="str">
        <f t="shared" si="90"/>
        <v/>
      </c>
      <c r="J705" t="str">
        <f t="shared" si="91"/>
        <v xml:space="preserve"> </v>
      </c>
      <c r="K705" t="str">
        <f t="shared" si="92"/>
        <v/>
      </c>
      <c r="L705" t="str">
        <f t="shared" si="93"/>
        <v/>
      </c>
      <c r="N705" s="245">
        <f t="shared" si="94"/>
        <v>0</v>
      </c>
      <c r="O705" s="245">
        <f t="shared" si="95"/>
        <v>0</v>
      </c>
      <c r="P705" t="str">
        <f t="shared" si="96"/>
        <v/>
      </c>
      <c r="Q705" t="str">
        <f>IFERROR(VLOOKUP(P705,数据库!C:M,11,0),"")</f>
        <v/>
      </c>
      <c r="R705" t="str">
        <f t="shared" si="97"/>
        <v/>
      </c>
      <c r="S705">
        <f t="shared" si="98"/>
        <v>0</v>
      </c>
    </row>
    <row r="706" spans="1:19">
      <c r="A706" t="str">
        <f>IF(B706=0,"",发货清单!A706*10^6+COUNTIF($D$2:D706,D706)*10^3+ROW(A705))</f>
        <v/>
      </c>
      <c r="B706">
        <f>IFERROR(LEFT(发货清单!H706,SEARCH("-",发货清单!H706)-1),发货清单!H706)</f>
        <v>0</v>
      </c>
      <c r="C706" t="str">
        <f>IFERROR(VLOOKUP(发货清单!A706,数据库!A:D,4,0),"")</f>
        <v/>
      </c>
      <c r="D706" t="str">
        <f>IFERROR(VLOOKUP(发货清单!A706,数据库!A:C,3,0),"")</f>
        <v/>
      </c>
      <c r="E706">
        <f>发货清单!M706</f>
        <v>0</v>
      </c>
      <c r="F706">
        <f>发货清单!U706</f>
        <v>0</v>
      </c>
      <c r="G706" t="str">
        <f>IFERROR(VLOOKUP(发货清单!A706,数据库!A:B,2,0),"")</f>
        <v/>
      </c>
      <c r="H706">
        <f>发货清单!N706</f>
        <v>0</v>
      </c>
      <c r="I706" t="str">
        <f t="shared" si="90"/>
        <v/>
      </c>
      <c r="J706" t="str">
        <f t="shared" si="91"/>
        <v xml:space="preserve"> </v>
      </c>
      <c r="K706" t="str">
        <f t="shared" si="92"/>
        <v/>
      </c>
      <c r="L706" t="str">
        <f t="shared" si="93"/>
        <v/>
      </c>
      <c r="N706" s="245">
        <f t="shared" si="94"/>
        <v>0</v>
      </c>
      <c r="O706" s="245">
        <f t="shared" si="95"/>
        <v>0</v>
      </c>
      <c r="P706" t="str">
        <f t="shared" si="96"/>
        <v/>
      </c>
      <c r="Q706" t="str">
        <f>IFERROR(VLOOKUP(P706,数据库!C:M,11,0),"")</f>
        <v/>
      </c>
      <c r="R706" t="str">
        <f t="shared" si="97"/>
        <v/>
      </c>
      <c r="S706">
        <f t="shared" si="98"/>
        <v>0</v>
      </c>
    </row>
    <row r="707" spans="1:19">
      <c r="A707" t="str">
        <f>IF(B707=0,"",发货清单!A707*10^6+COUNTIF($D$2:D707,D707)*10^3+ROW(A706))</f>
        <v/>
      </c>
      <c r="B707">
        <f>IFERROR(LEFT(发货清单!H707,SEARCH("-",发货清单!H707)-1),发货清单!H707)</f>
        <v>0</v>
      </c>
      <c r="C707" t="str">
        <f>IFERROR(VLOOKUP(发货清单!A707,数据库!A:D,4,0),"")</f>
        <v/>
      </c>
      <c r="D707" t="str">
        <f>IFERROR(VLOOKUP(发货清单!A707,数据库!A:C,3,0),"")</f>
        <v/>
      </c>
      <c r="E707">
        <f>发货清单!M707</f>
        <v>0</v>
      </c>
      <c r="F707">
        <f>发货清单!U707</f>
        <v>0</v>
      </c>
      <c r="G707" t="str">
        <f>IFERROR(VLOOKUP(发货清单!A707,数据库!A:B,2,0),"")</f>
        <v/>
      </c>
      <c r="H707">
        <f>发货清单!N707</f>
        <v>0</v>
      </c>
      <c r="I707" t="str">
        <f t="shared" ref="I707:I770" si="99">IFERROR(SMALL(A:A,ROW(A706)),"")</f>
        <v/>
      </c>
      <c r="J707" t="str">
        <f t="shared" ref="J707:J770" si="100">IFERROR(IF(RIGHT(I707,6)-2000&gt;0," ",I707)," ")</f>
        <v xml:space="preserve"> </v>
      </c>
      <c r="K707" t="str">
        <f t="shared" ref="K707:K770" si="101">IFERROR(SMALL(J:J,ROW(A706)),"")</f>
        <v/>
      </c>
      <c r="L707" t="str">
        <f t="shared" ref="L707:L770" si="102">IFERROR(VLOOKUP(K707,A:G,7,0)," ")</f>
        <v/>
      </c>
      <c r="N707" s="245">
        <f t="shared" ref="N707:N770" si="103">IF(P707=" ",0,SUMIF(D:D,P707,E:E))</f>
        <v>0</v>
      </c>
      <c r="O707" s="245">
        <f t="shared" ref="O707:O770" si="104">SUMIF(D:D,P707,F:F)</f>
        <v>0</v>
      </c>
      <c r="P707" t="str">
        <f t="shared" ref="P707:P770" si="105">IFERROR(VLOOKUP(K707,A:D,4,0)," ")</f>
        <v/>
      </c>
      <c r="Q707" t="str">
        <f>IFERROR(VLOOKUP(P707,数据库!C:M,11,0),"")</f>
        <v/>
      </c>
      <c r="R707" t="str">
        <f t="shared" ref="R707:R770" si="106">IFERROR(VLOOKUP(K707,A:C,3,0)," ")</f>
        <v/>
      </c>
      <c r="S707">
        <f t="shared" ref="S707:S770" si="107">IFERROR(VLOOKUP(K707,A:H,8,0)," ")</f>
        <v>0</v>
      </c>
    </row>
    <row r="708" spans="1:19">
      <c r="A708" t="str">
        <f>IF(B708=0,"",发货清单!A708*10^6+COUNTIF($D$2:D708,D708)*10^3+ROW(A707))</f>
        <v/>
      </c>
      <c r="B708">
        <f>IFERROR(LEFT(发货清单!H708,SEARCH("-",发货清单!H708)-1),发货清单!H708)</f>
        <v>0</v>
      </c>
      <c r="C708" t="str">
        <f>IFERROR(VLOOKUP(发货清单!A708,数据库!A:D,4,0),"")</f>
        <v/>
      </c>
      <c r="D708" t="str">
        <f>IFERROR(VLOOKUP(发货清单!A708,数据库!A:C,3,0),"")</f>
        <v/>
      </c>
      <c r="E708">
        <f>发货清单!M708</f>
        <v>0</v>
      </c>
      <c r="F708">
        <f>发货清单!U708</f>
        <v>0</v>
      </c>
      <c r="G708" t="str">
        <f>IFERROR(VLOOKUP(发货清单!A708,数据库!A:B,2,0),"")</f>
        <v/>
      </c>
      <c r="H708">
        <f>发货清单!N708</f>
        <v>0</v>
      </c>
      <c r="I708" t="str">
        <f t="shared" si="99"/>
        <v/>
      </c>
      <c r="J708" t="str">
        <f t="shared" si="100"/>
        <v xml:space="preserve"> </v>
      </c>
      <c r="K708" t="str">
        <f t="shared" si="101"/>
        <v/>
      </c>
      <c r="L708" t="str">
        <f t="shared" si="102"/>
        <v/>
      </c>
      <c r="N708" s="245">
        <f t="shared" si="103"/>
        <v>0</v>
      </c>
      <c r="O708" s="245">
        <f t="shared" si="104"/>
        <v>0</v>
      </c>
      <c r="P708" t="str">
        <f t="shared" si="105"/>
        <v/>
      </c>
      <c r="Q708" t="str">
        <f>IFERROR(VLOOKUP(P708,数据库!C:M,11,0),"")</f>
        <v/>
      </c>
      <c r="R708" t="str">
        <f t="shared" si="106"/>
        <v/>
      </c>
      <c r="S708">
        <f t="shared" si="107"/>
        <v>0</v>
      </c>
    </row>
    <row r="709" spans="1:19">
      <c r="A709" t="str">
        <f>IF(B709=0,"",发货清单!A709*10^6+COUNTIF($D$2:D709,D709)*10^3+ROW(A708))</f>
        <v/>
      </c>
      <c r="B709">
        <f>IFERROR(LEFT(发货清单!H709,SEARCH("-",发货清单!H709)-1),发货清单!H709)</f>
        <v>0</v>
      </c>
      <c r="C709" t="str">
        <f>IFERROR(VLOOKUP(发货清单!A709,数据库!A:D,4,0),"")</f>
        <v/>
      </c>
      <c r="D709" t="str">
        <f>IFERROR(VLOOKUP(发货清单!A709,数据库!A:C,3,0),"")</f>
        <v/>
      </c>
      <c r="E709">
        <f>发货清单!M709</f>
        <v>0</v>
      </c>
      <c r="F709">
        <f>发货清单!U709</f>
        <v>0</v>
      </c>
      <c r="G709" t="str">
        <f>IFERROR(VLOOKUP(发货清单!A709,数据库!A:B,2,0),"")</f>
        <v/>
      </c>
      <c r="H709">
        <f>发货清单!N709</f>
        <v>0</v>
      </c>
      <c r="I709" t="str">
        <f t="shared" si="99"/>
        <v/>
      </c>
      <c r="J709" t="str">
        <f t="shared" si="100"/>
        <v xml:space="preserve"> </v>
      </c>
      <c r="K709" t="str">
        <f t="shared" si="101"/>
        <v/>
      </c>
      <c r="L709" t="str">
        <f t="shared" si="102"/>
        <v/>
      </c>
      <c r="N709" s="245">
        <f t="shared" si="103"/>
        <v>0</v>
      </c>
      <c r="O709" s="245">
        <f t="shared" si="104"/>
        <v>0</v>
      </c>
      <c r="P709" t="str">
        <f t="shared" si="105"/>
        <v/>
      </c>
      <c r="Q709" t="str">
        <f>IFERROR(VLOOKUP(P709,数据库!C:M,11,0),"")</f>
        <v/>
      </c>
      <c r="R709" t="str">
        <f t="shared" si="106"/>
        <v/>
      </c>
      <c r="S709">
        <f t="shared" si="107"/>
        <v>0</v>
      </c>
    </row>
    <row r="710" spans="1:19">
      <c r="A710" t="str">
        <f>IF(B710=0,"",发货清单!A710*10^6+COUNTIF($D$2:D710,D710)*10^3+ROW(A709))</f>
        <v/>
      </c>
      <c r="B710">
        <f>IFERROR(LEFT(发货清单!H710,SEARCH("-",发货清单!H710)-1),发货清单!H710)</f>
        <v>0</v>
      </c>
      <c r="C710" t="str">
        <f>IFERROR(VLOOKUP(发货清单!A710,数据库!A:D,4,0),"")</f>
        <v/>
      </c>
      <c r="D710" t="str">
        <f>IFERROR(VLOOKUP(发货清单!A710,数据库!A:C,3,0),"")</f>
        <v/>
      </c>
      <c r="E710">
        <f>发货清单!M710</f>
        <v>0</v>
      </c>
      <c r="F710">
        <f>发货清单!U710</f>
        <v>0</v>
      </c>
      <c r="G710" t="str">
        <f>IFERROR(VLOOKUP(发货清单!A710,数据库!A:B,2,0),"")</f>
        <v/>
      </c>
      <c r="H710">
        <f>发货清单!N710</f>
        <v>0</v>
      </c>
      <c r="I710" t="str">
        <f t="shared" si="99"/>
        <v/>
      </c>
      <c r="J710" t="str">
        <f t="shared" si="100"/>
        <v xml:space="preserve"> </v>
      </c>
      <c r="K710" t="str">
        <f t="shared" si="101"/>
        <v/>
      </c>
      <c r="L710" t="str">
        <f t="shared" si="102"/>
        <v/>
      </c>
      <c r="N710" s="245">
        <f t="shared" si="103"/>
        <v>0</v>
      </c>
      <c r="O710" s="245">
        <f t="shared" si="104"/>
        <v>0</v>
      </c>
      <c r="P710" t="str">
        <f t="shared" si="105"/>
        <v/>
      </c>
      <c r="Q710" t="str">
        <f>IFERROR(VLOOKUP(P710,数据库!C:M,11,0),"")</f>
        <v/>
      </c>
      <c r="R710" t="str">
        <f t="shared" si="106"/>
        <v/>
      </c>
      <c r="S710">
        <f t="shared" si="107"/>
        <v>0</v>
      </c>
    </row>
    <row r="711" spans="1:19">
      <c r="A711" t="str">
        <f>IF(B711=0,"",发货清单!A711*10^6+COUNTIF($D$2:D711,D711)*10^3+ROW(A710))</f>
        <v/>
      </c>
      <c r="B711">
        <f>IFERROR(LEFT(发货清单!H711,SEARCH("-",发货清单!H711)-1),发货清单!H711)</f>
        <v>0</v>
      </c>
      <c r="C711" t="str">
        <f>IFERROR(VLOOKUP(发货清单!A711,数据库!A:D,4,0),"")</f>
        <v/>
      </c>
      <c r="D711" t="str">
        <f>IFERROR(VLOOKUP(发货清单!A711,数据库!A:C,3,0),"")</f>
        <v/>
      </c>
      <c r="E711">
        <f>发货清单!M711</f>
        <v>0</v>
      </c>
      <c r="F711">
        <f>发货清单!U711</f>
        <v>0</v>
      </c>
      <c r="G711" t="str">
        <f>IFERROR(VLOOKUP(发货清单!A711,数据库!A:B,2,0),"")</f>
        <v/>
      </c>
      <c r="H711">
        <f>发货清单!N711</f>
        <v>0</v>
      </c>
      <c r="I711" t="str">
        <f t="shared" si="99"/>
        <v/>
      </c>
      <c r="J711" t="str">
        <f t="shared" si="100"/>
        <v xml:space="preserve"> </v>
      </c>
      <c r="K711" t="str">
        <f t="shared" si="101"/>
        <v/>
      </c>
      <c r="L711" t="str">
        <f t="shared" si="102"/>
        <v/>
      </c>
      <c r="N711" s="245">
        <f t="shared" si="103"/>
        <v>0</v>
      </c>
      <c r="O711" s="245">
        <f t="shared" si="104"/>
        <v>0</v>
      </c>
      <c r="P711" t="str">
        <f t="shared" si="105"/>
        <v/>
      </c>
      <c r="Q711" t="str">
        <f>IFERROR(VLOOKUP(P711,数据库!C:M,11,0),"")</f>
        <v/>
      </c>
      <c r="R711" t="str">
        <f t="shared" si="106"/>
        <v/>
      </c>
      <c r="S711">
        <f t="shared" si="107"/>
        <v>0</v>
      </c>
    </row>
    <row r="712" spans="1:19">
      <c r="A712" t="str">
        <f>IF(B712=0,"",发货清单!A712*10^6+COUNTIF($D$2:D712,D712)*10^3+ROW(A711))</f>
        <v/>
      </c>
      <c r="B712">
        <f>IFERROR(LEFT(发货清单!H712,SEARCH("-",发货清单!H712)-1),发货清单!H712)</f>
        <v>0</v>
      </c>
      <c r="C712" t="str">
        <f>IFERROR(VLOOKUP(发货清单!A712,数据库!A:D,4,0),"")</f>
        <v/>
      </c>
      <c r="D712" t="str">
        <f>IFERROR(VLOOKUP(发货清单!A712,数据库!A:C,3,0),"")</f>
        <v/>
      </c>
      <c r="E712">
        <f>发货清单!M712</f>
        <v>0</v>
      </c>
      <c r="F712">
        <f>发货清单!U712</f>
        <v>0</v>
      </c>
      <c r="G712" t="str">
        <f>IFERROR(VLOOKUP(发货清单!A712,数据库!A:B,2,0),"")</f>
        <v/>
      </c>
      <c r="H712">
        <f>发货清单!N712</f>
        <v>0</v>
      </c>
      <c r="I712" t="str">
        <f t="shared" si="99"/>
        <v/>
      </c>
      <c r="J712" t="str">
        <f t="shared" si="100"/>
        <v xml:space="preserve"> </v>
      </c>
      <c r="K712" t="str">
        <f t="shared" si="101"/>
        <v/>
      </c>
      <c r="L712" t="str">
        <f t="shared" si="102"/>
        <v/>
      </c>
      <c r="N712" s="245">
        <f t="shared" si="103"/>
        <v>0</v>
      </c>
      <c r="O712" s="245">
        <f t="shared" si="104"/>
        <v>0</v>
      </c>
      <c r="P712" t="str">
        <f t="shared" si="105"/>
        <v/>
      </c>
      <c r="Q712" t="str">
        <f>IFERROR(VLOOKUP(P712,数据库!C:M,11,0),"")</f>
        <v/>
      </c>
      <c r="R712" t="str">
        <f t="shared" si="106"/>
        <v/>
      </c>
      <c r="S712">
        <f t="shared" si="107"/>
        <v>0</v>
      </c>
    </row>
    <row r="713" spans="1:19">
      <c r="A713" t="str">
        <f>IF(B713=0,"",发货清单!A713*10^6+COUNTIF($D$2:D713,D713)*10^3+ROW(A712))</f>
        <v/>
      </c>
      <c r="B713">
        <f>IFERROR(LEFT(发货清单!H713,SEARCH("-",发货清单!H713)-1),发货清单!H713)</f>
        <v>0</v>
      </c>
      <c r="C713" t="str">
        <f>IFERROR(VLOOKUP(发货清单!A713,数据库!A:D,4,0),"")</f>
        <v/>
      </c>
      <c r="D713" t="str">
        <f>IFERROR(VLOOKUP(发货清单!A713,数据库!A:C,3,0),"")</f>
        <v/>
      </c>
      <c r="E713">
        <f>发货清单!M713</f>
        <v>0</v>
      </c>
      <c r="F713">
        <f>发货清单!U713</f>
        <v>0</v>
      </c>
      <c r="G713" t="str">
        <f>IFERROR(VLOOKUP(发货清单!A713,数据库!A:B,2,0),"")</f>
        <v/>
      </c>
      <c r="H713">
        <f>发货清单!N713</f>
        <v>0</v>
      </c>
      <c r="I713" t="str">
        <f t="shared" si="99"/>
        <v/>
      </c>
      <c r="J713" t="str">
        <f t="shared" si="100"/>
        <v xml:space="preserve"> </v>
      </c>
      <c r="K713" t="str">
        <f t="shared" si="101"/>
        <v/>
      </c>
      <c r="L713" t="str">
        <f t="shared" si="102"/>
        <v/>
      </c>
      <c r="N713" s="245">
        <f t="shared" si="103"/>
        <v>0</v>
      </c>
      <c r="O713" s="245">
        <f t="shared" si="104"/>
        <v>0</v>
      </c>
      <c r="P713" t="str">
        <f t="shared" si="105"/>
        <v/>
      </c>
      <c r="Q713" t="str">
        <f>IFERROR(VLOOKUP(P713,数据库!C:M,11,0),"")</f>
        <v/>
      </c>
      <c r="R713" t="str">
        <f t="shared" si="106"/>
        <v/>
      </c>
      <c r="S713">
        <f t="shared" si="107"/>
        <v>0</v>
      </c>
    </row>
    <row r="714" spans="1:19">
      <c r="A714" t="str">
        <f>IF(B714=0,"",发货清单!A714*10^6+COUNTIF($D$2:D714,D714)*10^3+ROW(A713))</f>
        <v/>
      </c>
      <c r="B714">
        <f>IFERROR(LEFT(发货清单!H714,SEARCH("-",发货清单!H714)-1),发货清单!H714)</f>
        <v>0</v>
      </c>
      <c r="C714" t="str">
        <f>IFERROR(VLOOKUP(发货清单!A714,数据库!A:D,4,0),"")</f>
        <v/>
      </c>
      <c r="D714" t="str">
        <f>IFERROR(VLOOKUP(发货清单!A714,数据库!A:C,3,0),"")</f>
        <v/>
      </c>
      <c r="E714">
        <f>发货清单!M714</f>
        <v>0</v>
      </c>
      <c r="F714">
        <f>发货清单!U714</f>
        <v>0</v>
      </c>
      <c r="G714" t="str">
        <f>IFERROR(VLOOKUP(发货清单!A714,数据库!A:B,2,0),"")</f>
        <v/>
      </c>
      <c r="H714">
        <f>发货清单!N714</f>
        <v>0</v>
      </c>
      <c r="I714" t="str">
        <f t="shared" si="99"/>
        <v/>
      </c>
      <c r="J714" t="str">
        <f t="shared" si="100"/>
        <v xml:space="preserve"> </v>
      </c>
      <c r="K714" t="str">
        <f t="shared" si="101"/>
        <v/>
      </c>
      <c r="L714" t="str">
        <f t="shared" si="102"/>
        <v/>
      </c>
      <c r="N714" s="245">
        <f t="shared" si="103"/>
        <v>0</v>
      </c>
      <c r="O714" s="245">
        <f t="shared" si="104"/>
        <v>0</v>
      </c>
      <c r="P714" t="str">
        <f t="shared" si="105"/>
        <v/>
      </c>
      <c r="Q714" t="str">
        <f>IFERROR(VLOOKUP(P714,数据库!C:M,11,0),"")</f>
        <v/>
      </c>
      <c r="R714" t="str">
        <f t="shared" si="106"/>
        <v/>
      </c>
      <c r="S714">
        <f t="shared" si="107"/>
        <v>0</v>
      </c>
    </row>
    <row r="715" spans="1:19">
      <c r="A715" t="str">
        <f>IF(B715=0,"",发货清单!A715*10^6+COUNTIF($D$2:D715,D715)*10^3+ROW(A714))</f>
        <v/>
      </c>
      <c r="B715">
        <f>IFERROR(LEFT(发货清单!H715,SEARCH("-",发货清单!H715)-1),发货清单!H715)</f>
        <v>0</v>
      </c>
      <c r="C715" t="str">
        <f>IFERROR(VLOOKUP(发货清单!A715,数据库!A:D,4,0),"")</f>
        <v/>
      </c>
      <c r="D715" t="str">
        <f>IFERROR(VLOOKUP(发货清单!A715,数据库!A:C,3,0),"")</f>
        <v/>
      </c>
      <c r="E715">
        <f>发货清单!M715</f>
        <v>0</v>
      </c>
      <c r="F715">
        <f>发货清单!U715</f>
        <v>0</v>
      </c>
      <c r="G715" t="str">
        <f>IFERROR(VLOOKUP(发货清单!A715,数据库!A:B,2,0),"")</f>
        <v/>
      </c>
      <c r="H715">
        <f>发货清单!N715</f>
        <v>0</v>
      </c>
      <c r="I715" t="str">
        <f t="shared" si="99"/>
        <v/>
      </c>
      <c r="J715" t="str">
        <f t="shared" si="100"/>
        <v xml:space="preserve"> </v>
      </c>
      <c r="K715" t="str">
        <f t="shared" si="101"/>
        <v/>
      </c>
      <c r="L715" t="str">
        <f t="shared" si="102"/>
        <v/>
      </c>
      <c r="N715" s="245">
        <f t="shared" si="103"/>
        <v>0</v>
      </c>
      <c r="O715" s="245">
        <f t="shared" si="104"/>
        <v>0</v>
      </c>
      <c r="P715" t="str">
        <f t="shared" si="105"/>
        <v/>
      </c>
      <c r="Q715" t="str">
        <f>IFERROR(VLOOKUP(P715,数据库!C:M,11,0),"")</f>
        <v/>
      </c>
      <c r="R715" t="str">
        <f t="shared" si="106"/>
        <v/>
      </c>
      <c r="S715">
        <f t="shared" si="107"/>
        <v>0</v>
      </c>
    </row>
    <row r="716" spans="1:19">
      <c r="A716" t="str">
        <f>IF(B716=0,"",发货清单!A716*10^6+COUNTIF($D$2:D716,D716)*10^3+ROW(A715))</f>
        <v/>
      </c>
      <c r="B716">
        <f>IFERROR(LEFT(发货清单!H716,SEARCH("-",发货清单!H716)-1),发货清单!H716)</f>
        <v>0</v>
      </c>
      <c r="C716" t="str">
        <f>IFERROR(VLOOKUP(发货清单!A716,数据库!A:D,4,0),"")</f>
        <v/>
      </c>
      <c r="D716" t="str">
        <f>IFERROR(VLOOKUP(发货清单!A716,数据库!A:C,3,0),"")</f>
        <v/>
      </c>
      <c r="E716">
        <f>发货清单!M716</f>
        <v>0</v>
      </c>
      <c r="F716">
        <f>发货清单!U716</f>
        <v>0</v>
      </c>
      <c r="G716" t="str">
        <f>IFERROR(VLOOKUP(发货清单!A716,数据库!A:B,2,0),"")</f>
        <v/>
      </c>
      <c r="H716">
        <f>发货清单!N716</f>
        <v>0</v>
      </c>
      <c r="I716" t="str">
        <f t="shared" si="99"/>
        <v/>
      </c>
      <c r="J716" t="str">
        <f t="shared" si="100"/>
        <v xml:space="preserve"> </v>
      </c>
      <c r="K716" t="str">
        <f t="shared" si="101"/>
        <v/>
      </c>
      <c r="L716" t="str">
        <f t="shared" si="102"/>
        <v/>
      </c>
      <c r="N716" s="245">
        <f t="shared" si="103"/>
        <v>0</v>
      </c>
      <c r="O716" s="245">
        <f t="shared" si="104"/>
        <v>0</v>
      </c>
      <c r="P716" t="str">
        <f t="shared" si="105"/>
        <v/>
      </c>
      <c r="Q716" t="str">
        <f>IFERROR(VLOOKUP(P716,数据库!C:M,11,0),"")</f>
        <v/>
      </c>
      <c r="R716" t="str">
        <f t="shared" si="106"/>
        <v/>
      </c>
      <c r="S716">
        <f t="shared" si="107"/>
        <v>0</v>
      </c>
    </row>
    <row r="717" spans="1:19">
      <c r="A717" t="str">
        <f>IF(B717=0,"",发货清单!A717*10^6+COUNTIF($D$2:D717,D717)*10^3+ROW(A716))</f>
        <v/>
      </c>
      <c r="B717">
        <f>IFERROR(LEFT(发货清单!H717,SEARCH("-",发货清单!H717)-1),发货清单!H717)</f>
        <v>0</v>
      </c>
      <c r="C717" t="str">
        <f>IFERROR(VLOOKUP(发货清单!A717,数据库!A:D,4,0),"")</f>
        <v/>
      </c>
      <c r="D717" t="str">
        <f>IFERROR(VLOOKUP(发货清单!A717,数据库!A:C,3,0),"")</f>
        <v/>
      </c>
      <c r="E717">
        <f>发货清单!M717</f>
        <v>0</v>
      </c>
      <c r="F717">
        <f>发货清单!U717</f>
        <v>0</v>
      </c>
      <c r="G717" t="str">
        <f>IFERROR(VLOOKUP(发货清单!A717,数据库!A:B,2,0),"")</f>
        <v/>
      </c>
      <c r="H717">
        <f>发货清单!N717</f>
        <v>0</v>
      </c>
      <c r="I717" t="str">
        <f t="shared" si="99"/>
        <v/>
      </c>
      <c r="J717" t="str">
        <f t="shared" si="100"/>
        <v xml:space="preserve"> </v>
      </c>
      <c r="K717" t="str">
        <f t="shared" si="101"/>
        <v/>
      </c>
      <c r="L717" t="str">
        <f t="shared" si="102"/>
        <v/>
      </c>
      <c r="N717" s="245">
        <f t="shared" si="103"/>
        <v>0</v>
      </c>
      <c r="O717" s="245">
        <f t="shared" si="104"/>
        <v>0</v>
      </c>
      <c r="P717" t="str">
        <f t="shared" si="105"/>
        <v/>
      </c>
      <c r="Q717" t="str">
        <f>IFERROR(VLOOKUP(P717,数据库!C:M,11,0),"")</f>
        <v/>
      </c>
      <c r="R717" t="str">
        <f t="shared" si="106"/>
        <v/>
      </c>
      <c r="S717">
        <f t="shared" si="107"/>
        <v>0</v>
      </c>
    </row>
    <row r="718" spans="1:19">
      <c r="A718" t="str">
        <f>IF(B718=0,"",发货清单!A718*10^6+COUNTIF($D$2:D718,D718)*10^3+ROW(A717))</f>
        <v/>
      </c>
      <c r="B718">
        <f>IFERROR(LEFT(发货清单!H718,SEARCH("-",发货清单!H718)-1),发货清单!H718)</f>
        <v>0</v>
      </c>
      <c r="C718" t="str">
        <f>IFERROR(VLOOKUP(发货清单!A718,数据库!A:D,4,0),"")</f>
        <v/>
      </c>
      <c r="D718" t="str">
        <f>IFERROR(VLOOKUP(发货清单!A718,数据库!A:C,3,0),"")</f>
        <v/>
      </c>
      <c r="E718">
        <f>发货清单!M718</f>
        <v>0</v>
      </c>
      <c r="F718">
        <f>发货清单!U718</f>
        <v>0</v>
      </c>
      <c r="G718" t="str">
        <f>IFERROR(VLOOKUP(发货清单!A718,数据库!A:B,2,0),"")</f>
        <v/>
      </c>
      <c r="H718">
        <f>发货清单!N718</f>
        <v>0</v>
      </c>
      <c r="I718" t="str">
        <f t="shared" si="99"/>
        <v/>
      </c>
      <c r="J718" t="str">
        <f t="shared" si="100"/>
        <v xml:space="preserve"> </v>
      </c>
      <c r="K718" t="str">
        <f t="shared" si="101"/>
        <v/>
      </c>
      <c r="L718" t="str">
        <f t="shared" si="102"/>
        <v/>
      </c>
      <c r="N718" s="245">
        <f t="shared" si="103"/>
        <v>0</v>
      </c>
      <c r="O718" s="245">
        <f t="shared" si="104"/>
        <v>0</v>
      </c>
      <c r="P718" t="str">
        <f t="shared" si="105"/>
        <v/>
      </c>
      <c r="Q718" t="str">
        <f>IFERROR(VLOOKUP(P718,数据库!C:M,11,0),"")</f>
        <v/>
      </c>
      <c r="R718" t="str">
        <f t="shared" si="106"/>
        <v/>
      </c>
      <c r="S718">
        <f t="shared" si="107"/>
        <v>0</v>
      </c>
    </row>
    <row r="719" spans="1:19">
      <c r="A719" t="str">
        <f>IF(B719=0,"",发货清单!A719*10^6+COUNTIF($D$2:D719,D719)*10^3+ROW(A718))</f>
        <v/>
      </c>
      <c r="B719">
        <f>IFERROR(LEFT(发货清单!H719,SEARCH("-",发货清单!H719)-1),发货清单!H719)</f>
        <v>0</v>
      </c>
      <c r="C719" t="str">
        <f>IFERROR(VLOOKUP(发货清单!A719,数据库!A:D,4,0),"")</f>
        <v/>
      </c>
      <c r="D719" t="str">
        <f>IFERROR(VLOOKUP(发货清单!A719,数据库!A:C,3,0),"")</f>
        <v/>
      </c>
      <c r="E719">
        <f>发货清单!M719</f>
        <v>0</v>
      </c>
      <c r="F719">
        <f>发货清单!U719</f>
        <v>0</v>
      </c>
      <c r="G719" t="str">
        <f>IFERROR(VLOOKUP(发货清单!A719,数据库!A:B,2,0),"")</f>
        <v/>
      </c>
      <c r="H719">
        <f>发货清单!N719</f>
        <v>0</v>
      </c>
      <c r="I719" t="str">
        <f t="shared" si="99"/>
        <v/>
      </c>
      <c r="J719" t="str">
        <f t="shared" si="100"/>
        <v xml:space="preserve"> </v>
      </c>
      <c r="K719" t="str">
        <f t="shared" si="101"/>
        <v/>
      </c>
      <c r="L719" t="str">
        <f t="shared" si="102"/>
        <v/>
      </c>
      <c r="N719" s="245">
        <f t="shared" si="103"/>
        <v>0</v>
      </c>
      <c r="O719" s="245">
        <f t="shared" si="104"/>
        <v>0</v>
      </c>
      <c r="P719" t="str">
        <f t="shared" si="105"/>
        <v/>
      </c>
      <c r="Q719" t="str">
        <f>IFERROR(VLOOKUP(P719,数据库!C:M,11,0),"")</f>
        <v/>
      </c>
      <c r="R719" t="str">
        <f t="shared" si="106"/>
        <v/>
      </c>
      <c r="S719">
        <f t="shared" si="107"/>
        <v>0</v>
      </c>
    </row>
    <row r="720" spans="1:19">
      <c r="A720" t="str">
        <f>IF(B720=0,"",发货清单!A720*10^6+COUNTIF($D$2:D720,D720)*10^3+ROW(A719))</f>
        <v/>
      </c>
      <c r="B720">
        <f>IFERROR(LEFT(发货清单!H720,SEARCH("-",发货清单!H720)-1),发货清单!H720)</f>
        <v>0</v>
      </c>
      <c r="C720" t="str">
        <f>IFERROR(VLOOKUP(发货清单!A720,数据库!A:D,4,0),"")</f>
        <v/>
      </c>
      <c r="D720" t="str">
        <f>IFERROR(VLOOKUP(发货清单!A720,数据库!A:C,3,0),"")</f>
        <v/>
      </c>
      <c r="E720">
        <f>发货清单!M720</f>
        <v>0</v>
      </c>
      <c r="F720">
        <f>发货清单!U720</f>
        <v>0</v>
      </c>
      <c r="G720" t="str">
        <f>IFERROR(VLOOKUP(发货清单!A720,数据库!A:B,2,0),"")</f>
        <v/>
      </c>
      <c r="H720">
        <f>发货清单!N720</f>
        <v>0</v>
      </c>
      <c r="I720" t="str">
        <f t="shared" si="99"/>
        <v/>
      </c>
      <c r="J720" t="str">
        <f t="shared" si="100"/>
        <v xml:space="preserve"> </v>
      </c>
      <c r="K720" t="str">
        <f t="shared" si="101"/>
        <v/>
      </c>
      <c r="L720" t="str">
        <f t="shared" si="102"/>
        <v/>
      </c>
      <c r="N720" s="245">
        <f t="shared" si="103"/>
        <v>0</v>
      </c>
      <c r="O720" s="245">
        <f t="shared" si="104"/>
        <v>0</v>
      </c>
      <c r="P720" t="str">
        <f t="shared" si="105"/>
        <v/>
      </c>
      <c r="Q720" t="str">
        <f>IFERROR(VLOOKUP(P720,数据库!C:M,11,0),"")</f>
        <v/>
      </c>
      <c r="R720" t="str">
        <f t="shared" si="106"/>
        <v/>
      </c>
      <c r="S720">
        <f t="shared" si="107"/>
        <v>0</v>
      </c>
    </row>
    <row r="721" spans="1:19">
      <c r="A721" t="str">
        <f>IF(B721=0,"",发货清单!A721*10^6+COUNTIF($D$2:D721,D721)*10^3+ROW(A720))</f>
        <v/>
      </c>
      <c r="B721">
        <f>IFERROR(LEFT(发货清单!H721,SEARCH("-",发货清单!H721)-1),发货清单!H721)</f>
        <v>0</v>
      </c>
      <c r="C721" t="str">
        <f>IFERROR(VLOOKUP(发货清单!A721,数据库!A:D,4,0),"")</f>
        <v/>
      </c>
      <c r="D721" t="str">
        <f>IFERROR(VLOOKUP(发货清单!A721,数据库!A:C,3,0),"")</f>
        <v/>
      </c>
      <c r="E721">
        <f>发货清单!M721</f>
        <v>0</v>
      </c>
      <c r="F721">
        <f>发货清单!U721</f>
        <v>0</v>
      </c>
      <c r="G721" t="str">
        <f>IFERROR(VLOOKUP(发货清单!A721,数据库!A:B,2,0),"")</f>
        <v/>
      </c>
      <c r="H721">
        <f>发货清单!N721</f>
        <v>0</v>
      </c>
      <c r="I721" t="str">
        <f t="shared" si="99"/>
        <v/>
      </c>
      <c r="J721" t="str">
        <f t="shared" si="100"/>
        <v xml:space="preserve"> </v>
      </c>
      <c r="K721" t="str">
        <f t="shared" si="101"/>
        <v/>
      </c>
      <c r="L721" t="str">
        <f t="shared" si="102"/>
        <v/>
      </c>
      <c r="N721" s="245">
        <f t="shared" si="103"/>
        <v>0</v>
      </c>
      <c r="O721" s="245">
        <f t="shared" si="104"/>
        <v>0</v>
      </c>
      <c r="P721" t="str">
        <f t="shared" si="105"/>
        <v/>
      </c>
      <c r="Q721" t="str">
        <f>IFERROR(VLOOKUP(P721,数据库!C:M,11,0),"")</f>
        <v/>
      </c>
      <c r="R721" t="str">
        <f t="shared" si="106"/>
        <v/>
      </c>
      <c r="S721">
        <f t="shared" si="107"/>
        <v>0</v>
      </c>
    </row>
    <row r="722" spans="1:19">
      <c r="A722" t="str">
        <f>IF(B722=0,"",发货清单!A722*10^6+COUNTIF($D$2:D722,D722)*10^3+ROW(A721))</f>
        <v/>
      </c>
      <c r="B722">
        <f>IFERROR(LEFT(发货清单!H722,SEARCH("-",发货清单!H722)-1),发货清单!H722)</f>
        <v>0</v>
      </c>
      <c r="C722" t="str">
        <f>IFERROR(VLOOKUP(发货清单!A722,数据库!A:D,4,0),"")</f>
        <v/>
      </c>
      <c r="D722" t="str">
        <f>IFERROR(VLOOKUP(发货清单!A722,数据库!A:C,3,0),"")</f>
        <v/>
      </c>
      <c r="E722">
        <f>发货清单!M722</f>
        <v>0</v>
      </c>
      <c r="F722">
        <f>发货清单!U722</f>
        <v>0</v>
      </c>
      <c r="G722" t="str">
        <f>IFERROR(VLOOKUP(发货清单!A722,数据库!A:B,2,0),"")</f>
        <v/>
      </c>
      <c r="H722">
        <f>发货清单!N722</f>
        <v>0</v>
      </c>
      <c r="I722" t="str">
        <f t="shared" si="99"/>
        <v/>
      </c>
      <c r="J722" t="str">
        <f t="shared" si="100"/>
        <v xml:space="preserve"> </v>
      </c>
      <c r="K722" t="str">
        <f t="shared" si="101"/>
        <v/>
      </c>
      <c r="L722" t="str">
        <f t="shared" si="102"/>
        <v/>
      </c>
      <c r="N722" s="245">
        <f t="shared" si="103"/>
        <v>0</v>
      </c>
      <c r="O722" s="245">
        <f t="shared" si="104"/>
        <v>0</v>
      </c>
      <c r="P722" t="str">
        <f t="shared" si="105"/>
        <v/>
      </c>
      <c r="Q722" t="str">
        <f>IFERROR(VLOOKUP(P722,数据库!C:M,11,0),"")</f>
        <v/>
      </c>
      <c r="R722" t="str">
        <f t="shared" si="106"/>
        <v/>
      </c>
      <c r="S722">
        <f t="shared" si="107"/>
        <v>0</v>
      </c>
    </row>
    <row r="723" spans="1:19">
      <c r="A723" t="str">
        <f>IF(B723=0,"",发货清单!A723*10^6+COUNTIF($D$2:D723,D723)*10^3+ROW(A722))</f>
        <v/>
      </c>
      <c r="B723">
        <f>IFERROR(LEFT(发货清单!H723,SEARCH("-",发货清单!H723)-1),发货清单!H723)</f>
        <v>0</v>
      </c>
      <c r="C723" t="str">
        <f>IFERROR(VLOOKUP(发货清单!A723,数据库!A:D,4,0),"")</f>
        <v/>
      </c>
      <c r="D723" t="str">
        <f>IFERROR(VLOOKUP(发货清单!A723,数据库!A:C,3,0),"")</f>
        <v/>
      </c>
      <c r="E723">
        <f>发货清单!M723</f>
        <v>0</v>
      </c>
      <c r="F723">
        <f>发货清单!U723</f>
        <v>0</v>
      </c>
      <c r="G723" t="str">
        <f>IFERROR(VLOOKUP(发货清单!A723,数据库!A:B,2,0),"")</f>
        <v/>
      </c>
      <c r="H723">
        <f>发货清单!N723</f>
        <v>0</v>
      </c>
      <c r="I723" t="str">
        <f t="shared" si="99"/>
        <v/>
      </c>
      <c r="J723" t="str">
        <f t="shared" si="100"/>
        <v xml:space="preserve"> </v>
      </c>
      <c r="K723" t="str">
        <f t="shared" si="101"/>
        <v/>
      </c>
      <c r="L723" t="str">
        <f t="shared" si="102"/>
        <v/>
      </c>
      <c r="N723" s="245">
        <f t="shared" si="103"/>
        <v>0</v>
      </c>
      <c r="O723" s="245">
        <f t="shared" si="104"/>
        <v>0</v>
      </c>
      <c r="P723" t="str">
        <f t="shared" si="105"/>
        <v/>
      </c>
      <c r="Q723" t="str">
        <f>IFERROR(VLOOKUP(P723,数据库!C:M,11,0),"")</f>
        <v/>
      </c>
      <c r="R723" t="str">
        <f t="shared" si="106"/>
        <v/>
      </c>
      <c r="S723">
        <f t="shared" si="107"/>
        <v>0</v>
      </c>
    </row>
    <row r="724" spans="1:19">
      <c r="A724" t="str">
        <f>IF(B724=0,"",发货清单!A724*10^6+COUNTIF($D$2:D724,D724)*10^3+ROW(A723))</f>
        <v/>
      </c>
      <c r="B724">
        <f>IFERROR(LEFT(发货清单!H724,SEARCH("-",发货清单!H724)-1),发货清单!H724)</f>
        <v>0</v>
      </c>
      <c r="C724" t="str">
        <f>IFERROR(VLOOKUP(发货清单!A724,数据库!A:D,4,0),"")</f>
        <v/>
      </c>
      <c r="D724" t="str">
        <f>IFERROR(VLOOKUP(发货清单!A724,数据库!A:C,3,0),"")</f>
        <v/>
      </c>
      <c r="E724">
        <f>发货清单!M724</f>
        <v>0</v>
      </c>
      <c r="F724">
        <f>发货清单!U724</f>
        <v>0</v>
      </c>
      <c r="G724" t="str">
        <f>IFERROR(VLOOKUP(发货清单!A724,数据库!A:B,2,0),"")</f>
        <v/>
      </c>
      <c r="H724">
        <f>发货清单!N724</f>
        <v>0</v>
      </c>
      <c r="I724" t="str">
        <f t="shared" si="99"/>
        <v/>
      </c>
      <c r="J724" t="str">
        <f t="shared" si="100"/>
        <v xml:space="preserve"> </v>
      </c>
      <c r="K724" t="str">
        <f t="shared" si="101"/>
        <v/>
      </c>
      <c r="L724" t="str">
        <f t="shared" si="102"/>
        <v/>
      </c>
      <c r="N724" s="245">
        <f t="shared" si="103"/>
        <v>0</v>
      </c>
      <c r="O724" s="245">
        <f t="shared" si="104"/>
        <v>0</v>
      </c>
      <c r="P724" t="str">
        <f t="shared" si="105"/>
        <v/>
      </c>
      <c r="Q724" t="str">
        <f>IFERROR(VLOOKUP(P724,数据库!C:M,11,0),"")</f>
        <v/>
      </c>
      <c r="R724" t="str">
        <f t="shared" si="106"/>
        <v/>
      </c>
      <c r="S724">
        <f t="shared" si="107"/>
        <v>0</v>
      </c>
    </row>
    <row r="725" spans="1:19">
      <c r="A725" t="str">
        <f>IF(B725=0,"",发货清单!A725*10^6+COUNTIF($D$2:D725,D725)*10^3+ROW(A724))</f>
        <v/>
      </c>
      <c r="B725">
        <f>IFERROR(LEFT(发货清单!H725,SEARCH("-",发货清单!H725)-1),发货清单!H725)</f>
        <v>0</v>
      </c>
      <c r="C725" t="str">
        <f>IFERROR(VLOOKUP(发货清单!A725,数据库!A:D,4,0),"")</f>
        <v/>
      </c>
      <c r="D725" t="str">
        <f>IFERROR(VLOOKUP(发货清单!A725,数据库!A:C,3,0),"")</f>
        <v/>
      </c>
      <c r="E725">
        <f>发货清单!M725</f>
        <v>0</v>
      </c>
      <c r="F725">
        <f>发货清单!U725</f>
        <v>0</v>
      </c>
      <c r="G725" t="str">
        <f>IFERROR(VLOOKUP(发货清单!A725,数据库!A:B,2,0),"")</f>
        <v/>
      </c>
      <c r="H725">
        <f>发货清单!N725</f>
        <v>0</v>
      </c>
      <c r="I725" t="str">
        <f t="shared" si="99"/>
        <v/>
      </c>
      <c r="J725" t="str">
        <f t="shared" si="100"/>
        <v xml:space="preserve"> </v>
      </c>
      <c r="K725" t="str">
        <f t="shared" si="101"/>
        <v/>
      </c>
      <c r="L725" t="str">
        <f t="shared" si="102"/>
        <v/>
      </c>
      <c r="N725" s="245">
        <f t="shared" si="103"/>
        <v>0</v>
      </c>
      <c r="O725" s="245">
        <f t="shared" si="104"/>
        <v>0</v>
      </c>
      <c r="P725" t="str">
        <f t="shared" si="105"/>
        <v/>
      </c>
      <c r="Q725" t="str">
        <f>IFERROR(VLOOKUP(P725,数据库!C:M,11,0),"")</f>
        <v/>
      </c>
      <c r="R725" t="str">
        <f t="shared" si="106"/>
        <v/>
      </c>
      <c r="S725">
        <f t="shared" si="107"/>
        <v>0</v>
      </c>
    </row>
    <row r="726" spans="1:19">
      <c r="A726" t="str">
        <f>IF(B726=0,"",发货清单!A726*10^6+COUNTIF($D$2:D726,D726)*10^3+ROW(A725))</f>
        <v/>
      </c>
      <c r="B726">
        <f>IFERROR(LEFT(发货清单!H726,SEARCH("-",发货清单!H726)-1),发货清单!H726)</f>
        <v>0</v>
      </c>
      <c r="C726" t="str">
        <f>IFERROR(VLOOKUP(发货清单!A726,数据库!A:D,4,0),"")</f>
        <v/>
      </c>
      <c r="D726" t="str">
        <f>IFERROR(VLOOKUP(发货清单!A726,数据库!A:C,3,0),"")</f>
        <v/>
      </c>
      <c r="E726">
        <f>发货清单!M726</f>
        <v>0</v>
      </c>
      <c r="F726">
        <f>发货清单!U726</f>
        <v>0</v>
      </c>
      <c r="G726" t="str">
        <f>IFERROR(VLOOKUP(发货清单!A726,数据库!A:B,2,0),"")</f>
        <v/>
      </c>
      <c r="H726">
        <f>发货清单!N726</f>
        <v>0</v>
      </c>
      <c r="I726" t="str">
        <f t="shared" si="99"/>
        <v/>
      </c>
      <c r="J726" t="str">
        <f t="shared" si="100"/>
        <v xml:space="preserve"> </v>
      </c>
      <c r="K726" t="str">
        <f t="shared" si="101"/>
        <v/>
      </c>
      <c r="L726" t="str">
        <f t="shared" si="102"/>
        <v/>
      </c>
      <c r="N726" s="245">
        <f t="shared" si="103"/>
        <v>0</v>
      </c>
      <c r="O726" s="245">
        <f t="shared" si="104"/>
        <v>0</v>
      </c>
      <c r="P726" t="str">
        <f t="shared" si="105"/>
        <v/>
      </c>
      <c r="Q726" t="str">
        <f>IFERROR(VLOOKUP(P726,数据库!C:M,11,0),"")</f>
        <v/>
      </c>
      <c r="R726" t="str">
        <f t="shared" si="106"/>
        <v/>
      </c>
      <c r="S726">
        <f t="shared" si="107"/>
        <v>0</v>
      </c>
    </row>
    <row r="727" spans="1:19">
      <c r="A727" t="str">
        <f>IF(B727=0,"",发货清单!A727*10^6+COUNTIF($D$2:D727,D727)*10^3+ROW(A726))</f>
        <v/>
      </c>
      <c r="B727">
        <f>IFERROR(LEFT(发货清单!H727,SEARCH("-",发货清单!H727)-1),发货清单!H727)</f>
        <v>0</v>
      </c>
      <c r="C727" t="str">
        <f>IFERROR(VLOOKUP(发货清单!A727,数据库!A:D,4,0),"")</f>
        <v/>
      </c>
      <c r="D727" t="str">
        <f>IFERROR(VLOOKUP(发货清单!A727,数据库!A:C,3,0),"")</f>
        <v/>
      </c>
      <c r="E727">
        <f>发货清单!M727</f>
        <v>0</v>
      </c>
      <c r="F727">
        <f>发货清单!U727</f>
        <v>0</v>
      </c>
      <c r="G727" t="str">
        <f>IFERROR(VLOOKUP(发货清单!A727,数据库!A:B,2,0),"")</f>
        <v/>
      </c>
      <c r="H727">
        <f>发货清单!N727</f>
        <v>0</v>
      </c>
      <c r="I727" t="str">
        <f t="shared" si="99"/>
        <v/>
      </c>
      <c r="J727" t="str">
        <f t="shared" si="100"/>
        <v xml:space="preserve"> </v>
      </c>
      <c r="K727" t="str">
        <f t="shared" si="101"/>
        <v/>
      </c>
      <c r="L727" t="str">
        <f t="shared" si="102"/>
        <v/>
      </c>
      <c r="N727" s="245">
        <f t="shared" si="103"/>
        <v>0</v>
      </c>
      <c r="O727" s="245">
        <f t="shared" si="104"/>
        <v>0</v>
      </c>
      <c r="P727" t="str">
        <f t="shared" si="105"/>
        <v/>
      </c>
      <c r="Q727" t="str">
        <f>IFERROR(VLOOKUP(P727,数据库!C:M,11,0),"")</f>
        <v/>
      </c>
      <c r="R727" t="str">
        <f t="shared" si="106"/>
        <v/>
      </c>
      <c r="S727">
        <f t="shared" si="107"/>
        <v>0</v>
      </c>
    </row>
    <row r="728" spans="1:19">
      <c r="A728" t="str">
        <f>IF(B728=0,"",发货清单!A728*10^6+COUNTIF($D$2:D728,D728)*10^3+ROW(A727))</f>
        <v/>
      </c>
      <c r="B728">
        <f>IFERROR(LEFT(发货清单!H728,SEARCH("-",发货清单!H728)-1),发货清单!H728)</f>
        <v>0</v>
      </c>
      <c r="C728" t="str">
        <f>IFERROR(VLOOKUP(发货清单!A728,数据库!A:D,4,0),"")</f>
        <v/>
      </c>
      <c r="D728" t="str">
        <f>IFERROR(VLOOKUP(发货清单!A728,数据库!A:C,3,0),"")</f>
        <v/>
      </c>
      <c r="E728">
        <f>发货清单!M728</f>
        <v>0</v>
      </c>
      <c r="F728">
        <f>发货清单!U728</f>
        <v>0</v>
      </c>
      <c r="G728" t="str">
        <f>IFERROR(VLOOKUP(发货清单!A728,数据库!A:B,2,0),"")</f>
        <v/>
      </c>
      <c r="H728">
        <f>发货清单!N728</f>
        <v>0</v>
      </c>
      <c r="I728" t="str">
        <f t="shared" si="99"/>
        <v/>
      </c>
      <c r="J728" t="str">
        <f t="shared" si="100"/>
        <v xml:space="preserve"> </v>
      </c>
      <c r="K728" t="str">
        <f t="shared" si="101"/>
        <v/>
      </c>
      <c r="L728" t="str">
        <f t="shared" si="102"/>
        <v/>
      </c>
      <c r="N728" s="245">
        <f t="shared" si="103"/>
        <v>0</v>
      </c>
      <c r="O728" s="245">
        <f t="shared" si="104"/>
        <v>0</v>
      </c>
      <c r="P728" t="str">
        <f t="shared" si="105"/>
        <v/>
      </c>
      <c r="Q728" t="str">
        <f>IFERROR(VLOOKUP(P728,数据库!C:M,11,0),"")</f>
        <v/>
      </c>
      <c r="R728" t="str">
        <f t="shared" si="106"/>
        <v/>
      </c>
      <c r="S728">
        <f t="shared" si="107"/>
        <v>0</v>
      </c>
    </row>
    <row r="729" spans="1:19">
      <c r="A729" t="str">
        <f>IF(B729=0,"",发货清单!A729*10^6+COUNTIF($D$2:D729,D729)*10^3+ROW(A728))</f>
        <v/>
      </c>
      <c r="B729">
        <f>IFERROR(LEFT(发货清单!H729,SEARCH("-",发货清单!H729)-1),发货清单!H729)</f>
        <v>0</v>
      </c>
      <c r="C729" t="str">
        <f>IFERROR(VLOOKUP(发货清单!A729,数据库!A:D,4,0),"")</f>
        <v/>
      </c>
      <c r="D729" t="str">
        <f>IFERROR(VLOOKUP(发货清单!A729,数据库!A:C,3,0),"")</f>
        <v/>
      </c>
      <c r="E729">
        <f>发货清单!M729</f>
        <v>0</v>
      </c>
      <c r="F729">
        <f>发货清单!U729</f>
        <v>0</v>
      </c>
      <c r="G729" t="str">
        <f>IFERROR(VLOOKUP(发货清单!A729,数据库!A:B,2,0),"")</f>
        <v/>
      </c>
      <c r="H729">
        <f>发货清单!N729</f>
        <v>0</v>
      </c>
      <c r="I729" t="str">
        <f t="shared" si="99"/>
        <v/>
      </c>
      <c r="J729" t="str">
        <f t="shared" si="100"/>
        <v xml:space="preserve"> </v>
      </c>
      <c r="K729" t="str">
        <f t="shared" si="101"/>
        <v/>
      </c>
      <c r="L729" t="str">
        <f t="shared" si="102"/>
        <v/>
      </c>
      <c r="N729" s="245">
        <f t="shared" si="103"/>
        <v>0</v>
      </c>
      <c r="O729" s="245">
        <f t="shared" si="104"/>
        <v>0</v>
      </c>
      <c r="P729" t="str">
        <f t="shared" si="105"/>
        <v/>
      </c>
      <c r="Q729" t="str">
        <f>IFERROR(VLOOKUP(P729,数据库!C:M,11,0),"")</f>
        <v/>
      </c>
      <c r="R729" t="str">
        <f t="shared" si="106"/>
        <v/>
      </c>
      <c r="S729">
        <f t="shared" si="107"/>
        <v>0</v>
      </c>
    </row>
    <row r="730" spans="1:19">
      <c r="A730" t="str">
        <f>IF(B730=0,"",发货清单!A730*10^6+COUNTIF($D$2:D730,D730)*10^3+ROW(A729))</f>
        <v/>
      </c>
      <c r="B730">
        <f>IFERROR(LEFT(发货清单!H730,SEARCH("-",发货清单!H730)-1),发货清单!H730)</f>
        <v>0</v>
      </c>
      <c r="C730" t="str">
        <f>IFERROR(VLOOKUP(发货清单!A730,数据库!A:D,4,0),"")</f>
        <v/>
      </c>
      <c r="D730" t="str">
        <f>IFERROR(VLOOKUP(发货清单!A730,数据库!A:C,3,0),"")</f>
        <v/>
      </c>
      <c r="E730">
        <f>发货清单!M730</f>
        <v>0</v>
      </c>
      <c r="F730">
        <f>发货清单!U730</f>
        <v>0</v>
      </c>
      <c r="G730" t="str">
        <f>IFERROR(VLOOKUP(发货清单!A730,数据库!A:B,2,0),"")</f>
        <v/>
      </c>
      <c r="H730">
        <f>发货清单!N730</f>
        <v>0</v>
      </c>
      <c r="I730" t="str">
        <f t="shared" si="99"/>
        <v/>
      </c>
      <c r="J730" t="str">
        <f t="shared" si="100"/>
        <v xml:space="preserve"> </v>
      </c>
      <c r="K730" t="str">
        <f t="shared" si="101"/>
        <v/>
      </c>
      <c r="L730" t="str">
        <f t="shared" si="102"/>
        <v/>
      </c>
      <c r="N730" s="245">
        <f t="shared" si="103"/>
        <v>0</v>
      </c>
      <c r="O730" s="245">
        <f t="shared" si="104"/>
        <v>0</v>
      </c>
      <c r="P730" t="str">
        <f t="shared" si="105"/>
        <v/>
      </c>
      <c r="Q730" t="str">
        <f>IFERROR(VLOOKUP(P730,数据库!C:M,11,0),"")</f>
        <v/>
      </c>
      <c r="R730" t="str">
        <f t="shared" si="106"/>
        <v/>
      </c>
      <c r="S730">
        <f t="shared" si="107"/>
        <v>0</v>
      </c>
    </row>
    <row r="731" spans="1:19">
      <c r="A731" t="str">
        <f>IF(B731=0,"",发货清单!A731*10^6+COUNTIF($D$2:D731,D731)*10^3+ROW(A730))</f>
        <v/>
      </c>
      <c r="B731">
        <f>IFERROR(LEFT(发货清单!H731,SEARCH("-",发货清单!H731)-1),发货清单!H731)</f>
        <v>0</v>
      </c>
      <c r="C731" t="str">
        <f>IFERROR(VLOOKUP(发货清单!A731,数据库!A:D,4,0),"")</f>
        <v/>
      </c>
      <c r="D731" t="str">
        <f>IFERROR(VLOOKUP(发货清单!A731,数据库!A:C,3,0),"")</f>
        <v/>
      </c>
      <c r="E731">
        <f>发货清单!M731</f>
        <v>0</v>
      </c>
      <c r="F731">
        <f>发货清单!U731</f>
        <v>0</v>
      </c>
      <c r="G731" t="str">
        <f>IFERROR(VLOOKUP(发货清单!A731,数据库!A:B,2,0),"")</f>
        <v/>
      </c>
      <c r="H731">
        <f>发货清单!N731</f>
        <v>0</v>
      </c>
      <c r="I731" t="str">
        <f t="shared" si="99"/>
        <v/>
      </c>
      <c r="J731" t="str">
        <f t="shared" si="100"/>
        <v xml:space="preserve"> </v>
      </c>
      <c r="K731" t="str">
        <f t="shared" si="101"/>
        <v/>
      </c>
      <c r="L731" t="str">
        <f t="shared" si="102"/>
        <v/>
      </c>
      <c r="N731" s="245">
        <f t="shared" si="103"/>
        <v>0</v>
      </c>
      <c r="O731" s="245">
        <f t="shared" si="104"/>
        <v>0</v>
      </c>
      <c r="P731" t="str">
        <f t="shared" si="105"/>
        <v/>
      </c>
      <c r="Q731" t="str">
        <f>IFERROR(VLOOKUP(P731,数据库!C:M,11,0),"")</f>
        <v/>
      </c>
      <c r="R731" t="str">
        <f t="shared" si="106"/>
        <v/>
      </c>
      <c r="S731">
        <f t="shared" si="107"/>
        <v>0</v>
      </c>
    </row>
    <row r="732" spans="1:19">
      <c r="A732" t="str">
        <f>IF(B732=0,"",发货清单!A732*10^6+COUNTIF($D$2:D732,D732)*10^3+ROW(A731))</f>
        <v/>
      </c>
      <c r="B732">
        <f>IFERROR(LEFT(发货清单!H732,SEARCH("-",发货清单!H732)-1),发货清单!H732)</f>
        <v>0</v>
      </c>
      <c r="C732" t="str">
        <f>IFERROR(VLOOKUP(发货清单!A732,数据库!A:D,4,0),"")</f>
        <v/>
      </c>
      <c r="D732" t="str">
        <f>IFERROR(VLOOKUP(发货清单!A732,数据库!A:C,3,0),"")</f>
        <v/>
      </c>
      <c r="E732">
        <f>发货清单!M732</f>
        <v>0</v>
      </c>
      <c r="F732">
        <f>发货清单!U732</f>
        <v>0</v>
      </c>
      <c r="G732" t="str">
        <f>IFERROR(VLOOKUP(发货清单!A732,数据库!A:B,2,0),"")</f>
        <v/>
      </c>
      <c r="H732">
        <f>发货清单!N732</f>
        <v>0</v>
      </c>
      <c r="I732" t="str">
        <f t="shared" si="99"/>
        <v/>
      </c>
      <c r="J732" t="str">
        <f t="shared" si="100"/>
        <v xml:space="preserve"> </v>
      </c>
      <c r="K732" t="str">
        <f t="shared" si="101"/>
        <v/>
      </c>
      <c r="L732" t="str">
        <f t="shared" si="102"/>
        <v/>
      </c>
      <c r="N732" s="245">
        <f t="shared" si="103"/>
        <v>0</v>
      </c>
      <c r="O732" s="245">
        <f t="shared" si="104"/>
        <v>0</v>
      </c>
      <c r="P732" t="str">
        <f t="shared" si="105"/>
        <v/>
      </c>
      <c r="Q732" t="str">
        <f>IFERROR(VLOOKUP(P732,数据库!C:M,11,0),"")</f>
        <v/>
      </c>
      <c r="R732" t="str">
        <f t="shared" si="106"/>
        <v/>
      </c>
      <c r="S732">
        <f t="shared" si="107"/>
        <v>0</v>
      </c>
    </row>
    <row r="733" spans="1:19">
      <c r="A733" t="str">
        <f>IF(B733=0,"",发货清单!A733*10^6+COUNTIF($D$2:D733,D733)*10^3+ROW(A732))</f>
        <v/>
      </c>
      <c r="B733">
        <f>IFERROR(LEFT(发货清单!H733,SEARCH("-",发货清单!H733)-1),发货清单!H733)</f>
        <v>0</v>
      </c>
      <c r="C733" t="str">
        <f>IFERROR(VLOOKUP(发货清单!A733,数据库!A:D,4,0),"")</f>
        <v/>
      </c>
      <c r="D733" t="str">
        <f>IFERROR(VLOOKUP(发货清单!A733,数据库!A:C,3,0),"")</f>
        <v/>
      </c>
      <c r="E733">
        <f>发货清单!M733</f>
        <v>0</v>
      </c>
      <c r="F733">
        <f>发货清单!U733</f>
        <v>0</v>
      </c>
      <c r="G733" t="str">
        <f>IFERROR(VLOOKUP(发货清单!A733,数据库!A:B,2,0),"")</f>
        <v/>
      </c>
      <c r="H733">
        <f>发货清单!N733</f>
        <v>0</v>
      </c>
      <c r="I733" t="str">
        <f t="shared" si="99"/>
        <v/>
      </c>
      <c r="J733" t="str">
        <f t="shared" si="100"/>
        <v xml:space="preserve"> </v>
      </c>
      <c r="K733" t="str">
        <f t="shared" si="101"/>
        <v/>
      </c>
      <c r="L733" t="str">
        <f t="shared" si="102"/>
        <v/>
      </c>
      <c r="N733" s="245">
        <f t="shared" si="103"/>
        <v>0</v>
      </c>
      <c r="O733" s="245">
        <f t="shared" si="104"/>
        <v>0</v>
      </c>
      <c r="P733" t="str">
        <f t="shared" si="105"/>
        <v/>
      </c>
      <c r="Q733" t="str">
        <f>IFERROR(VLOOKUP(P733,数据库!C:M,11,0),"")</f>
        <v/>
      </c>
      <c r="R733" t="str">
        <f t="shared" si="106"/>
        <v/>
      </c>
      <c r="S733">
        <f t="shared" si="107"/>
        <v>0</v>
      </c>
    </row>
    <row r="734" spans="1:19">
      <c r="A734" t="str">
        <f>IF(B734=0,"",发货清单!A734*10^6+COUNTIF($D$2:D734,D734)*10^3+ROW(A733))</f>
        <v/>
      </c>
      <c r="B734">
        <f>IFERROR(LEFT(发货清单!H734,SEARCH("-",发货清单!H734)-1),发货清单!H734)</f>
        <v>0</v>
      </c>
      <c r="C734" t="str">
        <f>IFERROR(VLOOKUP(发货清单!A734,数据库!A:D,4,0),"")</f>
        <v/>
      </c>
      <c r="D734" t="str">
        <f>IFERROR(VLOOKUP(发货清单!A734,数据库!A:C,3,0),"")</f>
        <v/>
      </c>
      <c r="E734">
        <f>发货清单!M734</f>
        <v>0</v>
      </c>
      <c r="F734">
        <f>发货清单!U734</f>
        <v>0</v>
      </c>
      <c r="G734" t="str">
        <f>IFERROR(VLOOKUP(发货清单!A734,数据库!A:B,2,0),"")</f>
        <v/>
      </c>
      <c r="H734">
        <f>发货清单!N734</f>
        <v>0</v>
      </c>
      <c r="I734" t="str">
        <f t="shared" si="99"/>
        <v/>
      </c>
      <c r="J734" t="str">
        <f t="shared" si="100"/>
        <v xml:space="preserve"> </v>
      </c>
      <c r="K734" t="str">
        <f t="shared" si="101"/>
        <v/>
      </c>
      <c r="L734" t="str">
        <f t="shared" si="102"/>
        <v/>
      </c>
      <c r="N734" s="245">
        <f t="shared" si="103"/>
        <v>0</v>
      </c>
      <c r="O734" s="245">
        <f t="shared" si="104"/>
        <v>0</v>
      </c>
      <c r="P734" t="str">
        <f t="shared" si="105"/>
        <v/>
      </c>
      <c r="Q734" t="str">
        <f>IFERROR(VLOOKUP(P734,数据库!C:M,11,0),"")</f>
        <v/>
      </c>
      <c r="R734" t="str">
        <f t="shared" si="106"/>
        <v/>
      </c>
      <c r="S734">
        <f t="shared" si="107"/>
        <v>0</v>
      </c>
    </row>
    <row r="735" spans="1:19">
      <c r="A735" t="str">
        <f>IF(B735=0,"",发货清单!A735*10^6+COUNTIF($D$2:D735,D735)*10^3+ROW(A734))</f>
        <v/>
      </c>
      <c r="B735">
        <f>IFERROR(LEFT(发货清单!H735,SEARCH("-",发货清单!H735)-1),发货清单!H735)</f>
        <v>0</v>
      </c>
      <c r="C735" t="str">
        <f>IFERROR(VLOOKUP(发货清单!A735,数据库!A:D,4,0),"")</f>
        <v/>
      </c>
      <c r="D735" t="str">
        <f>IFERROR(VLOOKUP(发货清单!A735,数据库!A:C,3,0),"")</f>
        <v/>
      </c>
      <c r="E735">
        <f>发货清单!M735</f>
        <v>0</v>
      </c>
      <c r="F735">
        <f>发货清单!U735</f>
        <v>0</v>
      </c>
      <c r="G735" t="str">
        <f>IFERROR(VLOOKUP(发货清单!A735,数据库!A:B,2,0),"")</f>
        <v/>
      </c>
      <c r="H735">
        <f>发货清单!N735</f>
        <v>0</v>
      </c>
      <c r="I735" t="str">
        <f t="shared" si="99"/>
        <v/>
      </c>
      <c r="J735" t="str">
        <f t="shared" si="100"/>
        <v xml:space="preserve"> </v>
      </c>
      <c r="K735" t="str">
        <f t="shared" si="101"/>
        <v/>
      </c>
      <c r="L735" t="str">
        <f t="shared" si="102"/>
        <v/>
      </c>
      <c r="N735" s="245">
        <f t="shared" si="103"/>
        <v>0</v>
      </c>
      <c r="O735" s="245">
        <f t="shared" si="104"/>
        <v>0</v>
      </c>
      <c r="P735" t="str">
        <f t="shared" si="105"/>
        <v/>
      </c>
      <c r="Q735" t="str">
        <f>IFERROR(VLOOKUP(P735,数据库!C:M,11,0),"")</f>
        <v/>
      </c>
      <c r="R735" t="str">
        <f t="shared" si="106"/>
        <v/>
      </c>
      <c r="S735">
        <f t="shared" si="107"/>
        <v>0</v>
      </c>
    </row>
    <row r="736" spans="1:19">
      <c r="A736" t="str">
        <f>IF(B736=0,"",发货清单!A736*10^6+COUNTIF($D$2:D736,D736)*10^3+ROW(A735))</f>
        <v/>
      </c>
      <c r="B736">
        <f>IFERROR(LEFT(发货清单!H736,SEARCH("-",发货清单!H736)-1),发货清单!H736)</f>
        <v>0</v>
      </c>
      <c r="C736" t="str">
        <f>IFERROR(VLOOKUP(发货清单!A736,数据库!A:D,4,0),"")</f>
        <v/>
      </c>
      <c r="D736" t="str">
        <f>IFERROR(VLOOKUP(发货清单!A736,数据库!A:C,3,0),"")</f>
        <v/>
      </c>
      <c r="E736">
        <f>发货清单!M736</f>
        <v>0</v>
      </c>
      <c r="F736">
        <f>发货清单!U736</f>
        <v>0</v>
      </c>
      <c r="G736" t="str">
        <f>IFERROR(VLOOKUP(发货清单!A736,数据库!A:B,2,0),"")</f>
        <v/>
      </c>
      <c r="H736">
        <f>发货清单!N736</f>
        <v>0</v>
      </c>
      <c r="I736" t="str">
        <f t="shared" si="99"/>
        <v/>
      </c>
      <c r="J736" t="str">
        <f t="shared" si="100"/>
        <v xml:space="preserve"> </v>
      </c>
      <c r="K736" t="str">
        <f t="shared" si="101"/>
        <v/>
      </c>
      <c r="L736" t="str">
        <f t="shared" si="102"/>
        <v/>
      </c>
      <c r="N736" s="245">
        <f t="shared" si="103"/>
        <v>0</v>
      </c>
      <c r="O736" s="245">
        <f t="shared" si="104"/>
        <v>0</v>
      </c>
      <c r="P736" t="str">
        <f t="shared" si="105"/>
        <v/>
      </c>
      <c r="Q736" t="str">
        <f>IFERROR(VLOOKUP(P736,数据库!C:M,11,0),"")</f>
        <v/>
      </c>
      <c r="R736" t="str">
        <f t="shared" si="106"/>
        <v/>
      </c>
      <c r="S736">
        <f t="shared" si="107"/>
        <v>0</v>
      </c>
    </row>
    <row r="737" spans="1:19">
      <c r="A737" t="str">
        <f>IF(B737=0,"",发货清单!A737*10^6+COUNTIF($D$2:D737,D737)*10^3+ROW(A736))</f>
        <v/>
      </c>
      <c r="B737">
        <f>IFERROR(LEFT(发货清单!H737,SEARCH("-",发货清单!H737)-1),发货清单!H737)</f>
        <v>0</v>
      </c>
      <c r="C737" t="str">
        <f>IFERROR(VLOOKUP(发货清单!A737,数据库!A:D,4,0),"")</f>
        <v/>
      </c>
      <c r="D737" t="str">
        <f>IFERROR(VLOOKUP(发货清单!A737,数据库!A:C,3,0),"")</f>
        <v/>
      </c>
      <c r="E737">
        <f>发货清单!M737</f>
        <v>0</v>
      </c>
      <c r="F737">
        <f>发货清单!U737</f>
        <v>0</v>
      </c>
      <c r="G737" t="str">
        <f>IFERROR(VLOOKUP(发货清单!A737,数据库!A:B,2,0),"")</f>
        <v/>
      </c>
      <c r="H737">
        <f>发货清单!N737</f>
        <v>0</v>
      </c>
      <c r="I737" t="str">
        <f t="shared" si="99"/>
        <v/>
      </c>
      <c r="J737" t="str">
        <f t="shared" si="100"/>
        <v xml:space="preserve"> </v>
      </c>
      <c r="K737" t="str">
        <f t="shared" si="101"/>
        <v/>
      </c>
      <c r="L737" t="str">
        <f t="shared" si="102"/>
        <v/>
      </c>
      <c r="N737" s="245">
        <f t="shared" si="103"/>
        <v>0</v>
      </c>
      <c r="O737" s="245">
        <f t="shared" si="104"/>
        <v>0</v>
      </c>
      <c r="P737" t="str">
        <f t="shared" si="105"/>
        <v/>
      </c>
      <c r="Q737" t="str">
        <f>IFERROR(VLOOKUP(P737,数据库!C:M,11,0),"")</f>
        <v/>
      </c>
      <c r="R737" t="str">
        <f t="shared" si="106"/>
        <v/>
      </c>
      <c r="S737">
        <f t="shared" si="107"/>
        <v>0</v>
      </c>
    </row>
    <row r="738" spans="1:19">
      <c r="A738" t="str">
        <f>IF(B738=0,"",发货清单!A738*10^6+COUNTIF($D$2:D738,D738)*10^3+ROW(A737))</f>
        <v/>
      </c>
      <c r="B738">
        <f>IFERROR(LEFT(发货清单!H738,SEARCH("-",发货清单!H738)-1),发货清单!H738)</f>
        <v>0</v>
      </c>
      <c r="C738" t="str">
        <f>IFERROR(VLOOKUP(发货清单!A738,数据库!A:D,4,0),"")</f>
        <v/>
      </c>
      <c r="D738" t="str">
        <f>IFERROR(VLOOKUP(发货清单!A738,数据库!A:C,3,0),"")</f>
        <v/>
      </c>
      <c r="E738">
        <f>发货清单!M738</f>
        <v>0</v>
      </c>
      <c r="F738">
        <f>发货清单!U738</f>
        <v>0</v>
      </c>
      <c r="G738" t="str">
        <f>IFERROR(VLOOKUP(发货清单!A738,数据库!A:B,2,0),"")</f>
        <v/>
      </c>
      <c r="H738">
        <f>发货清单!N738</f>
        <v>0</v>
      </c>
      <c r="I738" t="str">
        <f t="shared" si="99"/>
        <v/>
      </c>
      <c r="J738" t="str">
        <f t="shared" si="100"/>
        <v xml:space="preserve"> </v>
      </c>
      <c r="K738" t="str">
        <f t="shared" si="101"/>
        <v/>
      </c>
      <c r="L738" t="str">
        <f t="shared" si="102"/>
        <v/>
      </c>
      <c r="N738" s="245">
        <f t="shared" si="103"/>
        <v>0</v>
      </c>
      <c r="O738" s="245">
        <f t="shared" si="104"/>
        <v>0</v>
      </c>
      <c r="P738" t="str">
        <f t="shared" si="105"/>
        <v/>
      </c>
      <c r="Q738" t="str">
        <f>IFERROR(VLOOKUP(P738,数据库!C:M,11,0),"")</f>
        <v/>
      </c>
      <c r="R738" t="str">
        <f t="shared" si="106"/>
        <v/>
      </c>
      <c r="S738">
        <f t="shared" si="107"/>
        <v>0</v>
      </c>
    </row>
    <row r="739" spans="1:19">
      <c r="A739" t="str">
        <f>IF(B739=0,"",发货清单!A739*10^6+COUNTIF($D$2:D739,D739)*10^3+ROW(A738))</f>
        <v/>
      </c>
      <c r="B739">
        <f>IFERROR(LEFT(发货清单!H739,SEARCH("-",发货清单!H739)-1),发货清单!H739)</f>
        <v>0</v>
      </c>
      <c r="C739" t="str">
        <f>IFERROR(VLOOKUP(发货清单!A739,数据库!A:D,4,0),"")</f>
        <v/>
      </c>
      <c r="D739" t="str">
        <f>IFERROR(VLOOKUP(发货清单!A739,数据库!A:C,3,0),"")</f>
        <v/>
      </c>
      <c r="E739">
        <f>发货清单!M739</f>
        <v>0</v>
      </c>
      <c r="F739">
        <f>发货清单!U739</f>
        <v>0</v>
      </c>
      <c r="G739" t="str">
        <f>IFERROR(VLOOKUP(发货清单!A739,数据库!A:B,2,0),"")</f>
        <v/>
      </c>
      <c r="H739">
        <f>发货清单!N739</f>
        <v>0</v>
      </c>
      <c r="I739" t="str">
        <f t="shared" si="99"/>
        <v/>
      </c>
      <c r="J739" t="str">
        <f t="shared" si="100"/>
        <v xml:space="preserve"> </v>
      </c>
      <c r="K739" t="str">
        <f t="shared" si="101"/>
        <v/>
      </c>
      <c r="L739" t="str">
        <f t="shared" si="102"/>
        <v/>
      </c>
      <c r="N739" s="245">
        <f t="shared" si="103"/>
        <v>0</v>
      </c>
      <c r="O739" s="245">
        <f t="shared" si="104"/>
        <v>0</v>
      </c>
      <c r="P739" t="str">
        <f t="shared" si="105"/>
        <v/>
      </c>
      <c r="Q739" t="str">
        <f>IFERROR(VLOOKUP(P739,数据库!C:M,11,0),"")</f>
        <v/>
      </c>
      <c r="R739" t="str">
        <f t="shared" si="106"/>
        <v/>
      </c>
      <c r="S739">
        <f t="shared" si="107"/>
        <v>0</v>
      </c>
    </row>
    <row r="740" spans="1:19">
      <c r="A740" t="str">
        <f>IF(B740=0,"",发货清单!A740*10^6+COUNTIF($D$2:D740,D740)*10^3+ROW(A739))</f>
        <v/>
      </c>
      <c r="B740">
        <f>IFERROR(LEFT(发货清单!H740,SEARCH("-",发货清单!H740)-1),发货清单!H740)</f>
        <v>0</v>
      </c>
      <c r="C740" t="str">
        <f>IFERROR(VLOOKUP(发货清单!A740,数据库!A:D,4,0),"")</f>
        <v/>
      </c>
      <c r="D740" t="str">
        <f>IFERROR(VLOOKUP(发货清单!A740,数据库!A:C,3,0),"")</f>
        <v/>
      </c>
      <c r="E740">
        <f>发货清单!M740</f>
        <v>0</v>
      </c>
      <c r="F740">
        <f>发货清单!U740</f>
        <v>0</v>
      </c>
      <c r="G740" t="str">
        <f>IFERROR(VLOOKUP(发货清单!A740,数据库!A:B,2,0),"")</f>
        <v/>
      </c>
      <c r="H740">
        <f>发货清单!N740</f>
        <v>0</v>
      </c>
      <c r="I740" t="str">
        <f t="shared" si="99"/>
        <v/>
      </c>
      <c r="J740" t="str">
        <f t="shared" si="100"/>
        <v xml:space="preserve"> </v>
      </c>
      <c r="K740" t="str">
        <f t="shared" si="101"/>
        <v/>
      </c>
      <c r="L740" t="str">
        <f t="shared" si="102"/>
        <v/>
      </c>
      <c r="N740" s="245">
        <f t="shared" si="103"/>
        <v>0</v>
      </c>
      <c r="O740" s="245">
        <f t="shared" si="104"/>
        <v>0</v>
      </c>
      <c r="P740" t="str">
        <f t="shared" si="105"/>
        <v/>
      </c>
      <c r="Q740" t="str">
        <f>IFERROR(VLOOKUP(P740,数据库!C:M,11,0),"")</f>
        <v/>
      </c>
      <c r="R740" t="str">
        <f t="shared" si="106"/>
        <v/>
      </c>
      <c r="S740">
        <f t="shared" si="107"/>
        <v>0</v>
      </c>
    </row>
    <row r="741" spans="1:19">
      <c r="A741" t="str">
        <f>IF(B741=0,"",发货清单!A741*10^6+COUNTIF($D$2:D741,D741)*10^3+ROW(A740))</f>
        <v/>
      </c>
      <c r="B741">
        <f>IFERROR(LEFT(发货清单!H741,SEARCH("-",发货清单!H741)-1),发货清单!H741)</f>
        <v>0</v>
      </c>
      <c r="C741" t="str">
        <f>IFERROR(VLOOKUP(发货清单!A741,数据库!A:D,4,0),"")</f>
        <v/>
      </c>
      <c r="D741" t="str">
        <f>IFERROR(VLOOKUP(发货清单!A741,数据库!A:C,3,0),"")</f>
        <v/>
      </c>
      <c r="E741">
        <f>发货清单!M741</f>
        <v>0</v>
      </c>
      <c r="F741">
        <f>发货清单!U741</f>
        <v>0</v>
      </c>
      <c r="G741" t="str">
        <f>IFERROR(VLOOKUP(发货清单!A741,数据库!A:B,2,0),"")</f>
        <v/>
      </c>
      <c r="H741">
        <f>发货清单!N741</f>
        <v>0</v>
      </c>
      <c r="I741" t="str">
        <f t="shared" si="99"/>
        <v/>
      </c>
      <c r="J741" t="str">
        <f t="shared" si="100"/>
        <v xml:space="preserve"> </v>
      </c>
      <c r="K741" t="str">
        <f t="shared" si="101"/>
        <v/>
      </c>
      <c r="L741" t="str">
        <f t="shared" si="102"/>
        <v/>
      </c>
      <c r="N741" s="245">
        <f t="shared" si="103"/>
        <v>0</v>
      </c>
      <c r="O741" s="245">
        <f t="shared" si="104"/>
        <v>0</v>
      </c>
      <c r="P741" t="str">
        <f t="shared" si="105"/>
        <v/>
      </c>
      <c r="Q741" t="str">
        <f>IFERROR(VLOOKUP(P741,数据库!C:M,11,0),"")</f>
        <v/>
      </c>
      <c r="R741" t="str">
        <f t="shared" si="106"/>
        <v/>
      </c>
      <c r="S741">
        <f t="shared" si="107"/>
        <v>0</v>
      </c>
    </row>
    <row r="742" spans="1:19">
      <c r="A742" t="str">
        <f>IF(B742=0,"",发货清单!A742*10^6+COUNTIF($D$2:D742,D742)*10^3+ROW(A741))</f>
        <v/>
      </c>
      <c r="B742">
        <f>IFERROR(LEFT(发货清单!H742,SEARCH("-",发货清单!H742)-1),发货清单!H742)</f>
        <v>0</v>
      </c>
      <c r="C742" t="str">
        <f>IFERROR(VLOOKUP(发货清单!A742,数据库!A:D,4,0),"")</f>
        <v/>
      </c>
      <c r="D742" t="str">
        <f>IFERROR(VLOOKUP(发货清单!A742,数据库!A:C,3,0),"")</f>
        <v/>
      </c>
      <c r="E742">
        <f>发货清单!M742</f>
        <v>0</v>
      </c>
      <c r="F742">
        <f>发货清单!U742</f>
        <v>0</v>
      </c>
      <c r="G742" t="str">
        <f>IFERROR(VLOOKUP(发货清单!A742,数据库!A:B,2,0),"")</f>
        <v/>
      </c>
      <c r="H742">
        <f>发货清单!N742</f>
        <v>0</v>
      </c>
      <c r="I742" t="str">
        <f t="shared" si="99"/>
        <v/>
      </c>
      <c r="J742" t="str">
        <f t="shared" si="100"/>
        <v xml:space="preserve"> </v>
      </c>
      <c r="K742" t="str">
        <f t="shared" si="101"/>
        <v/>
      </c>
      <c r="L742" t="str">
        <f t="shared" si="102"/>
        <v/>
      </c>
      <c r="N742" s="245">
        <f t="shared" si="103"/>
        <v>0</v>
      </c>
      <c r="O742" s="245">
        <f t="shared" si="104"/>
        <v>0</v>
      </c>
      <c r="P742" t="str">
        <f t="shared" si="105"/>
        <v/>
      </c>
      <c r="Q742" t="str">
        <f>IFERROR(VLOOKUP(P742,数据库!C:M,11,0),"")</f>
        <v/>
      </c>
      <c r="R742" t="str">
        <f t="shared" si="106"/>
        <v/>
      </c>
      <c r="S742">
        <f t="shared" si="107"/>
        <v>0</v>
      </c>
    </row>
    <row r="743" spans="1:19">
      <c r="A743" t="str">
        <f>IF(B743=0,"",发货清单!A743*10^6+COUNTIF($D$2:D743,D743)*10^3+ROW(A742))</f>
        <v/>
      </c>
      <c r="B743">
        <f>IFERROR(LEFT(发货清单!H743,SEARCH("-",发货清单!H743)-1),发货清单!H743)</f>
        <v>0</v>
      </c>
      <c r="C743" t="str">
        <f>IFERROR(VLOOKUP(发货清单!A743,数据库!A:D,4,0),"")</f>
        <v/>
      </c>
      <c r="D743" t="str">
        <f>IFERROR(VLOOKUP(发货清单!A743,数据库!A:C,3,0),"")</f>
        <v/>
      </c>
      <c r="E743">
        <f>发货清单!M743</f>
        <v>0</v>
      </c>
      <c r="F743">
        <f>发货清单!U743</f>
        <v>0</v>
      </c>
      <c r="G743" t="str">
        <f>IFERROR(VLOOKUP(发货清单!A743,数据库!A:B,2,0),"")</f>
        <v/>
      </c>
      <c r="H743">
        <f>发货清单!N743</f>
        <v>0</v>
      </c>
      <c r="I743" t="str">
        <f t="shared" si="99"/>
        <v/>
      </c>
      <c r="J743" t="str">
        <f t="shared" si="100"/>
        <v xml:space="preserve"> </v>
      </c>
      <c r="K743" t="str">
        <f t="shared" si="101"/>
        <v/>
      </c>
      <c r="L743" t="str">
        <f t="shared" si="102"/>
        <v/>
      </c>
      <c r="N743" s="245">
        <f t="shared" si="103"/>
        <v>0</v>
      </c>
      <c r="O743" s="245">
        <f t="shared" si="104"/>
        <v>0</v>
      </c>
      <c r="P743" t="str">
        <f t="shared" si="105"/>
        <v/>
      </c>
      <c r="Q743" t="str">
        <f>IFERROR(VLOOKUP(P743,数据库!C:M,11,0),"")</f>
        <v/>
      </c>
      <c r="R743" t="str">
        <f t="shared" si="106"/>
        <v/>
      </c>
      <c r="S743">
        <f t="shared" si="107"/>
        <v>0</v>
      </c>
    </row>
    <row r="744" spans="1:19">
      <c r="A744" t="str">
        <f>IF(B744=0,"",发货清单!A744*10^6+COUNTIF($D$2:D744,D744)*10^3+ROW(A743))</f>
        <v/>
      </c>
      <c r="B744">
        <f>IFERROR(LEFT(发货清单!H744,SEARCH("-",发货清单!H744)-1),发货清单!H744)</f>
        <v>0</v>
      </c>
      <c r="C744" t="str">
        <f>IFERROR(VLOOKUP(发货清单!A744,数据库!A:D,4,0),"")</f>
        <v/>
      </c>
      <c r="D744" t="str">
        <f>IFERROR(VLOOKUP(发货清单!A744,数据库!A:C,3,0),"")</f>
        <v/>
      </c>
      <c r="E744">
        <f>发货清单!M744</f>
        <v>0</v>
      </c>
      <c r="F744">
        <f>发货清单!U744</f>
        <v>0</v>
      </c>
      <c r="G744" t="str">
        <f>IFERROR(VLOOKUP(发货清单!A744,数据库!A:B,2,0),"")</f>
        <v/>
      </c>
      <c r="H744">
        <f>发货清单!N744</f>
        <v>0</v>
      </c>
      <c r="I744" t="str">
        <f t="shared" si="99"/>
        <v/>
      </c>
      <c r="J744" t="str">
        <f t="shared" si="100"/>
        <v xml:space="preserve"> </v>
      </c>
      <c r="K744" t="str">
        <f t="shared" si="101"/>
        <v/>
      </c>
      <c r="L744" t="str">
        <f t="shared" si="102"/>
        <v/>
      </c>
      <c r="N744" s="245">
        <f t="shared" si="103"/>
        <v>0</v>
      </c>
      <c r="O744" s="245">
        <f t="shared" si="104"/>
        <v>0</v>
      </c>
      <c r="P744" t="str">
        <f t="shared" si="105"/>
        <v/>
      </c>
      <c r="Q744" t="str">
        <f>IFERROR(VLOOKUP(P744,数据库!C:M,11,0),"")</f>
        <v/>
      </c>
      <c r="R744" t="str">
        <f t="shared" si="106"/>
        <v/>
      </c>
      <c r="S744">
        <f t="shared" si="107"/>
        <v>0</v>
      </c>
    </row>
    <row r="745" spans="1:19">
      <c r="A745" t="str">
        <f>IF(B745=0,"",发货清单!A745*10^6+COUNTIF($D$2:D745,D745)*10^3+ROW(A744))</f>
        <v/>
      </c>
      <c r="B745">
        <f>IFERROR(LEFT(发货清单!H745,SEARCH("-",发货清单!H745)-1),发货清单!H745)</f>
        <v>0</v>
      </c>
      <c r="C745" t="str">
        <f>IFERROR(VLOOKUP(发货清单!A745,数据库!A:D,4,0),"")</f>
        <v/>
      </c>
      <c r="D745" t="str">
        <f>IFERROR(VLOOKUP(发货清单!A745,数据库!A:C,3,0),"")</f>
        <v/>
      </c>
      <c r="E745">
        <f>发货清单!M745</f>
        <v>0</v>
      </c>
      <c r="F745">
        <f>发货清单!U745</f>
        <v>0</v>
      </c>
      <c r="G745" t="str">
        <f>IFERROR(VLOOKUP(发货清单!A745,数据库!A:B,2,0),"")</f>
        <v/>
      </c>
      <c r="H745">
        <f>发货清单!N745</f>
        <v>0</v>
      </c>
      <c r="I745" t="str">
        <f t="shared" si="99"/>
        <v/>
      </c>
      <c r="J745" t="str">
        <f t="shared" si="100"/>
        <v xml:space="preserve"> </v>
      </c>
      <c r="K745" t="str">
        <f t="shared" si="101"/>
        <v/>
      </c>
      <c r="L745" t="str">
        <f t="shared" si="102"/>
        <v/>
      </c>
      <c r="N745" s="245">
        <f t="shared" si="103"/>
        <v>0</v>
      </c>
      <c r="O745" s="245">
        <f t="shared" si="104"/>
        <v>0</v>
      </c>
      <c r="P745" t="str">
        <f t="shared" si="105"/>
        <v/>
      </c>
      <c r="Q745" t="str">
        <f>IFERROR(VLOOKUP(P745,数据库!C:M,11,0),"")</f>
        <v/>
      </c>
      <c r="R745" t="str">
        <f t="shared" si="106"/>
        <v/>
      </c>
      <c r="S745">
        <f t="shared" si="107"/>
        <v>0</v>
      </c>
    </row>
    <row r="746" spans="1:19">
      <c r="A746" t="str">
        <f>IF(B746=0,"",发货清单!A746*10^6+COUNTIF($D$2:D746,D746)*10^3+ROW(A745))</f>
        <v/>
      </c>
      <c r="B746">
        <f>IFERROR(LEFT(发货清单!H746,SEARCH("-",发货清单!H746)-1),发货清单!H746)</f>
        <v>0</v>
      </c>
      <c r="C746" t="str">
        <f>IFERROR(VLOOKUP(发货清单!A746,数据库!A:D,4,0),"")</f>
        <v/>
      </c>
      <c r="D746" t="str">
        <f>IFERROR(VLOOKUP(发货清单!A746,数据库!A:C,3,0),"")</f>
        <v/>
      </c>
      <c r="E746">
        <f>发货清单!M746</f>
        <v>0</v>
      </c>
      <c r="F746">
        <f>发货清单!U746</f>
        <v>0</v>
      </c>
      <c r="G746" t="str">
        <f>IFERROR(VLOOKUP(发货清单!A746,数据库!A:B,2,0),"")</f>
        <v/>
      </c>
      <c r="H746">
        <f>发货清单!N746</f>
        <v>0</v>
      </c>
      <c r="I746" t="str">
        <f t="shared" si="99"/>
        <v/>
      </c>
      <c r="J746" t="str">
        <f t="shared" si="100"/>
        <v xml:space="preserve"> </v>
      </c>
      <c r="K746" t="str">
        <f t="shared" si="101"/>
        <v/>
      </c>
      <c r="L746" t="str">
        <f t="shared" si="102"/>
        <v/>
      </c>
      <c r="N746" s="245">
        <f t="shared" si="103"/>
        <v>0</v>
      </c>
      <c r="O746" s="245">
        <f t="shared" si="104"/>
        <v>0</v>
      </c>
      <c r="P746" t="str">
        <f t="shared" si="105"/>
        <v/>
      </c>
      <c r="Q746" t="str">
        <f>IFERROR(VLOOKUP(P746,数据库!C:M,11,0),"")</f>
        <v/>
      </c>
      <c r="R746" t="str">
        <f t="shared" si="106"/>
        <v/>
      </c>
      <c r="S746">
        <f t="shared" si="107"/>
        <v>0</v>
      </c>
    </row>
    <row r="747" spans="1:19">
      <c r="A747" t="str">
        <f>IF(B747=0,"",发货清单!A747*10^6+COUNTIF($D$2:D747,D747)*10^3+ROW(A746))</f>
        <v/>
      </c>
      <c r="B747">
        <f>IFERROR(LEFT(发货清单!H747,SEARCH("-",发货清单!H747)-1),发货清单!H747)</f>
        <v>0</v>
      </c>
      <c r="C747" t="str">
        <f>IFERROR(VLOOKUP(发货清单!A747,数据库!A:D,4,0),"")</f>
        <v/>
      </c>
      <c r="D747" t="str">
        <f>IFERROR(VLOOKUP(发货清单!A747,数据库!A:C,3,0),"")</f>
        <v/>
      </c>
      <c r="E747">
        <f>发货清单!M747</f>
        <v>0</v>
      </c>
      <c r="F747">
        <f>发货清单!U747</f>
        <v>0</v>
      </c>
      <c r="G747" t="str">
        <f>IFERROR(VLOOKUP(发货清单!A747,数据库!A:B,2,0),"")</f>
        <v/>
      </c>
      <c r="H747">
        <f>发货清单!N747</f>
        <v>0</v>
      </c>
      <c r="I747" t="str">
        <f t="shared" si="99"/>
        <v/>
      </c>
      <c r="J747" t="str">
        <f t="shared" si="100"/>
        <v xml:space="preserve"> </v>
      </c>
      <c r="K747" t="str">
        <f t="shared" si="101"/>
        <v/>
      </c>
      <c r="L747" t="str">
        <f t="shared" si="102"/>
        <v/>
      </c>
      <c r="N747" s="245">
        <f t="shared" si="103"/>
        <v>0</v>
      </c>
      <c r="O747" s="245">
        <f t="shared" si="104"/>
        <v>0</v>
      </c>
      <c r="P747" t="str">
        <f t="shared" si="105"/>
        <v/>
      </c>
      <c r="Q747" t="str">
        <f>IFERROR(VLOOKUP(P747,数据库!C:M,11,0),"")</f>
        <v/>
      </c>
      <c r="R747" t="str">
        <f t="shared" si="106"/>
        <v/>
      </c>
      <c r="S747">
        <f t="shared" si="107"/>
        <v>0</v>
      </c>
    </row>
    <row r="748" spans="1:19">
      <c r="A748" t="str">
        <f>IF(B748=0,"",发货清单!A748*10^6+COUNTIF($D$2:D748,D748)*10^3+ROW(A747))</f>
        <v/>
      </c>
      <c r="B748">
        <f>IFERROR(LEFT(发货清单!H748,SEARCH("-",发货清单!H748)-1),发货清单!H748)</f>
        <v>0</v>
      </c>
      <c r="C748" t="str">
        <f>IFERROR(VLOOKUP(发货清单!A748,数据库!A:D,4,0),"")</f>
        <v/>
      </c>
      <c r="D748" t="str">
        <f>IFERROR(VLOOKUP(发货清单!A748,数据库!A:C,3,0),"")</f>
        <v/>
      </c>
      <c r="E748">
        <f>发货清单!M748</f>
        <v>0</v>
      </c>
      <c r="F748">
        <f>发货清单!U748</f>
        <v>0</v>
      </c>
      <c r="G748" t="str">
        <f>IFERROR(VLOOKUP(发货清单!A748,数据库!A:B,2,0),"")</f>
        <v/>
      </c>
      <c r="H748">
        <f>发货清单!N748</f>
        <v>0</v>
      </c>
      <c r="I748" t="str">
        <f t="shared" si="99"/>
        <v/>
      </c>
      <c r="J748" t="str">
        <f t="shared" si="100"/>
        <v xml:space="preserve"> </v>
      </c>
      <c r="K748" t="str">
        <f t="shared" si="101"/>
        <v/>
      </c>
      <c r="L748" t="str">
        <f t="shared" si="102"/>
        <v/>
      </c>
      <c r="N748" s="245">
        <f t="shared" si="103"/>
        <v>0</v>
      </c>
      <c r="O748" s="245">
        <f t="shared" si="104"/>
        <v>0</v>
      </c>
      <c r="P748" t="str">
        <f t="shared" si="105"/>
        <v/>
      </c>
      <c r="Q748" t="str">
        <f>IFERROR(VLOOKUP(P748,数据库!C:M,11,0),"")</f>
        <v/>
      </c>
      <c r="R748" t="str">
        <f t="shared" si="106"/>
        <v/>
      </c>
      <c r="S748">
        <f t="shared" si="107"/>
        <v>0</v>
      </c>
    </row>
    <row r="749" spans="1:19">
      <c r="A749" t="str">
        <f>IF(B749=0,"",发货清单!A749*10^6+COUNTIF($D$2:D749,D749)*10^3+ROW(A748))</f>
        <v/>
      </c>
      <c r="B749">
        <f>IFERROR(LEFT(发货清单!H749,SEARCH("-",发货清单!H749)-1),发货清单!H749)</f>
        <v>0</v>
      </c>
      <c r="C749" t="str">
        <f>IFERROR(VLOOKUP(发货清单!A749,数据库!A:D,4,0),"")</f>
        <v/>
      </c>
      <c r="D749" t="str">
        <f>IFERROR(VLOOKUP(发货清单!A749,数据库!A:C,3,0),"")</f>
        <v/>
      </c>
      <c r="E749">
        <f>发货清单!M749</f>
        <v>0</v>
      </c>
      <c r="F749">
        <f>发货清单!U749</f>
        <v>0</v>
      </c>
      <c r="G749" t="str">
        <f>IFERROR(VLOOKUP(发货清单!A749,数据库!A:B,2,0),"")</f>
        <v/>
      </c>
      <c r="H749">
        <f>发货清单!N749</f>
        <v>0</v>
      </c>
      <c r="I749" t="str">
        <f t="shared" si="99"/>
        <v/>
      </c>
      <c r="J749" t="str">
        <f t="shared" si="100"/>
        <v xml:space="preserve"> </v>
      </c>
      <c r="K749" t="str">
        <f t="shared" si="101"/>
        <v/>
      </c>
      <c r="L749" t="str">
        <f t="shared" si="102"/>
        <v/>
      </c>
      <c r="N749" s="245">
        <f t="shared" si="103"/>
        <v>0</v>
      </c>
      <c r="O749" s="245">
        <f t="shared" si="104"/>
        <v>0</v>
      </c>
      <c r="P749" t="str">
        <f t="shared" si="105"/>
        <v/>
      </c>
      <c r="Q749" t="str">
        <f>IFERROR(VLOOKUP(P749,数据库!C:M,11,0),"")</f>
        <v/>
      </c>
      <c r="R749" t="str">
        <f t="shared" si="106"/>
        <v/>
      </c>
      <c r="S749">
        <f t="shared" si="107"/>
        <v>0</v>
      </c>
    </row>
    <row r="750" spans="1:19">
      <c r="A750" t="str">
        <f>IF(B750=0,"",发货清单!A750*10^6+COUNTIF($D$2:D750,D750)*10^3+ROW(A749))</f>
        <v/>
      </c>
      <c r="B750">
        <f>IFERROR(LEFT(发货清单!H750,SEARCH("-",发货清单!H750)-1),发货清单!H750)</f>
        <v>0</v>
      </c>
      <c r="C750" t="str">
        <f>IFERROR(VLOOKUP(发货清单!A750,数据库!A:D,4,0),"")</f>
        <v/>
      </c>
      <c r="D750" t="str">
        <f>IFERROR(VLOOKUP(发货清单!A750,数据库!A:C,3,0),"")</f>
        <v/>
      </c>
      <c r="E750">
        <f>发货清单!M750</f>
        <v>0</v>
      </c>
      <c r="F750">
        <f>发货清单!U750</f>
        <v>0</v>
      </c>
      <c r="G750" t="str">
        <f>IFERROR(VLOOKUP(发货清单!A750,数据库!A:B,2,0),"")</f>
        <v/>
      </c>
      <c r="H750">
        <f>发货清单!N750</f>
        <v>0</v>
      </c>
      <c r="I750" t="str">
        <f t="shared" si="99"/>
        <v/>
      </c>
      <c r="J750" t="str">
        <f t="shared" si="100"/>
        <v xml:space="preserve"> </v>
      </c>
      <c r="K750" t="str">
        <f t="shared" si="101"/>
        <v/>
      </c>
      <c r="L750" t="str">
        <f t="shared" si="102"/>
        <v/>
      </c>
      <c r="N750" s="245">
        <f t="shared" si="103"/>
        <v>0</v>
      </c>
      <c r="O750" s="245">
        <f t="shared" si="104"/>
        <v>0</v>
      </c>
      <c r="P750" t="str">
        <f t="shared" si="105"/>
        <v/>
      </c>
      <c r="Q750" t="str">
        <f>IFERROR(VLOOKUP(P750,数据库!C:M,11,0),"")</f>
        <v/>
      </c>
      <c r="R750" t="str">
        <f t="shared" si="106"/>
        <v/>
      </c>
      <c r="S750">
        <f t="shared" si="107"/>
        <v>0</v>
      </c>
    </row>
    <row r="751" spans="1:19">
      <c r="A751" t="str">
        <f>IF(B751=0,"",发货清单!A751*10^6+COUNTIF($D$2:D751,D751)*10^3+ROW(A750))</f>
        <v/>
      </c>
      <c r="B751">
        <f>IFERROR(LEFT(发货清单!H751,SEARCH("-",发货清单!H751)-1),发货清单!H751)</f>
        <v>0</v>
      </c>
      <c r="C751" t="str">
        <f>IFERROR(VLOOKUP(发货清单!A751,数据库!A:D,4,0),"")</f>
        <v/>
      </c>
      <c r="D751" t="str">
        <f>IFERROR(VLOOKUP(发货清单!A751,数据库!A:C,3,0),"")</f>
        <v/>
      </c>
      <c r="E751">
        <f>发货清单!M751</f>
        <v>0</v>
      </c>
      <c r="F751">
        <f>发货清单!U751</f>
        <v>0</v>
      </c>
      <c r="G751" t="str">
        <f>IFERROR(VLOOKUP(发货清单!A751,数据库!A:B,2,0),"")</f>
        <v/>
      </c>
      <c r="H751">
        <f>发货清单!N751</f>
        <v>0</v>
      </c>
      <c r="I751" t="str">
        <f t="shared" si="99"/>
        <v/>
      </c>
      <c r="J751" t="str">
        <f t="shared" si="100"/>
        <v xml:space="preserve"> </v>
      </c>
      <c r="K751" t="str">
        <f t="shared" si="101"/>
        <v/>
      </c>
      <c r="L751" t="str">
        <f t="shared" si="102"/>
        <v/>
      </c>
      <c r="N751" s="245">
        <f t="shared" si="103"/>
        <v>0</v>
      </c>
      <c r="O751" s="245">
        <f t="shared" si="104"/>
        <v>0</v>
      </c>
      <c r="P751" t="str">
        <f t="shared" si="105"/>
        <v/>
      </c>
      <c r="Q751" t="str">
        <f>IFERROR(VLOOKUP(P751,数据库!C:M,11,0),"")</f>
        <v/>
      </c>
      <c r="R751" t="str">
        <f t="shared" si="106"/>
        <v/>
      </c>
      <c r="S751">
        <f t="shared" si="107"/>
        <v>0</v>
      </c>
    </row>
    <row r="752" spans="1:19">
      <c r="A752" t="str">
        <f>IF(B752=0,"",发货清单!A752*10^6+COUNTIF($D$2:D752,D752)*10^3+ROW(A751))</f>
        <v/>
      </c>
      <c r="B752">
        <f>IFERROR(LEFT(发货清单!H752,SEARCH("-",发货清单!H752)-1),发货清单!H752)</f>
        <v>0</v>
      </c>
      <c r="C752" t="str">
        <f>IFERROR(VLOOKUP(发货清单!A752,数据库!A:D,4,0),"")</f>
        <v/>
      </c>
      <c r="D752" t="str">
        <f>IFERROR(VLOOKUP(发货清单!A752,数据库!A:C,3,0),"")</f>
        <v/>
      </c>
      <c r="E752">
        <f>发货清单!M752</f>
        <v>0</v>
      </c>
      <c r="F752">
        <f>发货清单!U752</f>
        <v>0</v>
      </c>
      <c r="G752" t="str">
        <f>IFERROR(VLOOKUP(发货清单!A752,数据库!A:B,2,0),"")</f>
        <v/>
      </c>
      <c r="H752">
        <f>发货清单!N752</f>
        <v>0</v>
      </c>
      <c r="I752" t="str">
        <f t="shared" si="99"/>
        <v/>
      </c>
      <c r="J752" t="str">
        <f t="shared" si="100"/>
        <v xml:space="preserve"> </v>
      </c>
      <c r="K752" t="str">
        <f t="shared" si="101"/>
        <v/>
      </c>
      <c r="L752" t="str">
        <f t="shared" si="102"/>
        <v/>
      </c>
      <c r="N752" s="245">
        <f t="shared" si="103"/>
        <v>0</v>
      </c>
      <c r="O752" s="245">
        <f t="shared" si="104"/>
        <v>0</v>
      </c>
      <c r="P752" t="str">
        <f t="shared" si="105"/>
        <v/>
      </c>
      <c r="Q752" t="str">
        <f>IFERROR(VLOOKUP(P752,数据库!C:M,11,0),"")</f>
        <v/>
      </c>
      <c r="R752" t="str">
        <f t="shared" si="106"/>
        <v/>
      </c>
      <c r="S752">
        <f t="shared" si="107"/>
        <v>0</v>
      </c>
    </row>
    <row r="753" spans="1:19">
      <c r="A753" t="str">
        <f>IF(B753=0,"",发货清单!A753*10^6+COUNTIF($D$2:D753,D753)*10^3+ROW(A752))</f>
        <v/>
      </c>
      <c r="B753">
        <f>IFERROR(LEFT(发货清单!H753,SEARCH("-",发货清单!H753)-1),发货清单!H753)</f>
        <v>0</v>
      </c>
      <c r="C753" t="str">
        <f>IFERROR(VLOOKUP(发货清单!A753,数据库!A:D,4,0),"")</f>
        <v/>
      </c>
      <c r="D753" t="str">
        <f>IFERROR(VLOOKUP(发货清单!A753,数据库!A:C,3,0),"")</f>
        <v/>
      </c>
      <c r="E753">
        <f>发货清单!M753</f>
        <v>0</v>
      </c>
      <c r="F753">
        <f>发货清单!U753</f>
        <v>0</v>
      </c>
      <c r="G753" t="str">
        <f>IFERROR(VLOOKUP(发货清单!A753,数据库!A:B,2,0),"")</f>
        <v/>
      </c>
      <c r="H753">
        <f>发货清单!N753</f>
        <v>0</v>
      </c>
      <c r="I753" t="str">
        <f t="shared" si="99"/>
        <v/>
      </c>
      <c r="J753" t="str">
        <f t="shared" si="100"/>
        <v xml:space="preserve"> </v>
      </c>
      <c r="K753" t="str">
        <f t="shared" si="101"/>
        <v/>
      </c>
      <c r="L753" t="str">
        <f t="shared" si="102"/>
        <v/>
      </c>
      <c r="N753" s="245">
        <f t="shared" si="103"/>
        <v>0</v>
      </c>
      <c r="O753" s="245">
        <f t="shared" si="104"/>
        <v>0</v>
      </c>
      <c r="P753" t="str">
        <f t="shared" si="105"/>
        <v/>
      </c>
      <c r="Q753" t="str">
        <f>IFERROR(VLOOKUP(P753,数据库!C:M,11,0),"")</f>
        <v/>
      </c>
      <c r="R753" t="str">
        <f t="shared" si="106"/>
        <v/>
      </c>
      <c r="S753">
        <f t="shared" si="107"/>
        <v>0</v>
      </c>
    </row>
    <row r="754" spans="1:19">
      <c r="A754" t="str">
        <f>IF(B754=0,"",发货清单!A754*10^6+COUNTIF($D$2:D754,D754)*10^3+ROW(A753))</f>
        <v/>
      </c>
      <c r="B754">
        <f>IFERROR(LEFT(发货清单!H754,SEARCH("-",发货清单!H754)-1),发货清单!H754)</f>
        <v>0</v>
      </c>
      <c r="C754" t="str">
        <f>IFERROR(VLOOKUP(发货清单!A754,数据库!A:D,4,0),"")</f>
        <v/>
      </c>
      <c r="D754" t="str">
        <f>IFERROR(VLOOKUP(发货清单!A754,数据库!A:C,3,0),"")</f>
        <v/>
      </c>
      <c r="E754">
        <f>发货清单!M754</f>
        <v>0</v>
      </c>
      <c r="F754">
        <f>发货清单!U754</f>
        <v>0</v>
      </c>
      <c r="G754" t="str">
        <f>IFERROR(VLOOKUP(发货清单!A754,数据库!A:B,2,0),"")</f>
        <v/>
      </c>
      <c r="H754">
        <f>发货清单!N754</f>
        <v>0</v>
      </c>
      <c r="I754" t="str">
        <f t="shared" si="99"/>
        <v/>
      </c>
      <c r="J754" t="str">
        <f t="shared" si="100"/>
        <v xml:space="preserve"> </v>
      </c>
      <c r="K754" t="str">
        <f t="shared" si="101"/>
        <v/>
      </c>
      <c r="L754" t="str">
        <f t="shared" si="102"/>
        <v/>
      </c>
      <c r="N754" s="245">
        <f t="shared" si="103"/>
        <v>0</v>
      </c>
      <c r="O754" s="245">
        <f t="shared" si="104"/>
        <v>0</v>
      </c>
      <c r="P754" t="str">
        <f t="shared" si="105"/>
        <v/>
      </c>
      <c r="Q754" t="str">
        <f>IFERROR(VLOOKUP(P754,数据库!C:M,11,0),"")</f>
        <v/>
      </c>
      <c r="R754" t="str">
        <f t="shared" si="106"/>
        <v/>
      </c>
      <c r="S754">
        <f t="shared" si="107"/>
        <v>0</v>
      </c>
    </row>
    <row r="755" spans="1:19">
      <c r="A755" t="str">
        <f>IF(B755=0,"",发货清单!A755*10^6+COUNTIF($D$2:D755,D755)*10^3+ROW(A754))</f>
        <v/>
      </c>
      <c r="B755">
        <f>IFERROR(LEFT(发货清单!H755,SEARCH("-",发货清单!H755)-1),发货清单!H755)</f>
        <v>0</v>
      </c>
      <c r="C755" t="str">
        <f>IFERROR(VLOOKUP(发货清单!A755,数据库!A:D,4,0),"")</f>
        <v/>
      </c>
      <c r="D755" t="str">
        <f>IFERROR(VLOOKUP(发货清单!A755,数据库!A:C,3,0),"")</f>
        <v/>
      </c>
      <c r="E755">
        <f>发货清单!M755</f>
        <v>0</v>
      </c>
      <c r="F755">
        <f>发货清单!U755</f>
        <v>0</v>
      </c>
      <c r="G755" t="str">
        <f>IFERROR(VLOOKUP(发货清单!A755,数据库!A:B,2,0),"")</f>
        <v/>
      </c>
      <c r="H755">
        <f>发货清单!N755</f>
        <v>0</v>
      </c>
      <c r="I755" t="str">
        <f t="shared" si="99"/>
        <v/>
      </c>
      <c r="J755" t="str">
        <f t="shared" si="100"/>
        <v xml:space="preserve"> </v>
      </c>
      <c r="K755" t="str">
        <f t="shared" si="101"/>
        <v/>
      </c>
      <c r="L755" t="str">
        <f t="shared" si="102"/>
        <v/>
      </c>
      <c r="N755" s="245">
        <f t="shared" si="103"/>
        <v>0</v>
      </c>
      <c r="O755" s="245">
        <f t="shared" si="104"/>
        <v>0</v>
      </c>
      <c r="P755" t="str">
        <f t="shared" si="105"/>
        <v/>
      </c>
      <c r="Q755" t="str">
        <f>IFERROR(VLOOKUP(P755,数据库!C:M,11,0),"")</f>
        <v/>
      </c>
      <c r="R755" t="str">
        <f t="shared" si="106"/>
        <v/>
      </c>
      <c r="S755">
        <f t="shared" si="107"/>
        <v>0</v>
      </c>
    </row>
    <row r="756" spans="1:19">
      <c r="A756" t="str">
        <f>IF(B756=0,"",发货清单!A756*10^6+COUNTIF($D$2:D756,D756)*10^3+ROW(A755))</f>
        <v/>
      </c>
      <c r="B756">
        <f>IFERROR(LEFT(发货清单!H756,SEARCH("-",发货清单!H756)-1),发货清单!H756)</f>
        <v>0</v>
      </c>
      <c r="C756" t="str">
        <f>IFERROR(VLOOKUP(发货清单!A756,数据库!A:D,4,0),"")</f>
        <v/>
      </c>
      <c r="D756" t="str">
        <f>IFERROR(VLOOKUP(发货清单!A756,数据库!A:C,3,0),"")</f>
        <v/>
      </c>
      <c r="E756">
        <f>发货清单!M756</f>
        <v>0</v>
      </c>
      <c r="F756">
        <f>发货清单!U756</f>
        <v>0</v>
      </c>
      <c r="G756" t="str">
        <f>IFERROR(VLOOKUP(发货清单!A756,数据库!A:B,2,0),"")</f>
        <v/>
      </c>
      <c r="H756">
        <f>发货清单!N756</f>
        <v>0</v>
      </c>
      <c r="I756" t="str">
        <f t="shared" si="99"/>
        <v/>
      </c>
      <c r="J756" t="str">
        <f t="shared" si="100"/>
        <v xml:space="preserve"> </v>
      </c>
      <c r="K756" t="str">
        <f t="shared" si="101"/>
        <v/>
      </c>
      <c r="L756" t="str">
        <f t="shared" si="102"/>
        <v/>
      </c>
      <c r="N756" s="245">
        <f t="shared" si="103"/>
        <v>0</v>
      </c>
      <c r="O756" s="245">
        <f t="shared" si="104"/>
        <v>0</v>
      </c>
      <c r="P756" t="str">
        <f t="shared" si="105"/>
        <v/>
      </c>
      <c r="Q756" t="str">
        <f>IFERROR(VLOOKUP(P756,数据库!C:M,11,0),"")</f>
        <v/>
      </c>
      <c r="R756" t="str">
        <f t="shared" si="106"/>
        <v/>
      </c>
      <c r="S756">
        <f t="shared" si="107"/>
        <v>0</v>
      </c>
    </row>
    <row r="757" spans="1:19">
      <c r="A757" t="str">
        <f>IF(B757=0,"",发货清单!A757*10^6+COUNTIF($D$2:D757,D757)*10^3+ROW(A756))</f>
        <v/>
      </c>
      <c r="B757">
        <f>IFERROR(LEFT(发货清单!H757,SEARCH("-",发货清单!H757)-1),发货清单!H757)</f>
        <v>0</v>
      </c>
      <c r="C757" t="str">
        <f>IFERROR(VLOOKUP(发货清单!A757,数据库!A:D,4,0),"")</f>
        <v/>
      </c>
      <c r="D757" t="str">
        <f>IFERROR(VLOOKUP(发货清单!A757,数据库!A:C,3,0),"")</f>
        <v/>
      </c>
      <c r="E757">
        <f>发货清单!M757</f>
        <v>0</v>
      </c>
      <c r="F757">
        <f>发货清单!U757</f>
        <v>0</v>
      </c>
      <c r="G757" t="str">
        <f>IFERROR(VLOOKUP(发货清单!A757,数据库!A:B,2,0),"")</f>
        <v/>
      </c>
      <c r="H757">
        <f>发货清单!N757</f>
        <v>0</v>
      </c>
      <c r="I757" t="str">
        <f t="shared" si="99"/>
        <v/>
      </c>
      <c r="J757" t="str">
        <f t="shared" si="100"/>
        <v xml:space="preserve"> </v>
      </c>
      <c r="K757" t="str">
        <f t="shared" si="101"/>
        <v/>
      </c>
      <c r="L757" t="str">
        <f t="shared" si="102"/>
        <v/>
      </c>
      <c r="N757" s="245">
        <f t="shared" si="103"/>
        <v>0</v>
      </c>
      <c r="O757" s="245">
        <f t="shared" si="104"/>
        <v>0</v>
      </c>
      <c r="P757" t="str">
        <f t="shared" si="105"/>
        <v/>
      </c>
      <c r="Q757" t="str">
        <f>IFERROR(VLOOKUP(P757,数据库!C:M,11,0),"")</f>
        <v/>
      </c>
      <c r="R757" t="str">
        <f t="shared" si="106"/>
        <v/>
      </c>
      <c r="S757">
        <f t="shared" si="107"/>
        <v>0</v>
      </c>
    </row>
    <row r="758" spans="1:19">
      <c r="A758" t="str">
        <f>IF(B758=0,"",发货清单!A758*10^6+COUNTIF($D$2:D758,D758)*10^3+ROW(A757))</f>
        <v/>
      </c>
      <c r="B758">
        <f>IFERROR(LEFT(发货清单!H758,SEARCH("-",发货清单!H758)-1),发货清单!H758)</f>
        <v>0</v>
      </c>
      <c r="C758" t="str">
        <f>IFERROR(VLOOKUP(发货清单!A758,数据库!A:D,4,0),"")</f>
        <v/>
      </c>
      <c r="D758" t="str">
        <f>IFERROR(VLOOKUP(发货清单!A758,数据库!A:C,3,0),"")</f>
        <v/>
      </c>
      <c r="E758">
        <f>发货清单!M758</f>
        <v>0</v>
      </c>
      <c r="F758">
        <f>发货清单!U758</f>
        <v>0</v>
      </c>
      <c r="G758" t="str">
        <f>IFERROR(VLOOKUP(发货清单!A758,数据库!A:B,2,0),"")</f>
        <v/>
      </c>
      <c r="H758">
        <f>发货清单!N758</f>
        <v>0</v>
      </c>
      <c r="I758" t="str">
        <f t="shared" si="99"/>
        <v/>
      </c>
      <c r="J758" t="str">
        <f t="shared" si="100"/>
        <v xml:space="preserve"> </v>
      </c>
      <c r="K758" t="str">
        <f t="shared" si="101"/>
        <v/>
      </c>
      <c r="L758" t="str">
        <f t="shared" si="102"/>
        <v/>
      </c>
      <c r="N758" s="245">
        <f t="shared" si="103"/>
        <v>0</v>
      </c>
      <c r="O758" s="245">
        <f t="shared" si="104"/>
        <v>0</v>
      </c>
      <c r="P758" t="str">
        <f t="shared" si="105"/>
        <v/>
      </c>
      <c r="Q758" t="str">
        <f>IFERROR(VLOOKUP(P758,数据库!C:M,11,0),"")</f>
        <v/>
      </c>
      <c r="R758" t="str">
        <f t="shared" si="106"/>
        <v/>
      </c>
      <c r="S758">
        <f t="shared" si="107"/>
        <v>0</v>
      </c>
    </row>
    <row r="759" spans="1:19">
      <c r="A759" t="str">
        <f>IF(B759=0,"",发货清单!A759*10^6+COUNTIF($D$2:D759,D759)*10^3+ROW(A758))</f>
        <v/>
      </c>
      <c r="B759">
        <f>IFERROR(LEFT(发货清单!H759,SEARCH("-",发货清单!H759)-1),发货清单!H759)</f>
        <v>0</v>
      </c>
      <c r="C759" t="str">
        <f>IFERROR(VLOOKUP(发货清单!A759,数据库!A:D,4,0),"")</f>
        <v/>
      </c>
      <c r="D759" t="str">
        <f>IFERROR(VLOOKUP(发货清单!A759,数据库!A:C,3,0),"")</f>
        <v/>
      </c>
      <c r="E759">
        <f>发货清单!M759</f>
        <v>0</v>
      </c>
      <c r="F759">
        <f>发货清单!U759</f>
        <v>0</v>
      </c>
      <c r="G759" t="str">
        <f>IFERROR(VLOOKUP(发货清单!A759,数据库!A:B,2,0),"")</f>
        <v/>
      </c>
      <c r="H759">
        <f>发货清单!N759</f>
        <v>0</v>
      </c>
      <c r="I759" t="str">
        <f t="shared" si="99"/>
        <v/>
      </c>
      <c r="J759" t="str">
        <f t="shared" si="100"/>
        <v xml:space="preserve"> </v>
      </c>
      <c r="K759" t="str">
        <f t="shared" si="101"/>
        <v/>
      </c>
      <c r="L759" t="str">
        <f t="shared" si="102"/>
        <v/>
      </c>
      <c r="N759" s="245">
        <f t="shared" si="103"/>
        <v>0</v>
      </c>
      <c r="O759" s="245">
        <f t="shared" si="104"/>
        <v>0</v>
      </c>
      <c r="P759" t="str">
        <f t="shared" si="105"/>
        <v/>
      </c>
      <c r="Q759" t="str">
        <f>IFERROR(VLOOKUP(P759,数据库!C:M,11,0),"")</f>
        <v/>
      </c>
      <c r="R759" t="str">
        <f t="shared" si="106"/>
        <v/>
      </c>
      <c r="S759">
        <f t="shared" si="107"/>
        <v>0</v>
      </c>
    </row>
    <row r="760" spans="1:19">
      <c r="A760" t="str">
        <f>IF(B760=0,"",发货清单!A760*10^6+COUNTIF($D$2:D760,D760)*10^3+ROW(A759))</f>
        <v/>
      </c>
      <c r="B760">
        <f>IFERROR(LEFT(发货清单!H760,SEARCH("-",发货清单!H760)-1),发货清单!H760)</f>
        <v>0</v>
      </c>
      <c r="C760" t="str">
        <f>IFERROR(VLOOKUP(发货清单!A760,数据库!A:D,4,0),"")</f>
        <v/>
      </c>
      <c r="D760" t="str">
        <f>IFERROR(VLOOKUP(发货清单!A760,数据库!A:C,3,0),"")</f>
        <v/>
      </c>
      <c r="E760">
        <f>发货清单!M760</f>
        <v>0</v>
      </c>
      <c r="F760">
        <f>发货清单!U760</f>
        <v>0</v>
      </c>
      <c r="G760" t="str">
        <f>IFERROR(VLOOKUP(发货清单!A760,数据库!A:B,2,0),"")</f>
        <v/>
      </c>
      <c r="H760">
        <f>发货清单!N760</f>
        <v>0</v>
      </c>
      <c r="I760" t="str">
        <f t="shared" si="99"/>
        <v/>
      </c>
      <c r="J760" t="str">
        <f t="shared" si="100"/>
        <v xml:space="preserve"> </v>
      </c>
      <c r="K760" t="str">
        <f t="shared" si="101"/>
        <v/>
      </c>
      <c r="L760" t="str">
        <f t="shared" si="102"/>
        <v/>
      </c>
      <c r="N760" s="245">
        <f t="shared" si="103"/>
        <v>0</v>
      </c>
      <c r="O760" s="245">
        <f t="shared" si="104"/>
        <v>0</v>
      </c>
      <c r="P760" t="str">
        <f t="shared" si="105"/>
        <v/>
      </c>
      <c r="Q760" t="str">
        <f>IFERROR(VLOOKUP(P760,数据库!C:M,11,0),"")</f>
        <v/>
      </c>
      <c r="R760" t="str">
        <f t="shared" si="106"/>
        <v/>
      </c>
      <c r="S760">
        <f t="shared" si="107"/>
        <v>0</v>
      </c>
    </row>
    <row r="761" spans="1:19">
      <c r="A761" t="str">
        <f>IF(B761=0,"",发货清单!A761*10^6+COUNTIF($D$2:D761,D761)*10^3+ROW(A760))</f>
        <v/>
      </c>
      <c r="B761">
        <f>IFERROR(LEFT(发货清单!H761,SEARCH("-",发货清单!H761)-1),发货清单!H761)</f>
        <v>0</v>
      </c>
      <c r="C761" t="str">
        <f>IFERROR(VLOOKUP(发货清单!A761,数据库!A:D,4,0),"")</f>
        <v/>
      </c>
      <c r="D761" t="str">
        <f>IFERROR(VLOOKUP(发货清单!A761,数据库!A:C,3,0),"")</f>
        <v/>
      </c>
      <c r="E761">
        <f>发货清单!M761</f>
        <v>0</v>
      </c>
      <c r="F761">
        <f>发货清单!U761</f>
        <v>0</v>
      </c>
      <c r="G761" t="str">
        <f>IFERROR(VLOOKUP(发货清单!A761,数据库!A:B,2,0),"")</f>
        <v/>
      </c>
      <c r="H761">
        <f>发货清单!N761</f>
        <v>0</v>
      </c>
      <c r="I761" t="str">
        <f t="shared" si="99"/>
        <v/>
      </c>
      <c r="J761" t="str">
        <f t="shared" si="100"/>
        <v xml:space="preserve"> </v>
      </c>
      <c r="K761" t="str">
        <f t="shared" si="101"/>
        <v/>
      </c>
      <c r="L761" t="str">
        <f t="shared" si="102"/>
        <v/>
      </c>
      <c r="N761" s="245">
        <f t="shared" si="103"/>
        <v>0</v>
      </c>
      <c r="O761" s="245">
        <f t="shared" si="104"/>
        <v>0</v>
      </c>
      <c r="P761" t="str">
        <f t="shared" si="105"/>
        <v/>
      </c>
      <c r="Q761" t="str">
        <f>IFERROR(VLOOKUP(P761,数据库!C:M,11,0),"")</f>
        <v/>
      </c>
      <c r="R761" t="str">
        <f t="shared" si="106"/>
        <v/>
      </c>
      <c r="S761">
        <f t="shared" si="107"/>
        <v>0</v>
      </c>
    </row>
    <row r="762" spans="1:19">
      <c r="A762" t="str">
        <f>IF(B762=0,"",发货清单!A762*10^6+COUNTIF($D$2:D762,D762)*10^3+ROW(A761))</f>
        <v/>
      </c>
      <c r="B762">
        <f>IFERROR(LEFT(发货清单!H762,SEARCH("-",发货清单!H762)-1),发货清单!H762)</f>
        <v>0</v>
      </c>
      <c r="C762" t="str">
        <f>IFERROR(VLOOKUP(发货清单!A762,数据库!A:D,4,0),"")</f>
        <v/>
      </c>
      <c r="D762" t="str">
        <f>IFERROR(VLOOKUP(发货清单!A762,数据库!A:C,3,0),"")</f>
        <v/>
      </c>
      <c r="E762">
        <f>发货清单!M762</f>
        <v>0</v>
      </c>
      <c r="F762">
        <f>发货清单!U762</f>
        <v>0</v>
      </c>
      <c r="G762" t="str">
        <f>IFERROR(VLOOKUP(发货清单!A762,数据库!A:B,2,0),"")</f>
        <v/>
      </c>
      <c r="H762">
        <f>发货清单!N762</f>
        <v>0</v>
      </c>
      <c r="I762" t="str">
        <f t="shared" si="99"/>
        <v/>
      </c>
      <c r="J762" t="str">
        <f t="shared" si="100"/>
        <v xml:space="preserve"> </v>
      </c>
      <c r="K762" t="str">
        <f t="shared" si="101"/>
        <v/>
      </c>
      <c r="L762" t="str">
        <f t="shared" si="102"/>
        <v/>
      </c>
      <c r="N762" s="245">
        <f t="shared" si="103"/>
        <v>0</v>
      </c>
      <c r="O762" s="245">
        <f t="shared" si="104"/>
        <v>0</v>
      </c>
      <c r="P762" t="str">
        <f t="shared" si="105"/>
        <v/>
      </c>
      <c r="Q762" t="str">
        <f>IFERROR(VLOOKUP(P762,数据库!C:M,11,0),"")</f>
        <v/>
      </c>
      <c r="R762" t="str">
        <f t="shared" si="106"/>
        <v/>
      </c>
      <c r="S762">
        <f t="shared" si="107"/>
        <v>0</v>
      </c>
    </row>
    <row r="763" spans="1:19">
      <c r="A763" t="str">
        <f>IF(B763=0,"",发货清单!A763*10^6+COUNTIF($D$2:D763,D763)*10^3+ROW(A762))</f>
        <v/>
      </c>
      <c r="B763">
        <f>IFERROR(LEFT(发货清单!H763,SEARCH("-",发货清单!H763)-1),发货清单!H763)</f>
        <v>0</v>
      </c>
      <c r="C763" t="str">
        <f>IFERROR(VLOOKUP(发货清单!A763,数据库!A:D,4,0),"")</f>
        <v/>
      </c>
      <c r="D763" t="str">
        <f>IFERROR(VLOOKUP(发货清单!A763,数据库!A:C,3,0),"")</f>
        <v/>
      </c>
      <c r="E763">
        <f>发货清单!M763</f>
        <v>0</v>
      </c>
      <c r="F763">
        <f>发货清单!U763</f>
        <v>0</v>
      </c>
      <c r="G763" t="str">
        <f>IFERROR(VLOOKUP(发货清单!A763,数据库!A:B,2,0),"")</f>
        <v/>
      </c>
      <c r="H763">
        <f>发货清单!N763</f>
        <v>0</v>
      </c>
      <c r="I763" t="str">
        <f t="shared" si="99"/>
        <v/>
      </c>
      <c r="J763" t="str">
        <f t="shared" si="100"/>
        <v xml:space="preserve"> </v>
      </c>
      <c r="K763" t="str">
        <f t="shared" si="101"/>
        <v/>
      </c>
      <c r="L763" t="str">
        <f t="shared" si="102"/>
        <v/>
      </c>
      <c r="N763" s="245">
        <f t="shared" si="103"/>
        <v>0</v>
      </c>
      <c r="O763" s="245">
        <f t="shared" si="104"/>
        <v>0</v>
      </c>
      <c r="P763" t="str">
        <f t="shared" si="105"/>
        <v/>
      </c>
      <c r="Q763" t="str">
        <f>IFERROR(VLOOKUP(P763,数据库!C:M,11,0),"")</f>
        <v/>
      </c>
      <c r="R763" t="str">
        <f t="shared" si="106"/>
        <v/>
      </c>
      <c r="S763">
        <f t="shared" si="107"/>
        <v>0</v>
      </c>
    </row>
    <row r="764" spans="1:19">
      <c r="A764" t="str">
        <f>IF(B764=0,"",发货清单!A764*10^6+COUNTIF($D$2:D764,D764)*10^3+ROW(A763))</f>
        <v/>
      </c>
      <c r="B764">
        <f>IFERROR(LEFT(发货清单!H764,SEARCH("-",发货清单!H764)-1),发货清单!H764)</f>
        <v>0</v>
      </c>
      <c r="C764" t="str">
        <f>IFERROR(VLOOKUP(发货清单!A764,数据库!A:D,4,0),"")</f>
        <v/>
      </c>
      <c r="D764" t="str">
        <f>IFERROR(VLOOKUP(发货清单!A764,数据库!A:C,3,0),"")</f>
        <v/>
      </c>
      <c r="E764">
        <f>发货清单!M764</f>
        <v>0</v>
      </c>
      <c r="F764">
        <f>发货清单!U764</f>
        <v>0</v>
      </c>
      <c r="G764" t="str">
        <f>IFERROR(VLOOKUP(发货清单!A764,数据库!A:B,2,0),"")</f>
        <v/>
      </c>
      <c r="H764">
        <f>发货清单!N764</f>
        <v>0</v>
      </c>
      <c r="I764" t="str">
        <f t="shared" si="99"/>
        <v/>
      </c>
      <c r="J764" t="str">
        <f t="shared" si="100"/>
        <v xml:space="preserve"> </v>
      </c>
      <c r="K764" t="str">
        <f t="shared" si="101"/>
        <v/>
      </c>
      <c r="L764" t="str">
        <f t="shared" si="102"/>
        <v/>
      </c>
      <c r="N764" s="245">
        <f t="shared" si="103"/>
        <v>0</v>
      </c>
      <c r="O764" s="245">
        <f t="shared" si="104"/>
        <v>0</v>
      </c>
      <c r="P764" t="str">
        <f t="shared" si="105"/>
        <v/>
      </c>
      <c r="Q764" t="str">
        <f>IFERROR(VLOOKUP(P764,数据库!C:M,11,0),"")</f>
        <v/>
      </c>
      <c r="R764" t="str">
        <f t="shared" si="106"/>
        <v/>
      </c>
      <c r="S764">
        <f t="shared" si="107"/>
        <v>0</v>
      </c>
    </row>
    <row r="765" spans="1:19">
      <c r="A765" t="str">
        <f>IF(B765=0,"",发货清单!A765*10^6+COUNTIF($D$2:D765,D765)*10^3+ROW(A764))</f>
        <v/>
      </c>
      <c r="B765">
        <f>IFERROR(LEFT(发货清单!H765,SEARCH("-",发货清单!H765)-1),发货清单!H765)</f>
        <v>0</v>
      </c>
      <c r="C765" t="str">
        <f>IFERROR(VLOOKUP(发货清单!A765,数据库!A:D,4,0),"")</f>
        <v/>
      </c>
      <c r="D765" t="str">
        <f>IFERROR(VLOOKUP(发货清单!A765,数据库!A:C,3,0),"")</f>
        <v/>
      </c>
      <c r="E765">
        <f>发货清单!M765</f>
        <v>0</v>
      </c>
      <c r="F765">
        <f>发货清单!U765</f>
        <v>0</v>
      </c>
      <c r="G765" t="str">
        <f>IFERROR(VLOOKUP(发货清单!A765,数据库!A:B,2,0),"")</f>
        <v/>
      </c>
      <c r="H765">
        <f>发货清单!N765</f>
        <v>0</v>
      </c>
      <c r="I765" t="str">
        <f t="shared" si="99"/>
        <v/>
      </c>
      <c r="J765" t="str">
        <f t="shared" si="100"/>
        <v xml:space="preserve"> </v>
      </c>
      <c r="K765" t="str">
        <f t="shared" si="101"/>
        <v/>
      </c>
      <c r="L765" t="str">
        <f t="shared" si="102"/>
        <v/>
      </c>
      <c r="N765" s="245">
        <f t="shared" si="103"/>
        <v>0</v>
      </c>
      <c r="O765" s="245">
        <f t="shared" si="104"/>
        <v>0</v>
      </c>
      <c r="P765" t="str">
        <f t="shared" si="105"/>
        <v/>
      </c>
      <c r="Q765" t="str">
        <f>IFERROR(VLOOKUP(P765,数据库!C:M,11,0),"")</f>
        <v/>
      </c>
      <c r="R765" t="str">
        <f t="shared" si="106"/>
        <v/>
      </c>
      <c r="S765">
        <f t="shared" si="107"/>
        <v>0</v>
      </c>
    </row>
    <row r="766" spans="1:19">
      <c r="A766" t="str">
        <f>IF(B766=0,"",发货清单!A766*10^6+COUNTIF($D$2:D766,D766)*10^3+ROW(A765))</f>
        <v/>
      </c>
      <c r="B766">
        <f>IFERROR(LEFT(发货清单!H766,SEARCH("-",发货清单!H766)-1),发货清单!H766)</f>
        <v>0</v>
      </c>
      <c r="C766" t="str">
        <f>IFERROR(VLOOKUP(发货清单!A766,数据库!A:D,4,0),"")</f>
        <v/>
      </c>
      <c r="D766" t="str">
        <f>IFERROR(VLOOKUP(发货清单!A766,数据库!A:C,3,0),"")</f>
        <v/>
      </c>
      <c r="E766">
        <f>发货清单!M766</f>
        <v>0</v>
      </c>
      <c r="F766">
        <f>发货清单!U766</f>
        <v>0</v>
      </c>
      <c r="G766" t="str">
        <f>IFERROR(VLOOKUP(发货清单!A766,数据库!A:B,2,0),"")</f>
        <v/>
      </c>
      <c r="H766">
        <f>发货清单!N766</f>
        <v>0</v>
      </c>
      <c r="I766" t="str">
        <f t="shared" si="99"/>
        <v/>
      </c>
      <c r="J766" t="str">
        <f t="shared" si="100"/>
        <v xml:space="preserve"> </v>
      </c>
      <c r="K766" t="str">
        <f t="shared" si="101"/>
        <v/>
      </c>
      <c r="L766" t="str">
        <f t="shared" si="102"/>
        <v/>
      </c>
      <c r="N766" s="245">
        <f t="shared" si="103"/>
        <v>0</v>
      </c>
      <c r="O766" s="245">
        <f t="shared" si="104"/>
        <v>0</v>
      </c>
      <c r="P766" t="str">
        <f t="shared" si="105"/>
        <v/>
      </c>
      <c r="Q766" t="str">
        <f>IFERROR(VLOOKUP(P766,数据库!C:M,11,0),"")</f>
        <v/>
      </c>
      <c r="R766" t="str">
        <f t="shared" si="106"/>
        <v/>
      </c>
      <c r="S766">
        <f t="shared" si="107"/>
        <v>0</v>
      </c>
    </row>
    <row r="767" spans="1:19">
      <c r="A767" t="str">
        <f>IF(B767=0,"",发货清单!A767*10^6+COUNTIF($D$2:D767,D767)*10^3+ROW(A766))</f>
        <v/>
      </c>
      <c r="B767">
        <f>IFERROR(LEFT(发货清单!H767,SEARCH("-",发货清单!H767)-1),发货清单!H767)</f>
        <v>0</v>
      </c>
      <c r="C767" t="str">
        <f>IFERROR(VLOOKUP(发货清单!A767,数据库!A:D,4,0),"")</f>
        <v/>
      </c>
      <c r="D767" t="str">
        <f>IFERROR(VLOOKUP(发货清单!A767,数据库!A:C,3,0),"")</f>
        <v/>
      </c>
      <c r="E767">
        <f>发货清单!M767</f>
        <v>0</v>
      </c>
      <c r="F767">
        <f>发货清单!U767</f>
        <v>0</v>
      </c>
      <c r="G767" t="str">
        <f>IFERROR(VLOOKUP(发货清单!A767,数据库!A:B,2,0),"")</f>
        <v/>
      </c>
      <c r="H767">
        <f>发货清单!N767</f>
        <v>0</v>
      </c>
      <c r="I767" t="str">
        <f t="shared" si="99"/>
        <v/>
      </c>
      <c r="J767" t="str">
        <f t="shared" si="100"/>
        <v xml:space="preserve"> </v>
      </c>
      <c r="K767" t="str">
        <f t="shared" si="101"/>
        <v/>
      </c>
      <c r="L767" t="str">
        <f t="shared" si="102"/>
        <v/>
      </c>
      <c r="N767" s="245">
        <f t="shared" si="103"/>
        <v>0</v>
      </c>
      <c r="O767" s="245">
        <f t="shared" si="104"/>
        <v>0</v>
      </c>
      <c r="P767" t="str">
        <f t="shared" si="105"/>
        <v/>
      </c>
      <c r="Q767" t="str">
        <f>IFERROR(VLOOKUP(P767,数据库!C:M,11,0),"")</f>
        <v/>
      </c>
      <c r="R767" t="str">
        <f t="shared" si="106"/>
        <v/>
      </c>
      <c r="S767">
        <f t="shared" si="107"/>
        <v>0</v>
      </c>
    </row>
    <row r="768" spans="1:19">
      <c r="A768" t="str">
        <f>IF(B768=0,"",发货清单!A768*10^6+COUNTIF($D$2:D768,D768)*10^3+ROW(A767))</f>
        <v/>
      </c>
      <c r="B768">
        <f>IFERROR(LEFT(发货清单!H768,SEARCH("-",发货清单!H768)-1),发货清单!H768)</f>
        <v>0</v>
      </c>
      <c r="C768" t="str">
        <f>IFERROR(VLOOKUP(发货清单!A768,数据库!A:D,4,0),"")</f>
        <v/>
      </c>
      <c r="D768" t="str">
        <f>IFERROR(VLOOKUP(发货清单!A768,数据库!A:C,3,0),"")</f>
        <v/>
      </c>
      <c r="E768">
        <f>发货清单!M768</f>
        <v>0</v>
      </c>
      <c r="F768">
        <f>发货清单!U768</f>
        <v>0</v>
      </c>
      <c r="G768" t="str">
        <f>IFERROR(VLOOKUP(发货清单!A768,数据库!A:B,2,0),"")</f>
        <v/>
      </c>
      <c r="H768">
        <f>发货清单!N768</f>
        <v>0</v>
      </c>
      <c r="I768" t="str">
        <f t="shared" si="99"/>
        <v/>
      </c>
      <c r="J768" t="str">
        <f t="shared" si="100"/>
        <v xml:space="preserve"> </v>
      </c>
      <c r="K768" t="str">
        <f t="shared" si="101"/>
        <v/>
      </c>
      <c r="L768" t="str">
        <f t="shared" si="102"/>
        <v/>
      </c>
      <c r="N768" s="245">
        <f t="shared" si="103"/>
        <v>0</v>
      </c>
      <c r="O768" s="245">
        <f t="shared" si="104"/>
        <v>0</v>
      </c>
      <c r="P768" t="str">
        <f t="shared" si="105"/>
        <v/>
      </c>
      <c r="Q768" t="str">
        <f>IFERROR(VLOOKUP(P768,数据库!C:M,11,0),"")</f>
        <v/>
      </c>
      <c r="R768" t="str">
        <f t="shared" si="106"/>
        <v/>
      </c>
      <c r="S768">
        <f t="shared" si="107"/>
        <v>0</v>
      </c>
    </row>
    <row r="769" spans="1:19">
      <c r="A769" t="str">
        <f>IF(B769=0,"",发货清单!A769*10^6+COUNTIF($D$2:D769,D769)*10^3+ROW(A768))</f>
        <v/>
      </c>
      <c r="B769">
        <f>IFERROR(LEFT(发货清单!H769,SEARCH("-",发货清单!H769)-1),发货清单!H769)</f>
        <v>0</v>
      </c>
      <c r="C769" t="str">
        <f>IFERROR(VLOOKUP(发货清单!A769,数据库!A:D,4,0),"")</f>
        <v/>
      </c>
      <c r="D769" t="str">
        <f>IFERROR(VLOOKUP(发货清单!A769,数据库!A:C,3,0),"")</f>
        <v/>
      </c>
      <c r="E769">
        <f>发货清单!M769</f>
        <v>0</v>
      </c>
      <c r="F769">
        <f>发货清单!U769</f>
        <v>0</v>
      </c>
      <c r="G769" t="str">
        <f>IFERROR(VLOOKUP(发货清单!A769,数据库!A:B,2,0),"")</f>
        <v/>
      </c>
      <c r="H769">
        <f>发货清单!N769</f>
        <v>0</v>
      </c>
      <c r="I769" t="str">
        <f t="shared" si="99"/>
        <v/>
      </c>
      <c r="J769" t="str">
        <f t="shared" si="100"/>
        <v xml:space="preserve"> </v>
      </c>
      <c r="K769" t="str">
        <f t="shared" si="101"/>
        <v/>
      </c>
      <c r="L769" t="str">
        <f t="shared" si="102"/>
        <v/>
      </c>
      <c r="N769" s="245">
        <f t="shared" si="103"/>
        <v>0</v>
      </c>
      <c r="O769" s="245">
        <f t="shared" si="104"/>
        <v>0</v>
      </c>
      <c r="P769" t="str">
        <f t="shared" si="105"/>
        <v/>
      </c>
      <c r="Q769" t="str">
        <f>IFERROR(VLOOKUP(P769,数据库!C:M,11,0),"")</f>
        <v/>
      </c>
      <c r="R769" t="str">
        <f t="shared" si="106"/>
        <v/>
      </c>
      <c r="S769">
        <f t="shared" si="107"/>
        <v>0</v>
      </c>
    </row>
    <row r="770" spans="1:19">
      <c r="A770" t="str">
        <f>IF(B770=0,"",发货清单!A770*10^6+COUNTIF($D$2:D770,D770)*10^3+ROW(A769))</f>
        <v/>
      </c>
      <c r="B770">
        <f>IFERROR(LEFT(发货清单!H770,SEARCH("-",发货清单!H770)-1),发货清单!H770)</f>
        <v>0</v>
      </c>
      <c r="C770" t="str">
        <f>IFERROR(VLOOKUP(发货清单!A770,数据库!A:D,4,0),"")</f>
        <v/>
      </c>
      <c r="D770" t="str">
        <f>IFERROR(VLOOKUP(发货清单!A770,数据库!A:C,3,0),"")</f>
        <v/>
      </c>
      <c r="E770">
        <f>发货清单!M770</f>
        <v>0</v>
      </c>
      <c r="F770">
        <f>发货清单!U770</f>
        <v>0</v>
      </c>
      <c r="G770" t="str">
        <f>IFERROR(VLOOKUP(发货清单!A770,数据库!A:B,2,0),"")</f>
        <v/>
      </c>
      <c r="H770">
        <f>发货清单!N770</f>
        <v>0</v>
      </c>
      <c r="I770" t="str">
        <f t="shared" si="99"/>
        <v/>
      </c>
      <c r="J770" t="str">
        <f t="shared" si="100"/>
        <v xml:space="preserve"> </v>
      </c>
      <c r="K770" t="str">
        <f t="shared" si="101"/>
        <v/>
      </c>
      <c r="L770" t="str">
        <f t="shared" si="102"/>
        <v/>
      </c>
      <c r="N770" s="245">
        <f t="shared" si="103"/>
        <v>0</v>
      </c>
      <c r="O770" s="245">
        <f t="shared" si="104"/>
        <v>0</v>
      </c>
      <c r="P770" t="str">
        <f t="shared" si="105"/>
        <v/>
      </c>
      <c r="Q770" t="str">
        <f>IFERROR(VLOOKUP(P770,数据库!C:M,11,0),"")</f>
        <v/>
      </c>
      <c r="R770" t="str">
        <f t="shared" si="106"/>
        <v/>
      </c>
      <c r="S770">
        <f t="shared" si="107"/>
        <v>0</v>
      </c>
    </row>
    <row r="771" spans="1:19">
      <c r="A771" t="str">
        <f>IF(B771=0,"",发货清单!A771*10^6+COUNTIF($D$2:D771,D771)*10^3+ROW(A770))</f>
        <v/>
      </c>
      <c r="B771">
        <f>IFERROR(LEFT(发货清单!H771,SEARCH("-",发货清单!H771)-1),发货清单!H771)</f>
        <v>0</v>
      </c>
      <c r="C771" t="str">
        <f>IFERROR(VLOOKUP(发货清单!A771,数据库!A:D,4,0),"")</f>
        <v/>
      </c>
      <c r="D771" t="str">
        <f>IFERROR(VLOOKUP(发货清单!A771,数据库!A:C,3,0),"")</f>
        <v/>
      </c>
      <c r="E771">
        <f>发货清单!M771</f>
        <v>0</v>
      </c>
      <c r="F771">
        <f>发货清单!U771</f>
        <v>0</v>
      </c>
      <c r="G771" t="str">
        <f>IFERROR(VLOOKUP(发货清单!A771,数据库!A:B,2,0),"")</f>
        <v/>
      </c>
      <c r="H771">
        <f>发货清单!N771</f>
        <v>0</v>
      </c>
      <c r="I771" t="str">
        <f t="shared" ref="I771:I834" si="108">IFERROR(SMALL(A:A,ROW(A770)),"")</f>
        <v/>
      </c>
      <c r="J771" t="str">
        <f t="shared" ref="J771:J834" si="109">IFERROR(IF(RIGHT(I771,6)-2000&gt;0," ",I771)," ")</f>
        <v xml:space="preserve"> </v>
      </c>
      <c r="K771" t="str">
        <f t="shared" ref="K771:K834" si="110">IFERROR(SMALL(J:J,ROW(A770)),"")</f>
        <v/>
      </c>
      <c r="L771" t="str">
        <f t="shared" ref="L771:L834" si="111">IFERROR(VLOOKUP(K771,A:G,7,0)," ")</f>
        <v/>
      </c>
      <c r="N771" s="245">
        <f t="shared" ref="N771:N834" si="112">IF(P771=" ",0,SUMIF(D:D,P771,E:E))</f>
        <v>0</v>
      </c>
      <c r="O771" s="245">
        <f t="shared" ref="O771:O834" si="113">SUMIF(D:D,P771,F:F)</f>
        <v>0</v>
      </c>
      <c r="P771" t="str">
        <f t="shared" ref="P771:P834" si="114">IFERROR(VLOOKUP(K771,A:D,4,0)," ")</f>
        <v/>
      </c>
      <c r="Q771" t="str">
        <f>IFERROR(VLOOKUP(P771,数据库!C:M,11,0),"")</f>
        <v/>
      </c>
      <c r="R771" t="str">
        <f t="shared" ref="R771:R834" si="115">IFERROR(VLOOKUP(K771,A:C,3,0)," ")</f>
        <v/>
      </c>
      <c r="S771">
        <f t="shared" ref="S771:S834" si="116">IFERROR(VLOOKUP(K771,A:H,8,0)," ")</f>
        <v>0</v>
      </c>
    </row>
    <row r="772" spans="1:19">
      <c r="A772" t="str">
        <f>IF(B772=0,"",发货清单!A772*10^6+COUNTIF($D$2:D772,D772)*10^3+ROW(A771))</f>
        <v/>
      </c>
      <c r="B772">
        <f>IFERROR(LEFT(发货清单!H772,SEARCH("-",发货清单!H772)-1),发货清单!H772)</f>
        <v>0</v>
      </c>
      <c r="C772" t="str">
        <f>IFERROR(VLOOKUP(发货清单!A772,数据库!A:D,4,0),"")</f>
        <v/>
      </c>
      <c r="D772" t="str">
        <f>IFERROR(VLOOKUP(发货清单!A772,数据库!A:C,3,0),"")</f>
        <v/>
      </c>
      <c r="E772">
        <f>发货清单!M772</f>
        <v>0</v>
      </c>
      <c r="F772">
        <f>发货清单!U772</f>
        <v>0</v>
      </c>
      <c r="G772" t="str">
        <f>IFERROR(VLOOKUP(发货清单!A772,数据库!A:B,2,0),"")</f>
        <v/>
      </c>
      <c r="H772">
        <f>发货清单!N772</f>
        <v>0</v>
      </c>
      <c r="I772" t="str">
        <f t="shared" si="108"/>
        <v/>
      </c>
      <c r="J772" t="str">
        <f t="shared" si="109"/>
        <v xml:space="preserve"> </v>
      </c>
      <c r="K772" t="str">
        <f t="shared" si="110"/>
        <v/>
      </c>
      <c r="L772" t="str">
        <f t="shared" si="111"/>
        <v/>
      </c>
      <c r="N772" s="245">
        <f t="shared" si="112"/>
        <v>0</v>
      </c>
      <c r="O772" s="245">
        <f t="shared" si="113"/>
        <v>0</v>
      </c>
      <c r="P772" t="str">
        <f t="shared" si="114"/>
        <v/>
      </c>
      <c r="Q772" t="str">
        <f>IFERROR(VLOOKUP(P772,数据库!C:M,11,0),"")</f>
        <v/>
      </c>
      <c r="R772" t="str">
        <f t="shared" si="115"/>
        <v/>
      </c>
      <c r="S772">
        <f t="shared" si="116"/>
        <v>0</v>
      </c>
    </row>
    <row r="773" spans="1:19">
      <c r="A773" t="str">
        <f>IF(B773=0,"",发货清单!A773*10^6+COUNTIF($D$2:D773,D773)*10^3+ROW(A772))</f>
        <v/>
      </c>
      <c r="B773">
        <f>IFERROR(LEFT(发货清单!H773,SEARCH("-",发货清单!H773)-1),发货清单!H773)</f>
        <v>0</v>
      </c>
      <c r="C773" t="str">
        <f>IFERROR(VLOOKUP(发货清单!A773,数据库!A:D,4,0),"")</f>
        <v/>
      </c>
      <c r="D773" t="str">
        <f>IFERROR(VLOOKUP(发货清单!A773,数据库!A:C,3,0),"")</f>
        <v/>
      </c>
      <c r="E773">
        <f>发货清单!M773</f>
        <v>0</v>
      </c>
      <c r="F773">
        <f>发货清单!U773</f>
        <v>0</v>
      </c>
      <c r="G773" t="str">
        <f>IFERROR(VLOOKUP(发货清单!A773,数据库!A:B,2,0),"")</f>
        <v/>
      </c>
      <c r="H773">
        <f>发货清单!N773</f>
        <v>0</v>
      </c>
      <c r="I773" t="str">
        <f t="shared" si="108"/>
        <v/>
      </c>
      <c r="J773" t="str">
        <f t="shared" si="109"/>
        <v xml:space="preserve"> </v>
      </c>
      <c r="K773" t="str">
        <f t="shared" si="110"/>
        <v/>
      </c>
      <c r="L773" t="str">
        <f t="shared" si="111"/>
        <v/>
      </c>
      <c r="N773" s="245">
        <f t="shared" si="112"/>
        <v>0</v>
      </c>
      <c r="O773" s="245">
        <f t="shared" si="113"/>
        <v>0</v>
      </c>
      <c r="P773" t="str">
        <f t="shared" si="114"/>
        <v/>
      </c>
      <c r="Q773" t="str">
        <f>IFERROR(VLOOKUP(P773,数据库!C:M,11,0),"")</f>
        <v/>
      </c>
      <c r="R773" t="str">
        <f t="shared" si="115"/>
        <v/>
      </c>
      <c r="S773">
        <f t="shared" si="116"/>
        <v>0</v>
      </c>
    </row>
    <row r="774" spans="1:19">
      <c r="A774" t="str">
        <f>IF(B774=0,"",发货清单!A774*10^6+COUNTIF($D$2:D774,D774)*10^3+ROW(A773))</f>
        <v/>
      </c>
      <c r="B774">
        <f>IFERROR(LEFT(发货清单!H774,SEARCH("-",发货清单!H774)-1),发货清单!H774)</f>
        <v>0</v>
      </c>
      <c r="C774" t="str">
        <f>IFERROR(VLOOKUP(发货清单!A774,数据库!A:D,4,0),"")</f>
        <v/>
      </c>
      <c r="D774" t="str">
        <f>IFERROR(VLOOKUP(发货清单!A774,数据库!A:C,3,0),"")</f>
        <v/>
      </c>
      <c r="E774">
        <f>发货清单!M774</f>
        <v>0</v>
      </c>
      <c r="F774">
        <f>发货清单!U774</f>
        <v>0</v>
      </c>
      <c r="G774" t="str">
        <f>IFERROR(VLOOKUP(发货清单!A774,数据库!A:B,2,0),"")</f>
        <v/>
      </c>
      <c r="H774">
        <f>发货清单!N774</f>
        <v>0</v>
      </c>
      <c r="I774" t="str">
        <f t="shared" si="108"/>
        <v/>
      </c>
      <c r="J774" t="str">
        <f t="shared" si="109"/>
        <v xml:space="preserve"> </v>
      </c>
      <c r="K774" t="str">
        <f t="shared" si="110"/>
        <v/>
      </c>
      <c r="L774" t="str">
        <f t="shared" si="111"/>
        <v/>
      </c>
      <c r="N774" s="245">
        <f t="shared" si="112"/>
        <v>0</v>
      </c>
      <c r="O774" s="245">
        <f t="shared" si="113"/>
        <v>0</v>
      </c>
      <c r="P774" t="str">
        <f t="shared" si="114"/>
        <v/>
      </c>
      <c r="Q774" t="str">
        <f>IFERROR(VLOOKUP(P774,数据库!C:M,11,0),"")</f>
        <v/>
      </c>
      <c r="R774" t="str">
        <f t="shared" si="115"/>
        <v/>
      </c>
      <c r="S774">
        <f t="shared" si="116"/>
        <v>0</v>
      </c>
    </row>
    <row r="775" spans="1:19">
      <c r="A775" t="str">
        <f>IF(B775=0,"",发货清单!A775*10^6+COUNTIF($D$2:D775,D775)*10^3+ROW(A774))</f>
        <v/>
      </c>
      <c r="B775">
        <f>IFERROR(LEFT(发货清单!H775,SEARCH("-",发货清单!H775)-1),发货清单!H775)</f>
        <v>0</v>
      </c>
      <c r="C775" t="str">
        <f>IFERROR(VLOOKUP(发货清单!A775,数据库!A:D,4,0),"")</f>
        <v/>
      </c>
      <c r="D775" t="str">
        <f>IFERROR(VLOOKUP(发货清单!A775,数据库!A:C,3,0),"")</f>
        <v/>
      </c>
      <c r="E775">
        <f>发货清单!M775</f>
        <v>0</v>
      </c>
      <c r="F775">
        <f>发货清单!U775</f>
        <v>0</v>
      </c>
      <c r="G775" t="str">
        <f>IFERROR(VLOOKUP(发货清单!A775,数据库!A:B,2,0),"")</f>
        <v/>
      </c>
      <c r="H775">
        <f>发货清单!N775</f>
        <v>0</v>
      </c>
      <c r="I775" t="str">
        <f t="shared" si="108"/>
        <v/>
      </c>
      <c r="J775" t="str">
        <f t="shared" si="109"/>
        <v xml:space="preserve"> </v>
      </c>
      <c r="K775" t="str">
        <f t="shared" si="110"/>
        <v/>
      </c>
      <c r="L775" t="str">
        <f t="shared" si="111"/>
        <v/>
      </c>
      <c r="N775" s="245">
        <f t="shared" si="112"/>
        <v>0</v>
      </c>
      <c r="O775" s="245">
        <f t="shared" si="113"/>
        <v>0</v>
      </c>
      <c r="P775" t="str">
        <f t="shared" si="114"/>
        <v/>
      </c>
      <c r="Q775" t="str">
        <f>IFERROR(VLOOKUP(P775,数据库!C:M,11,0),"")</f>
        <v/>
      </c>
      <c r="R775" t="str">
        <f t="shared" si="115"/>
        <v/>
      </c>
      <c r="S775">
        <f t="shared" si="116"/>
        <v>0</v>
      </c>
    </row>
    <row r="776" spans="1:19">
      <c r="A776" t="str">
        <f>IF(B776=0,"",发货清单!A776*10^6+COUNTIF($D$2:D776,D776)*10^3+ROW(A775))</f>
        <v/>
      </c>
      <c r="B776">
        <f>IFERROR(LEFT(发货清单!H776,SEARCH("-",发货清单!H776)-1),发货清单!H776)</f>
        <v>0</v>
      </c>
      <c r="C776" t="str">
        <f>IFERROR(VLOOKUP(发货清单!A776,数据库!A:D,4,0),"")</f>
        <v/>
      </c>
      <c r="D776" t="str">
        <f>IFERROR(VLOOKUP(发货清单!A776,数据库!A:C,3,0),"")</f>
        <v/>
      </c>
      <c r="E776">
        <f>发货清单!M776</f>
        <v>0</v>
      </c>
      <c r="F776">
        <f>发货清单!U776</f>
        <v>0</v>
      </c>
      <c r="G776" t="str">
        <f>IFERROR(VLOOKUP(发货清单!A776,数据库!A:B,2,0),"")</f>
        <v/>
      </c>
      <c r="H776">
        <f>发货清单!N776</f>
        <v>0</v>
      </c>
      <c r="I776" t="str">
        <f t="shared" si="108"/>
        <v/>
      </c>
      <c r="J776" t="str">
        <f t="shared" si="109"/>
        <v xml:space="preserve"> </v>
      </c>
      <c r="K776" t="str">
        <f t="shared" si="110"/>
        <v/>
      </c>
      <c r="L776" t="str">
        <f t="shared" si="111"/>
        <v/>
      </c>
      <c r="N776" s="245">
        <f t="shared" si="112"/>
        <v>0</v>
      </c>
      <c r="O776" s="245">
        <f t="shared" si="113"/>
        <v>0</v>
      </c>
      <c r="P776" t="str">
        <f t="shared" si="114"/>
        <v/>
      </c>
      <c r="Q776" t="str">
        <f>IFERROR(VLOOKUP(P776,数据库!C:M,11,0),"")</f>
        <v/>
      </c>
      <c r="R776" t="str">
        <f t="shared" si="115"/>
        <v/>
      </c>
      <c r="S776">
        <f t="shared" si="116"/>
        <v>0</v>
      </c>
    </row>
    <row r="777" spans="1:19">
      <c r="A777" t="str">
        <f>IF(B777=0,"",发货清单!A777*10^6+COUNTIF($D$2:D777,D777)*10^3+ROW(A776))</f>
        <v/>
      </c>
      <c r="B777">
        <f>IFERROR(LEFT(发货清单!H777,SEARCH("-",发货清单!H777)-1),发货清单!H777)</f>
        <v>0</v>
      </c>
      <c r="C777" t="str">
        <f>IFERROR(VLOOKUP(发货清单!A777,数据库!A:D,4,0),"")</f>
        <v/>
      </c>
      <c r="D777" t="str">
        <f>IFERROR(VLOOKUP(发货清单!A777,数据库!A:C,3,0),"")</f>
        <v/>
      </c>
      <c r="E777">
        <f>发货清单!M777</f>
        <v>0</v>
      </c>
      <c r="F777">
        <f>发货清单!U777</f>
        <v>0</v>
      </c>
      <c r="G777" t="str">
        <f>IFERROR(VLOOKUP(发货清单!A777,数据库!A:B,2,0),"")</f>
        <v/>
      </c>
      <c r="H777">
        <f>发货清单!N777</f>
        <v>0</v>
      </c>
      <c r="I777" t="str">
        <f t="shared" si="108"/>
        <v/>
      </c>
      <c r="J777" t="str">
        <f t="shared" si="109"/>
        <v xml:space="preserve"> </v>
      </c>
      <c r="K777" t="str">
        <f t="shared" si="110"/>
        <v/>
      </c>
      <c r="L777" t="str">
        <f t="shared" si="111"/>
        <v/>
      </c>
      <c r="N777" s="245">
        <f t="shared" si="112"/>
        <v>0</v>
      </c>
      <c r="O777" s="245">
        <f t="shared" si="113"/>
        <v>0</v>
      </c>
      <c r="P777" t="str">
        <f t="shared" si="114"/>
        <v/>
      </c>
      <c r="Q777" t="str">
        <f>IFERROR(VLOOKUP(P777,数据库!C:M,11,0),"")</f>
        <v/>
      </c>
      <c r="R777" t="str">
        <f t="shared" si="115"/>
        <v/>
      </c>
      <c r="S777">
        <f t="shared" si="116"/>
        <v>0</v>
      </c>
    </row>
    <row r="778" spans="1:19">
      <c r="A778" t="str">
        <f>IF(B778=0,"",发货清单!A778*10^6+COUNTIF($D$2:D778,D778)*10^3+ROW(A777))</f>
        <v/>
      </c>
      <c r="B778">
        <f>IFERROR(LEFT(发货清单!H778,SEARCH("-",发货清单!H778)-1),发货清单!H778)</f>
        <v>0</v>
      </c>
      <c r="C778" t="str">
        <f>IFERROR(VLOOKUP(发货清单!A778,数据库!A:D,4,0),"")</f>
        <v/>
      </c>
      <c r="D778" t="str">
        <f>IFERROR(VLOOKUP(发货清单!A778,数据库!A:C,3,0),"")</f>
        <v/>
      </c>
      <c r="E778">
        <f>发货清单!M778</f>
        <v>0</v>
      </c>
      <c r="F778">
        <f>发货清单!U778</f>
        <v>0</v>
      </c>
      <c r="G778" t="str">
        <f>IFERROR(VLOOKUP(发货清单!A778,数据库!A:B,2,0),"")</f>
        <v/>
      </c>
      <c r="H778">
        <f>发货清单!N778</f>
        <v>0</v>
      </c>
      <c r="I778" t="str">
        <f t="shared" si="108"/>
        <v/>
      </c>
      <c r="J778" t="str">
        <f t="shared" si="109"/>
        <v xml:space="preserve"> </v>
      </c>
      <c r="K778" t="str">
        <f t="shared" si="110"/>
        <v/>
      </c>
      <c r="L778" t="str">
        <f t="shared" si="111"/>
        <v/>
      </c>
      <c r="N778" s="245">
        <f t="shared" si="112"/>
        <v>0</v>
      </c>
      <c r="O778" s="245">
        <f t="shared" si="113"/>
        <v>0</v>
      </c>
      <c r="P778" t="str">
        <f t="shared" si="114"/>
        <v/>
      </c>
      <c r="Q778" t="str">
        <f>IFERROR(VLOOKUP(P778,数据库!C:M,11,0),"")</f>
        <v/>
      </c>
      <c r="R778" t="str">
        <f t="shared" si="115"/>
        <v/>
      </c>
      <c r="S778">
        <f t="shared" si="116"/>
        <v>0</v>
      </c>
    </row>
    <row r="779" spans="1:19">
      <c r="A779" t="str">
        <f>IF(B779=0,"",发货清单!A779*10^6+COUNTIF($D$2:D779,D779)*10^3+ROW(A778))</f>
        <v/>
      </c>
      <c r="B779">
        <f>IFERROR(LEFT(发货清单!H779,SEARCH("-",发货清单!H779)-1),发货清单!H779)</f>
        <v>0</v>
      </c>
      <c r="C779" t="str">
        <f>IFERROR(VLOOKUP(发货清单!A779,数据库!A:D,4,0),"")</f>
        <v/>
      </c>
      <c r="D779" t="str">
        <f>IFERROR(VLOOKUP(发货清单!A779,数据库!A:C,3,0),"")</f>
        <v/>
      </c>
      <c r="E779">
        <f>发货清单!M779</f>
        <v>0</v>
      </c>
      <c r="F779">
        <f>发货清单!U779</f>
        <v>0</v>
      </c>
      <c r="G779" t="str">
        <f>IFERROR(VLOOKUP(发货清单!A779,数据库!A:B,2,0),"")</f>
        <v/>
      </c>
      <c r="H779">
        <f>发货清单!N779</f>
        <v>0</v>
      </c>
      <c r="I779" t="str">
        <f t="shared" si="108"/>
        <v/>
      </c>
      <c r="J779" t="str">
        <f t="shared" si="109"/>
        <v xml:space="preserve"> </v>
      </c>
      <c r="K779" t="str">
        <f t="shared" si="110"/>
        <v/>
      </c>
      <c r="L779" t="str">
        <f t="shared" si="111"/>
        <v/>
      </c>
      <c r="N779" s="245">
        <f t="shared" si="112"/>
        <v>0</v>
      </c>
      <c r="O779" s="245">
        <f t="shared" si="113"/>
        <v>0</v>
      </c>
      <c r="P779" t="str">
        <f t="shared" si="114"/>
        <v/>
      </c>
      <c r="Q779" t="str">
        <f>IFERROR(VLOOKUP(P779,数据库!C:M,11,0),"")</f>
        <v/>
      </c>
      <c r="R779" t="str">
        <f t="shared" si="115"/>
        <v/>
      </c>
      <c r="S779">
        <f t="shared" si="116"/>
        <v>0</v>
      </c>
    </row>
    <row r="780" spans="1:19">
      <c r="A780" t="str">
        <f>IF(B780=0,"",发货清单!A780*10^6+COUNTIF($D$2:D780,D780)*10^3+ROW(A779))</f>
        <v/>
      </c>
      <c r="B780">
        <f>IFERROR(LEFT(发货清单!H780,SEARCH("-",发货清单!H780)-1),发货清单!H780)</f>
        <v>0</v>
      </c>
      <c r="C780" t="str">
        <f>IFERROR(VLOOKUP(发货清单!A780,数据库!A:D,4,0),"")</f>
        <v/>
      </c>
      <c r="D780" t="str">
        <f>IFERROR(VLOOKUP(发货清单!A780,数据库!A:C,3,0),"")</f>
        <v/>
      </c>
      <c r="E780">
        <f>发货清单!M780</f>
        <v>0</v>
      </c>
      <c r="F780">
        <f>发货清单!U780</f>
        <v>0</v>
      </c>
      <c r="G780" t="str">
        <f>IFERROR(VLOOKUP(发货清单!A780,数据库!A:B,2,0),"")</f>
        <v/>
      </c>
      <c r="H780">
        <f>发货清单!N780</f>
        <v>0</v>
      </c>
      <c r="I780" t="str">
        <f t="shared" si="108"/>
        <v/>
      </c>
      <c r="J780" t="str">
        <f t="shared" si="109"/>
        <v xml:space="preserve"> </v>
      </c>
      <c r="K780" t="str">
        <f t="shared" si="110"/>
        <v/>
      </c>
      <c r="L780" t="str">
        <f t="shared" si="111"/>
        <v/>
      </c>
      <c r="N780" s="245">
        <f t="shared" si="112"/>
        <v>0</v>
      </c>
      <c r="O780" s="245">
        <f t="shared" si="113"/>
        <v>0</v>
      </c>
      <c r="P780" t="str">
        <f t="shared" si="114"/>
        <v/>
      </c>
      <c r="Q780" t="str">
        <f>IFERROR(VLOOKUP(P780,数据库!C:M,11,0),"")</f>
        <v/>
      </c>
      <c r="R780" t="str">
        <f t="shared" si="115"/>
        <v/>
      </c>
      <c r="S780">
        <f t="shared" si="116"/>
        <v>0</v>
      </c>
    </row>
    <row r="781" spans="1:19">
      <c r="A781" t="str">
        <f>IF(B781=0,"",发货清单!A781*10^6+COUNTIF($D$2:D781,D781)*10^3+ROW(A780))</f>
        <v/>
      </c>
      <c r="B781">
        <f>IFERROR(LEFT(发货清单!H781,SEARCH("-",发货清单!H781)-1),发货清单!H781)</f>
        <v>0</v>
      </c>
      <c r="C781" t="str">
        <f>IFERROR(VLOOKUP(发货清单!A781,数据库!A:D,4,0),"")</f>
        <v/>
      </c>
      <c r="D781" t="str">
        <f>IFERROR(VLOOKUP(发货清单!A781,数据库!A:C,3,0),"")</f>
        <v/>
      </c>
      <c r="E781">
        <f>发货清单!M781</f>
        <v>0</v>
      </c>
      <c r="F781">
        <f>发货清单!U781</f>
        <v>0</v>
      </c>
      <c r="G781" t="str">
        <f>IFERROR(VLOOKUP(发货清单!A781,数据库!A:B,2,0),"")</f>
        <v/>
      </c>
      <c r="H781">
        <f>发货清单!N781</f>
        <v>0</v>
      </c>
      <c r="I781" t="str">
        <f t="shared" si="108"/>
        <v/>
      </c>
      <c r="J781" t="str">
        <f t="shared" si="109"/>
        <v xml:space="preserve"> </v>
      </c>
      <c r="K781" t="str">
        <f t="shared" si="110"/>
        <v/>
      </c>
      <c r="L781" t="str">
        <f t="shared" si="111"/>
        <v/>
      </c>
      <c r="N781" s="245">
        <f t="shared" si="112"/>
        <v>0</v>
      </c>
      <c r="O781" s="245">
        <f t="shared" si="113"/>
        <v>0</v>
      </c>
      <c r="P781" t="str">
        <f t="shared" si="114"/>
        <v/>
      </c>
      <c r="Q781" t="str">
        <f>IFERROR(VLOOKUP(P781,数据库!C:M,11,0),"")</f>
        <v/>
      </c>
      <c r="R781" t="str">
        <f t="shared" si="115"/>
        <v/>
      </c>
      <c r="S781">
        <f t="shared" si="116"/>
        <v>0</v>
      </c>
    </row>
    <row r="782" spans="1:19">
      <c r="A782" t="str">
        <f>IF(B782=0,"",发货清单!A782*10^6+COUNTIF($D$2:D782,D782)*10^3+ROW(A781))</f>
        <v/>
      </c>
      <c r="B782">
        <f>IFERROR(LEFT(发货清单!H782,SEARCH("-",发货清单!H782)-1),发货清单!H782)</f>
        <v>0</v>
      </c>
      <c r="C782" t="str">
        <f>IFERROR(VLOOKUP(发货清单!A782,数据库!A:D,4,0),"")</f>
        <v/>
      </c>
      <c r="D782" t="str">
        <f>IFERROR(VLOOKUP(发货清单!A782,数据库!A:C,3,0),"")</f>
        <v/>
      </c>
      <c r="E782">
        <f>发货清单!M782</f>
        <v>0</v>
      </c>
      <c r="F782">
        <f>发货清单!U782</f>
        <v>0</v>
      </c>
      <c r="G782" t="str">
        <f>IFERROR(VLOOKUP(发货清单!A782,数据库!A:B,2,0),"")</f>
        <v/>
      </c>
      <c r="H782">
        <f>发货清单!N782</f>
        <v>0</v>
      </c>
      <c r="I782" t="str">
        <f t="shared" si="108"/>
        <v/>
      </c>
      <c r="J782" t="str">
        <f t="shared" si="109"/>
        <v xml:space="preserve"> </v>
      </c>
      <c r="K782" t="str">
        <f t="shared" si="110"/>
        <v/>
      </c>
      <c r="L782" t="str">
        <f t="shared" si="111"/>
        <v/>
      </c>
      <c r="N782" s="245">
        <f t="shared" si="112"/>
        <v>0</v>
      </c>
      <c r="O782" s="245">
        <f t="shared" si="113"/>
        <v>0</v>
      </c>
      <c r="P782" t="str">
        <f t="shared" si="114"/>
        <v/>
      </c>
      <c r="Q782" t="str">
        <f>IFERROR(VLOOKUP(P782,数据库!C:M,11,0),"")</f>
        <v/>
      </c>
      <c r="R782" t="str">
        <f t="shared" si="115"/>
        <v/>
      </c>
      <c r="S782">
        <f t="shared" si="116"/>
        <v>0</v>
      </c>
    </row>
    <row r="783" spans="1:19">
      <c r="A783" t="str">
        <f>IF(B783=0,"",发货清单!A783*10^6+COUNTIF($D$2:D783,D783)*10^3+ROW(A782))</f>
        <v/>
      </c>
      <c r="B783">
        <f>IFERROR(LEFT(发货清单!H783,SEARCH("-",发货清单!H783)-1),发货清单!H783)</f>
        <v>0</v>
      </c>
      <c r="C783" t="str">
        <f>IFERROR(VLOOKUP(发货清单!A783,数据库!A:D,4,0),"")</f>
        <v/>
      </c>
      <c r="D783" t="str">
        <f>IFERROR(VLOOKUP(发货清单!A783,数据库!A:C,3,0),"")</f>
        <v/>
      </c>
      <c r="E783">
        <f>发货清单!M783</f>
        <v>0</v>
      </c>
      <c r="F783">
        <f>发货清单!U783</f>
        <v>0</v>
      </c>
      <c r="G783" t="str">
        <f>IFERROR(VLOOKUP(发货清单!A783,数据库!A:B,2,0),"")</f>
        <v/>
      </c>
      <c r="H783">
        <f>发货清单!N783</f>
        <v>0</v>
      </c>
      <c r="I783" t="str">
        <f t="shared" si="108"/>
        <v/>
      </c>
      <c r="J783" t="str">
        <f t="shared" si="109"/>
        <v xml:space="preserve"> </v>
      </c>
      <c r="K783" t="str">
        <f t="shared" si="110"/>
        <v/>
      </c>
      <c r="L783" t="str">
        <f t="shared" si="111"/>
        <v/>
      </c>
      <c r="N783" s="245">
        <f t="shared" si="112"/>
        <v>0</v>
      </c>
      <c r="O783" s="245">
        <f t="shared" si="113"/>
        <v>0</v>
      </c>
      <c r="P783" t="str">
        <f t="shared" si="114"/>
        <v/>
      </c>
      <c r="Q783" t="str">
        <f>IFERROR(VLOOKUP(P783,数据库!C:M,11,0),"")</f>
        <v/>
      </c>
      <c r="R783" t="str">
        <f t="shared" si="115"/>
        <v/>
      </c>
      <c r="S783">
        <f t="shared" si="116"/>
        <v>0</v>
      </c>
    </row>
    <row r="784" spans="1:19">
      <c r="A784" t="str">
        <f>IF(B784=0,"",发货清单!A784*10^6+COUNTIF($D$2:D784,D784)*10^3+ROW(A783))</f>
        <v/>
      </c>
      <c r="B784">
        <f>IFERROR(LEFT(发货清单!H784,SEARCH("-",发货清单!H784)-1),发货清单!H784)</f>
        <v>0</v>
      </c>
      <c r="C784" t="str">
        <f>IFERROR(VLOOKUP(发货清单!A784,数据库!A:D,4,0),"")</f>
        <v/>
      </c>
      <c r="D784" t="str">
        <f>IFERROR(VLOOKUP(发货清单!A784,数据库!A:C,3,0),"")</f>
        <v/>
      </c>
      <c r="E784">
        <f>发货清单!M784</f>
        <v>0</v>
      </c>
      <c r="F784">
        <f>发货清单!U784</f>
        <v>0</v>
      </c>
      <c r="G784" t="str">
        <f>IFERROR(VLOOKUP(发货清单!A784,数据库!A:B,2,0),"")</f>
        <v/>
      </c>
      <c r="H784">
        <f>发货清单!N784</f>
        <v>0</v>
      </c>
      <c r="I784" t="str">
        <f t="shared" si="108"/>
        <v/>
      </c>
      <c r="J784" t="str">
        <f t="shared" si="109"/>
        <v xml:space="preserve"> </v>
      </c>
      <c r="K784" t="str">
        <f t="shared" si="110"/>
        <v/>
      </c>
      <c r="L784" t="str">
        <f t="shared" si="111"/>
        <v/>
      </c>
      <c r="N784" s="245">
        <f t="shared" si="112"/>
        <v>0</v>
      </c>
      <c r="O784" s="245">
        <f t="shared" si="113"/>
        <v>0</v>
      </c>
      <c r="P784" t="str">
        <f t="shared" si="114"/>
        <v/>
      </c>
      <c r="Q784" t="str">
        <f>IFERROR(VLOOKUP(P784,数据库!C:M,11,0),"")</f>
        <v/>
      </c>
      <c r="R784" t="str">
        <f t="shared" si="115"/>
        <v/>
      </c>
      <c r="S784">
        <f t="shared" si="116"/>
        <v>0</v>
      </c>
    </row>
    <row r="785" spans="1:19">
      <c r="A785" t="str">
        <f>IF(B785=0,"",发货清单!A785*10^6+COUNTIF($D$2:D785,D785)*10^3+ROW(A784))</f>
        <v/>
      </c>
      <c r="B785">
        <f>IFERROR(LEFT(发货清单!H785,SEARCH("-",发货清单!H785)-1),发货清单!H785)</f>
        <v>0</v>
      </c>
      <c r="C785" t="str">
        <f>IFERROR(VLOOKUP(发货清单!A785,数据库!A:D,4,0),"")</f>
        <v/>
      </c>
      <c r="D785" t="str">
        <f>IFERROR(VLOOKUP(发货清单!A785,数据库!A:C,3,0),"")</f>
        <v/>
      </c>
      <c r="E785">
        <f>发货清单!M785</f>
        <v>0</v>
      </c>
      <c r="F785">
        <f>发货清单!U785</f>
        <v>0</v>
      </c>
      <c r="G785" t="str">
        <f>IFERROR(VLOOKUP(发货清单!A785,数据库!A:B,2,0),"")</f>
        <v/>
      </c>
      <c r="H785">
        <f>发货清单!N785</f>
        <v>0</v>
      </c>
      <c r="I785" t="str">
        <f t="shared" si="108"/>
        <v/>
      </c>
      <c r="J785" t="str">
        <f t="shared" si="109"/>
        <v xml:space="preserve"> </v>
      </c>
      <c r="K785" t="str">
        <f t="shared" si="110"/>
        <v/>
      </c>
      <c r="L785" t="str">
        <f t="shared" si="111"/>
        <v/>
      </c>
      <c r="N785" s="245">
        <f t="shared" si="112"/>
        <v>0</v>
      </c>
      <c r="O785" s="245">
        <f t="shared" si="113"/>
        <v>0</v>
      </c>
      <c r="P785" t="str">
        <f t="shared" si="114"/>
        <v/>
      </c>
      <c r="Q785" t="str">
        <f>IFERROR(VLOOKUP(P785,数据库!C:M,11,0),"")</f>
        <v/>
      </c>
      <c r="R785" t="str">
        <f t="shared" si="115"/>
        <v/>
      </c>
      <c r="S785">
        <f t="shared" si="116"/>
        <v>0</v>
      </c>
    </row>
    <row r="786" spans="1:19">
      <c r="A786" t="str">
        <f>IF(B786=0,"",发货清单!A786*10^6+COUNTIF($D$2:D786,D786)*10^3+ROW(A785))</f>
        <v/>
      </c>
      <c r="B786">
        <f>IFERROR(LEFT(发货清单!H786,SEARCH("-",发货清单!H786)-1),发货清单!H786)</f>
        <v>0</v>
      </c>
      <c r="C786" t="str">
        <f>IFERROR(VLOOKUP(发货清单!A786,数据库!A:D,4,0),"")</f>
        <v/>
      </c>
      <c r="D786" t="str">
        <f>IFERROR(VLOOKUP(发货清单!A786,数据库!A:C,3,0),"")</f>
        <v/>
      </c>
      <c r="E786">
        <f>发货清单!M786</f>
        <v>0</v>
      </c>
      <c r="F786">
        <f>发货清单!U786</f>
        <v>0</v>
      </c>
      <c r="G786" t="str">
        <f>IFERROR(VLOOKUP(发货清单!A786,数据库!A:B,2,0),"")</f>
        <v/>
      </c>
      <c r="H786">
        <f>发货清单!N786</f>
        <v>0</v>
      </c>
      <c r="I786" t="str">
        <f t="shared" si="108"/>
        <v/>
      </c>
      <c r="J786" t="str">
        <f t="shared" si="109"/>
        <v xml:space="preserve"> </v>
      </c>
      <c r="K786" t="str">
        <f t="shared" si="110"/>
        <v/>
      </c>
      <c r="L786" t="str">
        <f t="shared" si="111"/>
        <v/>
      </c>
      <c r="N786" s="245">
        <f t="shared" si="112"/>
        <v>0</v>
      </c>
      <c r="O786" s="245">
        <f t="shared" si="113"/>
        <v>0</v>
      </c>
      <c r="P786" t="str">
        <f t="shared" si="114"/>
        <v/>
      </c>
      <c r="Q786" t="str">
        <f>IFERROR(VLOOKUP(P786,数据库!C:M,11,0),"")</f>
        <v/>
      </c>
      <c r="R786" t="str">
        <f t="shared" si="115"/>
        <v/>
      </c>
      <c r="S786">
        <f t="shared" si="116"/>
        <v>0</v>
      </c>
    </row>
    <row r="787" spans="1:19">
      <c r="A787" t="str">
        <f>IF(B787=0,"",发货清单!A787*10^6+COUNTIF($D$2:D787,D787)*10^3+ROW(A786))</f>
        <v/>
      </c>
      <c r="B787">
        <f>IFERROR(LEFT(发货清单!H787,SEARCH("-",发货清单!H787)-1),发货清单!H787)</f>
        <v>0</v>
      </c>
      <c r="C787" t="str">
        <f>IFERROR(VLOOKUP(发货清单!A787,数据库!A:D,4,0),"")</f>
        <v/>
      </c>
      <c r="D787" t="str">
        <f>IFERROR(VLOOKUP(发货清单!A787,数据库!A:C,3,0),"")</f>
        <v/>
      </c>
      <c r="E787">
        <f>发货清单!M787</f>
        <v>0</v>
      </c>
      <c r="F787">
        <f>发货清单!U787</f>
        <v>0</v>
      </c>
      <c r="G787" t="str">
        <f>IFERROR(VLOOKUP(发货清单!A787,数据库!A:B,2,0),"")</f>
        <v/>
      </c>
      <c r="H787">
        <f>发货清单!N787</f>
        <v>0</v>
      </c>
      <c r="I787" t="str">
        <f t="shared" si="108"/>
        <v/>
      </c>
      <c r="J787" t="str">
        <f t="shared" si="109"/>
        <v xml:space="preserve"> </v>
      </c>
      <c r="K787" t="str">
        <f t="shared" si="110"/>
        <v/>
      </c>
      <c r="L787" t="str">
        <f t="shared" si="111"/>
        <v/>
      </c>
      <c r="N787" s="245">
        <f t="shared" si="112"/>
        <v>0</v>
      </c>
      <c r="O787" s="245">
        <f t="shared" si="113"/>
        <v>0</v>
      </c>
      <c r="P787" t="str">
        <f t="shared" si="114"/>
        <v/>
      </c>
      <c r="Q787" t="str">
        <f>IFERROR(VLOOKUP(P787,数据库!C:M,11,0),"")</f>
        <v/>
      </c>
      <c r="R787" t="str">
        <f t="shared" si="115"/>
        <v/>
      </c>
      <c r="S787">
        <f t="shared" si="116"/>
        <v>0</v>
      </c>
    </row>
    <row r="788" spans="1:19">
      <c r="A788" t="str">
        <f>IF(B788=0,"",发货清单!A788*10^6+COUNTIF($D$2:D788,D788)*10^3+ROW(A787))</f>
        <v/>
      </c>
      <c r="B788">
        <f>IFERROR(LEFT(发货清单!H788,SEARCH("-",发货清单!H788)-1),发货清单!H788)</f>
        <v>0</v>
      </c>
      <c r="C788" t="str">
        <f>IFERROR(VLOOKUP(发货清单!A788,数据库!A:D,4,0),"")</f>
        <v/>
      </c>
      <c r="D788" t="str">
        <f>IFERROR(VLOOKUP(发货清单!A788,数据库!A:C,3,0),"")</f>
        <v/>
      </c>
      <c r="E788">
        <f>发货清单!M788</f>
        <v>0</v>
      </c>
      <c r="F788">
        <f>发货清单!U788</f>
        <v>0</v>
      </c>
      <c r="G788" t="str">
        <f>IFERROR(VLOOKUP(发货清单!A788,数据库!A:B,2,0),"")</f>
        <v/>
      </c>
      <c r="H788">
        <f>发货清单!N788</f>
        <v>0</v>
      </c>
      <c r="I788" t="str">
        <f t="shared" si="108"/>
        <v/>
      </c>
      <c r="J788" t="str">
        <f t="shared" si="109"/>
        <v xml:space="preserve"> </v>
      </c>
      <c r="K788" t="str">
        <f t="shared" si="110"/>
        <v/>
      </c>
      <c r="L788" t="str">
        <f t="shared" si="111"/>
        <v/>
      </c>
      <c r="N788" s="245">
        <f t="shared" si="112"/>
        <v>0</v>
      </c>
      <c r="O788" s="245">
        <f t="shared" si="113"/>
        <v>0</v>
      </c>
      <c r="P788" t="str">
        <f t="shared" si="114"/>
        <v/>
      </c>
      <c r="Q788" t="str">
        <f>IFERROR(VLOOKUP(P788,数据库!C:M,11,0),"")</f>
        <v/>
      </c>
      <c r="R788" t="str">
        <f t="shared" si="115"/>
        <v/>
      </c>
      <c r="S788">
        <f t="shared" si="116"/>
        <v>0</v>
      </c>
    </row>
    <row r="789" spans="1:19">
      <c r="A789" t="str">
        <f>IF(B789=0,"",发货清单!A789*10^6+COUNTIF($D$2:D789,D789)*10^3+ROW(A788))</f>
        <v/>
      </c>
      <c r="B789">
        <f>IFERROR(LEFT(发货清单!H789,SEARCH("-",发货清单!H789)-1),发货清单!H789)</f>
        <v>0</v>
      </c>
      <c r="C789" t="str">
        <f>IFERROR(VLOOKUP(发货清单!A789,数据库!A:D,4,0),"")</f>
        <v/>
      </c>
      <c r="D789" t="str">
        <f>IFERROR(VLOOKUP(发货清单!A789,数据库!A:C,3,0),"")</f>
        <v/>
      </c>
      <c r="E789">
        <f>发货清单!M789</f>
        <v>0</v>
      </c>
      <c r="F789">
        <f>发货清单!U789</f>
        <v>0</v>
      </c>
      <c r="G789" t="str">
        <f>IFERROR(VLOOKUP(发货清单!A789,数据库!A:B,2,0),"")</f>
        <v/>
      </c>
      <c r="H789">
        <f>发货清单!N789</f>
        <v>0</v>
      </c>
      <c r="I789" t="str">
        <f t="shared" si="108"/>
        <v/>
      </c>
      <c r="J789" t="str">
        <f t="shared" si="109"/>
        <v xml:space="preserve"> </v>
      </c>
      <c r="K789" t="str">
        <f t="shared" si="110"/>
        <v/>
      </c>
      <c r="L789" t="str">
        <f t="shared" si="111"/>
        <v/>
      </c>
      <c r="N789" s="245">
        <f t="shared" si="112"/>
        <v>0</v>
      </c>
      <c r="O789" s="245">
        <f t="shared" si="113"/>
        <v>0</v>
      </c>
      <c r="P789" t="str">
        <f t="shared" si="114"/>
        <v/>
      </c>
      <c r="Q789" t="str">
        <f>IFERROR(VLOOKUP(P789,数据库!C:M,11,0),"")</f>
        <v/>
      </c>
      <c r="R789" t="str">
        <f t="shared" si="115"/>
        <v/>
      </c>
      <c r="S789">
        <f t="shared" si="116"/>
        <v>0</v>
      </c>
    </row>
    <row r="790" spans="1:19">
      <c r="A790" t="str">
        <f>IF(B790=0,"",发货清单!A790*10^6+COUNTIF($D$2:D790,D790)*10^3+ROW(A789))</f>
        <v/>
      </c>
      <c r="B790">
        <f>IFERROR(LEFT(发货清单!H790,SEARCH("-",发货清单!H790)-1),发货清单!H790)</f>
        <v>0</v>
      </c>
      <c r="C790" t="str">
        <f>IFERROR(VLOOKUP(发货清单!A790,数据库!A:D,4,0),"")</f>
        <v/>
      </c>
      <c r="D790" t="str">
        <f>IFERROR(VLOOKUP(发货清单!A790,数据库!A:C,3,0),"")</f>
        <v/>
      </c>
      <c r="E790">
        <f>发货清单!M790</f>
        <v>0</v>
      </c>
      <c r="F790">
        <f>发货清单!U790</f>
        <v>0</v>
      </c>
      <c r="G790" t="str">
        <f>IFERROR(VLOOKUP(发货清单!A790,数据库!A:B,2,0),"")</f>
        <v/>
      </c>
      <c r="H790">
        <f>发货清单!N790</f>
        <v>0</v>
      </c>
      <c r="I790" t="str">
        <f t="shared" si="108"/>
        <v/>
      </c>
      <c r="J790" t="str">
        <f t="shared" si="109"/>
        <v xml:space="preserve"> </v>
      </c>
      <c r="K790" t="str">
        <f t="shared" si="110"/>
        <v/>
      </c>
      <c r="L790" t="str">
        <f t="shared" si="111"/>
        <v/>
      </c>
      <c r="N790" s="245">
        <f t="shared" si="112"/>
        <v>0</v>
      </c>
      <c r="O790" s="245">
        <f t="shared" si="113"/>
        <v>0</v>
      </c>
      <c r="P790" t="str">
        <f t="shared" si="114"/>
        <v/>
      </c>
      <c r="Q790" t="str">
        <f>IFERROR(VLOOKUP(P790,数据库!C:M,11,0),"")</f>
        <v/>
      </c>
      <c r="R790" t="str">
        <f t="shared" si="115"/>
        <v/>
      </c>
      <c r="S790">
        <f t="shared" si="116"/>
        <v>0</v>
      </c>
    </row>
    <row r="791" spans="1:19">
      <c r="A791" t="str">
        <f>IF(B791=0,"",发货清单!A791*10^6+COUNTIF($D$2:D791,D791)*10^3+ROW(A790))</f>
        <v/>
      </c>
      <c r="B791">
        <f>IFERROR(LEFT(发货清单!H791,SEARCH("-",发货清单!H791)-1),发货清单!H791)</f>
        <v>0</v>
      </c>
      <c r="C791" t="str">
        <f>IFERROR(VLOOKUP(发货清单!A791,数据库!A:D,4,0),"")</f>
        <v/>
      </c>
      <c r="D791" t="str">
        <f>IFERROR(VLOOKUP(发货清单!A791,数据库!A:C,3,0),"")</f>
        <v/>
      </c>
      <c r="E791">
        <f>发货清单!M791</f>
        <v>0</v>
      </c>
      <c r="F791">
        <f>发货清单!U791</f>
        <v>0</v>
      </c>
      <c r="G791" t="str">
        <f>IFERROR(VLOOKUP(发货清单!A791,数据库!A:B,2,0),"")</f>
        <v/>
      </c>
      <c r="H791">
        <f>发货清单!N791</f>
        <v>0</v>
      </c>
      <c r="I791" t="str">
        <f t="shared" si="108"/>
        <v/>
      </c>
      <c r="J791" t="str">
        <f t="shared" si="109"/>
        <v xml:space="preserve"> </v>
      </c>
      <c r="K791" t="str">
        <f t="shared" si="110"/>
        <v/>
      </c>
      <c r="L791" t="str">
        <f t="shared" si="111"/>
        <v/>
      </c>
      <c r="N791" s="245">
        <f t="shared" si="112"/>
        <v>0</v>
      </c>
      <c r="O791" s="245">
        <f t="shared" si="113"/>
        <v>0</v>
      </c>
      <c r="P791" t="str">
        <f t="shared" si="114"/>
        <v/>
      </c>
      <c r="Q791" t="str">
        <f>IFERROR(VLOOKUP(P791,数据库!C:M,11,0),"")</f>
        <v/>
      </c>
      <c r="R791" t="str">
        <f t="shared" si="115"/>
        <v/>
      </c>
      <c r="S791">
        <f t="shared" si="116"/>
        <v>0</v>
      </c>
    </row>
    <row r="792" spans="1:19">
      <c r="A792" t="str">
        <f>IF(B792=0,"",发货清单!A792*10^6+COUNTIF($D$2:D792,D792)*10^3+ROW(A791))</f>
        <v/>
      </c>
      <c r="B792">
        <f>IFERROR(LEFT(发货清单!H792,SEARCH("-",发货清单!H792)-1),发货清单!H792)</f>
        <v>0</v>
      </c>
      <c r="C792" t="str">
        <f>IFERROR(VLOOKUP(发货清单!A792,数据库!A:D,4,0),"")</f>
        <v/>
      </c>
      <c r="D792" t="str">
        <f>IFERROR(VLOOKUP(发货清单!A792,数据库!A:C,3,0),"")</f>
        <v/>
      </c>
      <c r="E792">
        <f>发货清单!M792</f>
        <v>0</v>
      </c>
      <c r="F792">
        <f>发货清单!U792</f>
        <v>0</v>
      </c>
      <c r="G792" t="str">
        <f>IFERROR(VLOOKUP(发货清单!A792,数据库!A:B,2,0),"")</f>
        <v/>
      </c>
      <c r="H792">
        <f>发货清单!N792</f>
        <v>0</v>
      </c>
      <c r="I792" t="str">
        <f t="shared" si="108"/>
        <v/>
      </c>
      <c r="J792" t="str">
        <f t="shared" si="109"/>
        <v xml:space="preserve"> </v>
      </c>
      <c r="K792" t="str">
        <f t="shared" si="110"/>
        <v/>
      </c>
      <c r="L792" t="str">
        <f t="shared" si="111"/>
        <v/>
      </c>
      <c r="N792" s="245">
        <f t="shared" si="112"/>
        <v>0</v>
      </c>
      <c r="O792" s="245">
        <f t="shared" si="113"/>
        <v>0</v>
      </c>
      <c r="P792" t="str">
        <f t="shared" si="114"/>
        <v/>
      </c>
      <c r="Q792" t="str">
        <f>IFERROR(VLOOKUP(P792,数据库!C:M,11,0),"")</f>
        <v/>
      </c>
      <c r="R792" t="str">
        <f t="shared" si="115"/>
        <v/>
      </c>
      <c r="S792">
        <f t="shared" si="116"/>
        <v>0</v>
      </c>
    </row>
    <row r="793" spans="1:19">
      <c r="A793" t="str">
        <f>IF(B793=0,"",发货清单!A793*10^6+COUNTIF($D$2:D793,D793)*10^3+ROW(A792))</f>
        <v/>
      </c>
      <c r="B793">
        <f>IFERROR(LEFT(发货清单!H793,SEARCH("-",发货清单!H793)-1),发货清单!H793)</f>
        <v>0</v>
      </c>
      <c r="C793" t="str">
        <f>IFERROR(VLOOKUP(发货清单!A793,数据库!A:D,4,0),"")</f>
        <v/>
      </c>
      <c r="D793" t="str">
        <f>IFERROR(VLOOKUP(发货清单!A793,数据库!A:C,3,0),"")</f>
        <v/>
      </c>
      <c r="E793">
        <f>发货清单!M793</f>
        <v>0</v>
      </c>
      <c r="F793">
        <f>发货清单!U793</f>
        <v>0</v>
      </c>
      <c r="G793" t="str">
        <f>IFERROR(VLOOKUP(发货清单!A793,数据库!A:B,2,0),"")</f>
        <v/>
      </c>
      <c r="H793">
        <f>发货清单!N793</f>
        <v>0</v>
      </c>
      <c r="I793" t="str">
        <f t="shared" si="108"/>
        <v/>
      </c>
      <c r="J793" t="str">
        <f t="shared" si="109"/>
        <v xml:space="preserve"> </v>
      </c>
      <c r="K793" t="str">
        <f t="shared" si="110"/>
        <v/>
      </c>
      <c r="L793" t="str">
        <f t="shared" si="111"/>
        <v/>
      </c>
      <c r="N793" s="245">
        <f t="shared" si="112"/>
        <v>0</v>
      </c>
      <c r="O793" s="245">
        <f t="shared" si="113"/>
        <v>0</v>
      </c>
      <c r="P793" t="str">
        <f t="shared" si="114"/>
        <v/>
      </c>
      <c r="Q793" t="str">
        <f>IFERROR(VLOOKUP(P793,数据库!C:M,11,0),"")</f>
        <v/>
      </c>
      <c r="R793" t="str">
        <f t="shared" si="115"/>
        <v/>
      </c>
      <c r="S793">
        <f t="shared" si="116"/>
        <v>0</v>
      </c>
    </row>
    <row r="794" spans="1:19">
      <c r="A794" t="str">
        <f>IF(B794=0,"",发货清单!A794*10^6+COUNTIF($D$2:D794,D794)*10^3+ROW(A793))</f>
        <v/>
      </c>
      <c r="B794">
        <f>IFERROR(LEFT(发货清单!H794,SEARCH("-",发货清单!H794)-1),发货清单!H794)</f>
        <v>0</v>
      </c>
      <c r="C794" t="str">
        <f>IFERROR(VLOOKUP(发货清单!A794,数据库!A:D,4,0),"")</f>
        <v/>
      </c>
      <c r="D794" t="str">
        <f>IFERROR(VLOOKUP(发货清单!A794,数据库!A:C,3,0),"")</f>
        <v/>
      </c>
      <c r="E794">
        <f>发货清单!M794</f>
        <v>0</v>
      </c>
      <c r="F794">
        <f>发货清单!U794</f>
        <v>0</v>
      </c>
      <c r="G794" t="str">
        <f>IFERROR(VLOOKUP(发货清单!A794,数据库!A:B,2,0),"")</f>
        <v/>
      </c>
      <c r="H794">
        <f>发货清单!N794</f>
        <v>0</v>
      </c>
      <c r="I794" t="str">
        <f t="shared" si="108"/>
        <v/>
      </c>
      <c r="J794" t="str">
        <f t="shared" si="109"/>
        <v xml:space="preserve"> </v>
      </c>
      <c r="K794" t="str">
        <f t="shared" si="110"/>
        <v/>
      </c>
      <c r="L794" t="str">
        <f t="shared" si="111"/>
        <v/>
      </c>
      <c r="N794" s="245">
        <f t="shared" si="112"/>
        <v>0</v>
      </c>
      <c r="O794" s="245">
        <f t="shared" si="113"/>
        <v>0</v>
      </c>
      <c r="P794" t="str">
        <f t="shared" si="114"/>
        <v/>
      </c>
      <c r="Q794" t="str">
        <f>IFERROR(VLOOKUP(P794,数据库!C:M,11,0),"")</f>
        <v/>
      </c>
      <c r="R794" t="str">
        <f t="shared" si="115"/>
        <v/>
      </c>
      <c r="S794">
        <f t="shared" si="116"/>
        <v>0</v>
      </c>
    </row>
    <row r="795" spans="1:19">
      <c r="A795" t="str">
        <f>IF(B795=0,"",发货清单!A795*10^6+COUNTIF($D$2:D795,D795)*10^3+ROW(A794))</f>
        <v/>
      </c>
      <c r="B795">
        <f>IFERROR(LEFT(发货清单!H795,SEARCH("-",发货清单!H795)-1),发货清单!H795)</f>
        <v>0</v>
      </c>
      <c r="C795" t="str">
        <f>IFERROR(VLOOKUP(发货清单!A795,数据库!A:D,4,0),"")</f>
        <v/>
      </c>
      <c r="D795" t="str">
        <f>IFERROR(VLOOKUP(发货清单!A795,数据库!A:C,3,0),"")</f>
        <v/>
      </c>
      <c r="E795">
        <f>发货清单!M795</f>
        <v>0</v>
      </c>
      <c r="F795">
        <f>发货清单!U795</f>
        <v>0</v>
      </c>
      <c r="G795" t="str">
        <f>IFERROR(VLOOKUP(发货清单!A795,数据库!A:B,2,0),"")</f>
        <v/>
      </c>
      <c r="H795">
        <f>发货清单!N795</f>
        <v>0</v>
      </c>
      <c r="I795" t="str">
        <f t="shared" si="108"/>
        <v/>
      </c>
      <c r="J795" t="str">
        <f t="shared" si="109"/>
        <v xml:space="preserve"> </v>
      </c>
      <c r="K795" t="str">
        <f t="shared" si="110"/>
        <v/>
      </c>
      <c r="L795" t="str">
        <f t="shared" si="111"/>
        <v/>
      </c>
      <c r="N795" s="245">
        <f t="shared" si="112"/>
        <v>0</v>
      </c>
      <c r="O795" s="245">
        <f t="shared" si="113"/>
        <v>0</v>
      </c>
      <c r="P795" t="str">
        <f t="shared" si="114"/>
        <v/>
      </c>
      <c r="Q795" t="str">
        <f>IFERROR(VLOOKUP(P795,数据库!C:M,11,0),"")</f>
        <v/>
      </c>
      <c r="R795" t="str">
        <f t="shared" si="115"/>
        <v/>
      </c>
      <c r="S795">
        <f t="shared" si="116"/>
        <v>0</v>
      </c>
    </row>
    <row r="796" spans="1:19">
      <c r="A796" t="str">
        <f>IF(B796=0,"",发货清单!A796*10^6+COUNTIF($D$2:D796,D796)*10^3+ROW(A795))</f>
        <v/>
      </c>
      <c r="B796">
        <f>IFERROR(LEFT(发货清单!H796,SEARCH("-",发货清单!H796)-1),发货清单!H796)</f>
        <v>0</v>
      </c>
      <c r="C796" t="str">
        <f>IFERROR(VLOOKUP(发货清单!A796,数据库!A:D,4,0),"")</f>
        <v/>
      </c>
      <c r="D796" t="str">
        <f>IFERROR(VLOOKUP(发货清单!A796,数据库!A:C,3,0),"")</f>
        <v/>
      </c>
      <c r="E796">
        <f>发货清单!M796</f>
        <v>0</v>
      </c>
      <c r="F796">
        <f>发货清单!U796</f>
        <v>0</v>
      </c>
      <c r="G796" t="str">
        <f>IFERROR(VLOOKUP(发货清单!A796,数据库!A:B,2,0),"")</f>
        <v/>
      </c>
      <c r="H796">
        <f>发货清单!N796</f>
        <v>0</v>
      </c>
      <c r="I796" t="str">
        <f t="shared" si="108"/>
        <v/>
      </c>
      <c r="J796" t="str">
        <f t="shared" si="109"/>
        <v xml:space="preserve"> </v>
      </c>
      <c r="K796" t="str">
        <f t="shared" si="110"/>
        <v/>
      </c>
      <c r="L796" t="str">
        <f t="shared" si="111"/>
        <v/>
      </c>
      <c r="N796" s="245">
        <f t="shared" si="112"/>
        <v>0</v>
      </c>
      <c r="O796" s="245">
        <f t="shared" si="113"/>
        <v>0</v>
      </c>
      <c r="P796" t="str">
        <f t="shared" si="114"/>
        <v/>
      </c>
      <c r="Q796" t="str">
        <f>IFERROR(VLOOKUP(P796,数据库!C:M,11,0),"")</f>
        <v/>
      </c>
      <c r="R796" t="str">
        <f t="shared" si="115"/>
        <v/>
      </c>
      <c r="S796">
        <f t="shared" si="116"/>
        <v>0</v>
      </c>
    </row>
    <row r="797" spans="1:19">
      <c r="A797" t="str">
        <f>IF(B797=0,"",发货清单!A797*10^6+COUNTIF($D$2:D797,D797)*10^3+ROW(A796))</f>
        <v/>
      </c>
      <c r="B797">
        <f>IFERROR(LEFT(发货清单!H797,SEARCH("-",发货清单!H797)-1),发货清单!H797)</f>
        <v>0</v>
      </c>
      <c r="C797" t="str">
        <f>IFERROR(VLOOKUP(发货清单!A797,数据库!A:D,4,0),"")</f>
        <v/>
      </c>
      <c r="D797" t="str">
        <f>IFERROR(VLOOKUP(发货清单!A797,数据库!A:C,3,0),"")</f>
        <v/>
      </c>
      <c r="E797">
        <f>发货清单!M797</f>
        <v>0</v>
      </c>
      <c r="F797">
        <f>发货清单!U797</f>
        <v>0</v>
      </c>
      <c r="G797" t="str">
        <f>IFERROR(VLOOKUP(发货清单!A797,数据库!A:B,2,0),"")</f>
        <v/>
      </c>
      <c r="H797">
        <f>发货清单!N797</f>
        <v>0</v>
      </c>
      <c r="I797" t="str">
        <f t="shared" si="108"/>
        <v/>
      </c>
      <c r="J797" t="str">
        <f t="shared" si="109"/>
        <v xml:space="preserve"> </v>
      </c>
      <c r="K797" t="str">
        <f t="shared" si="110"/>
        <v/>
      </c>
      <c r="L797" t="str">
        <f t="shared" si="111"/>
        <v/>
      </c>
      <c r="N797" s="245">
        <f t="shared" si="112"/>
        <v>0</v>
      </c>
      <c r="O797" s="245">
        <f t="shared" si="113"/>
        <v>0</v>
      </c>
      <c r="P797" t="str">
        <f t="shared" si="114"/>
        <v/>
      </c>
      <c r="Q797" t="str">
        <f>IFERROR(VLOOKUP(P797,数据库!C:M,11,0),"")</f>
        <v/>
      </c>
      <c r="R797" t="str">
        <f t="shared" si="115"/>
        <v/>
      </c>
      <c r="S797">
        <f t="shared" si="116"/>
        <v>0</v>
      </c>
    </row>
    <row r="798" spans="1:19">
      <c r="A798" t="str">
        <f>IF(B798=0,"",发货清单!A798*10^6+COUNTIF($D$2:D798,D798)*10^3+ROW(A797))</f>
        <v/>
      </c>
      <c r="B798">
        <f>IFERROR(LEFT(发货清单!H798,SEARCH("-",发货清单!H798)-1),发货清单!H798)</f>
        <v>0</v>
      </c>
      <c r="C798" t="str">
        <f>IFERROR(VLOOKUP(发货清单!A798,数据库!A:D,4,0),"")</f>
        <v/>
      </c>
      <c r="D798" t="str">
        <f>IFERROR(VLOOKUP(发货清单!A798,数据库!A:C,3,0),"")</f>
        <v/>
      </c>
      <c r="E798">
        <f>发货清单!M798</f>
        <v>0</v>
      </c>
      <c r="F798">
        <f>发货清单!U798</f>
        <v>0</v>
      </c>
      <c r="G798" t="str">
        <f>IFERROR(VLOOKUP(发货清单!A798,数据库!A:B,2,0),"")</f>
        <v/>
      </c>
      <c r="H798">
        <f>发货清单!N798</f>
        <v>0</v>
      </c>
      <c r="I798" t="str">
        <f t="shared" si="108"/>
        <v/>
      </c>
      <c r="J798" t="str">
        <f t="shared" si="109"/>
        <v xml:space="preserve"> </v>
      </c>
      <c r="K798" t="str">
        <f t="shared" si="110"/>
        <v/>
      </c>
      <c r="L798" t="str">
        <f t="shared" si="111"/>
        <v/>
      </c>
      <c r="N798" s="245">
        <f t="shared" si="112"/>
        <v>0</v>
      </c>
      <c r="O798" s="245">
        <f t="shared" si="113"/>
        <v>0</v>
      </c>
      <c r="P798" t="str">
        <f t="shared" si="114"/>
        <v/>
      </c>
      <c r="Q798" t="str">
        <f>IFERROR(VLOOKUP(P798,数据库!C:M,11,0),"")</f>
        <v/>
      </c>
      <c r="R798" t="str">
        <f t="shared" si="115"/>
        <v/>
      </c>
      <c r="S798">
        <f t="shared" si="116"/>
        <v>0</v>
      </c>
    </row>
    <row r="799" spans="1:19">
      <c r="A799" t="str">
        <f>IF(B799=0,"",发货清单!A799*10^6+COUNTIF($D$2:D799,D799)*10^3+ROW(A798))</f>
        <v/>
      </c>
      <c r="B799">
        <f>IFERROR(LEFT(发货清单!H799,SEARCH("-",发货清单!H799)-1),发货清单!H799)</f>
        <v>0</v>
      </c>
      <c r="C799" t="str">
        <f>IFERROR(VLOOKUP(发货清单!A799,数据库!A:D,4,0),"")</f>
        <v/>
      </c>
      <c r="D799" t="str">
        <f>IFERROR(VLOOKUP(发货清单!A799,数据库!A:C,3,0),"")</f>
        <v/>
      </c>
      <c r="E799">
        <f>发货清单!M799</f>
        <v>0</v>
      </c>
      <c r="F799">
        <f>发货清单!U799</f>
        <v>0</v>
      </c>
      <c r="G799" t="str">
        <f>IFERROR(VLOOKUP(发货清单!A799,数据库!A:B,2,0),"")</f>
        <v/>
      </c>
      <c r="H799">
        <f>发货清单!N799</f>
        <v>0</v>
      </c>
      <c r="I799" t="str">
        <f t="shared" si="108"/>
        <v/>
      </c>
      <c r="J799" t="str">
        <f t="shared" si="109"/>
        <v xml:space="preserve"> </v>
      </c>
      <c r="K799" t="str">
        <f t="shared" si="110"/>
        <v/>
      </c>
      <c r="L799" t="str">
        <f t="shared" si="111"/>
        <v/>
      </c>
      <c r="N799" s="245">
        <f t="shared" si="112"/>
        <v>0</v>
      </c>
      <c r="O799" s="245">
        <f t="shared" si="113"/>
        <v>0</v>
      </c>
      <c r="P799" t="str">
        <f t="shared" si="114"/>
        <v/>
      </c>
      <c r="Q799" t="str">
        <f>IFERROR(VLOOKUP(P799,数据库!C:M,11,0),"")</f>
        <v/>
      </c>
      <c r="R799" t="str">
        <f t="shared" si="115"/>
        <v/>
      </c>
      <c r="S799">
        <f t="shared" si="116"/>
        <v>0</v>
      </c>
    </row>
    <row r="800" spans="1:19">
      <c r="A800" t="str">
        <f>IF(B800=0,"",发货清单!A800*10^6+COUNTIF($D$2:D800,D800)*10^3+ROW(A799))</f>
        <v/>
      </c>
      <c r="B800">
        <f>IFERROR(LEFT(发货清单!H800,SEARCH("-",发货清单!H800)-1),发货清单!H800)</f>
        <v>0</v>
      </c>
      <c r="C800" t="str">
        <f>IFERROR(VLOOKUP(发货清单!A800,数据库!A:D,4,0),"")</f>
        <v/>
      </c>
      <c r="D800" t="str">
        <f>IFERROR(VLOOKUP(发货清单!A800,数据库!A:C,3,0),"")</f>
        <v/>
      </c>
      <c r="E800">
        <f>发货清单!M800</f>
        <v>0</v>
      </c>
      <c r="F800">
        <f>发货清单!U800</f>
        <v>0</v>
      </c>
      <c r="G800" t="str">
        <f>IFERROR(VLOOKUP(发货清单!A800,数据库!A:B,2,0),"")</f>
        <v/>
      </c>
      <c r="H800">
        <f>发货清单!N800</f>
        <v>0</v>
      </c>
      <c r="I800" t="str">
        <f t="shared" si="108"/>
        <v/>
      </c>
      <c r="J800" t="str">
        <f t="shared" si="109"/>
        <v xml:space="preserve"> </v>
      </c>
      <c r="K800" t="str">
        <f t="shared" si="110"/>
        <v/>
      </c>
      <c r="L800" t="str">
        <f t="shared" si="111"/>
        <v/>
      </c>
      <c r="N800" s="245">
        <f t="shared" si="112"/>
        <v>0</v>
      </c>
      <c r="O800" s="245">
        <f t="shared" si="113"/>
        <v>0</v>
      </c>
      <c r="P800" t="str">
        <f t="shared" si="114"/>
        <v/>
      </c>
      <c r="Q800" t="str">
        <f>IFERROR(VLOOKUP(P800,数据库!C:M,11,0),"")</f>
        <v/>
      </c>
      <c r="R800" t="str">
        <f t="shared" si="115"/>
        <v/>
      </c>
      <c r="S800">
        <f t="shared" si="116"/>
        <v>0</v>
      </c>
    </row>
    <row r="801" spans="1:19">
      <c r="A801" t="str">
        <f>IF(B801=0,"",发货清单!A801*10^6+COUNTIF($D$2:D801,D801)*10^3+ROW(A800))</f>
        <v/>
      </c>
      <c r="B801">
        <f>IFERROR(LEFT(发货清单!H801,SEARCH("-",发货清单!H801)-1),发货清单!H801)</f>
        <v>0</v>
      </c>
      <c r="C801" t="str">
        <f>IFERROR(VLOOKUP(发货清单!A801,数据库!A:D,4,0),"")</f>
        <v/>
      </c>
      <c r="D801" t="str">
        <f>IFERROR(VLOOKUP(发货清单!A801,数据库!A:C,3,0),"")</f>
        <v/>
      </c>
      <c r="E801">
        <f>发货清单!M801</f>
        <v>0</v>
      </c>
      <c r="F801">
        <f>发货清单!U801</f>
        <v>0</v>
      </c>
      <c r="G801" t="str">
        <f>IFERROR(VLOOKUP(发货清单!A801,数据库!A:B,2,0),"")</f>
        <v/>
      </c>
      <c r="H801">
        <f>发货清单!N801</f>
        <v>0</v>
      </c>
      <c r="I801" t="str">
        <f t="shared" si="108"/>
        <v/>
      </c>
      <c r="J801" t="str">
        <f t="shared" si="109"/>
        <v xml:space="preserve"> </v>
      </c>
      <c r="K801" t="str">
        <f t="shared" si="110"/>
        <v/>
      </c>
      <c r="L801" t="str">
        <f t="shared" si="111"/>
        <v/>
      </c>
      <c r="N801" s="245">
        <f t="shared" si="112"/>
        <v>0</v>
      </c>
      <c r="O801" s="245">
        <f t="shared" si="113"/>
        <v>0</v>
      </c>
      <c r="P801" t="str">
        <f t="shared" si="114"/>
        <v/>
      </c>
      <c r="Q801" t="str">
        <f>IFERROR(VLOOKUP(P801,数据库!C:M,11,0),"")</f>
        <v/>
      </c>
      <c r="R801" t="str">
        <f t="shared" si="115"/>
        <v/>
      </c>
      <c r="S801">
        <f t="shared" si="116"/>
        <v>0</v>
      </c>
    </row>
    <row r="802" spans="1:19">
      <c r="A802" t="str">
        <f>IF(B802=0,"",发货清单!A802*10^6+COUNTIF($D$2:D802,D802)*10^3+ROW(A801))</f>
        <v/>
      </c>
      <c r="B802">
        <f>IFERROR(LEFT(发货清单!H802,SEARCH("-",发货清单!H802)-1),发货清单!H802)</f>
        <v>0</v>
      </c>
      <c r="C802" t="str">
        <f>IFERROR(VLOOKUP(发货清单!A802,数据库!A:D,4,0),"")</f>
        <v/>
      </c>
      <c r="D802" t="str">
        <f>IFERROR(VLOOKUP(发货清单!A802,数据库!A:C,3,0),"")</f>
        <v/>
      </c>
      <c r="E802">
        <f>发货清单!M802</f>
        <v>0</v>
      </c>
      <c r="F802">
        <f>发货清单!U802</f>
        <v>0</v>
      </c>
      <c r="G802" t="str">
        <f>IFERROR(VLOOKUP(发货清单!A802,数据库!A:B,2,0),"")</f>
        <v/>
      </c>
      <c r="H802">
        <f>发货清单!N802</f>
        <v>0</v>
      </c>
      <c r="I802" t="str">
        <f t="shared" si="108"/>
        <v/>
      </c>
      <c r="J802" t="str">
        <f t="shared" si="109"/>
        <v xml:space="preserve"> </v>
      </c>
      <c r="K802" t="str">
        <f t="shared" si="110"/>
        <v/>
      </c>
      <c r="L802" t="str">
        <f t="shared" si="111"/>
        <v/>
      </c>
      <c r="N802" s="245">
        <f t="shared" si="112"/>
        <v>0</v>
      </c>
      <c r="O802" s="245">
        <f t="shared" si="113"/>
        <v>0</v>
      </c>
      <c r="P802" t="str">
        <f t="shared" si="114"/>
        <v/>
      </c>
      <c r="Q802" t="str">
        <f>IFERROR(VLOOKUP(P802,数据库!C:M,11,0),"")</f>
        <v/>
      </c>
      <c r="R802" t="str">
        <f t="shared" si="115"/>
        <v/>
      </c>
      <c r="S802">
        <f t="shared" si="116"/>
        <v>0</v>
      </c>
    </row>
    <row r="803" spans="1:19">
      <c r="A803" t="str">
        <f>IF(B803=0,"",发货清单!A803*10^6+COUNTIF($D$2:D803,D803)*10^3+ROW(A802))</f>
        <v/>
      </c>
      <c r="B803">
        <f>IFERROR(LEFT(发货清单!H803,SEARCH("-",发货清单!H803)-1),发货清单!H803)</f>
        <v>0</v>
      </c>
      <c r="C803" t="str">
        <f>IFERROR(VLOOKUP(发货清单!A803,数据库!A:D,4,0),"")</f>
        <v/>
      </c>
      <c r="D803" t="str">
        <f>IFERROR(VLOOKUP(发货清单!A803,数据库!A:C,3,0),"")</f>
        <v/>
      </c>
      <c r="E803">
        <f>发货清单!M803</f>
        <v>0</v>
      </c>
      <c r="F803">
        <f>发货清单!U803</f>
        <v>0</v>
      </c>
      <c r="G803" t="str">
        <f>IFERROR(VLOOKUP(发货清单!A803,数据库!A:B,2,0),"")</f>
        <v/>
      </c>
      <c r="H803">
        <f>发货清单!N803</f>
        <v>0</v>
      </c>
      <c r="I803" t="str">
        <f t="shared" si="108"/>
        <v/>
      </c>
      <c r="J803" t="str">
        <f t="shared" si="109"/>
        <v xml:space="preserve"> </v>
      </c>
      <c r="K803" t="str">
        <f t="shared" si="110"/>
        <v/>
      </c>
      <c r="L803" t="str">
        <f t="shared" si="111"/>
        <v/>
      </c>
      <c r="N803" s="245">
        <f t="shared" si="112"/>
        <v>0</v>
      </c>
      <c r="O803" s="245">
        <f t="shared" si="113"/>
        <v>0</v>
      </c>
      <c r="P803" t="str">
        <f t="shared" si="114"/>
        <v/>
      </c>
      <c r="Q803" t="str">
        <f>IFERROR(VLOOKUP(P803,数据库!C:M,11,0),"")</f>
        <v/>
      </c>
      <c r="R803" t="str">
        <f t="shared" si="115"/>
        <v/>
      </c>
      <c r="S803">
        <f t="shared" si="116"/>
        <v>0</v>
      </c>
    </row>
    <row r="804" spans="1:19">
      <c r="A804" t="str">
        <f>IF(B804=0,"",发货清单!A804*10^6+COUNTIF($D$2:D804,D804)*10^3+ROW(A803))</f>
        <v/>
      </c>
      <c r="B804">
        <f>IFERROR(LEFT(发货清单!H804,SEARCH("-",发货清单!H804)-1),发货清单!H804)</f>
        <v>0</v>
      </c>
      <c r="C804" t="str">
        <f>IFERROR(VLOOKUP(发货清单!A804,数据库!A:D,4,0),"")</f>
        <v/>
      </c>
      <c r="D804" t="str">
        <f>IFERROR(VLOOKUP(发货清单!A804,数据库!A:C,3,0),"")</f>
        <v/>
      </c>
      <c r="E804">
        <f>发货清单!M804</f>
        <v>0</v>
      </c>
      <c r="F804">
        <f>发货清单!U804</f>
        <v>0</v>
      </c>
      <c r="G804" t="str">
        <f>IFERROR(VLOOKUP(发货清单!A804,数据库!A:B,2,0),"")</f>
        <v/>
      </c>
      <c r="H804">
        <f>发货清单!N804</f>
        <v>0</v>
      </c>
      <c r="I804" t="str">
        <f t="shared" si="108"/>
        <v/>
      </c>
      <c r="J804" t="str">
        <f t="shared" si="109"/>
        <v xml:space="preserve"> </v>
      </c>
      <c r="K804" t="str">
        <f t="shared" si="110"/>
        <v/>
      </c>
      <c r="L804" t="str">
        <f t="shared" si="111"/>
        <v/>
      </c>
      <c r="N804" s="245">
        <f t="shared" si="112"/>
        <v>0</v>
      </c>
      <c r="O804" s="245">
        <f t="shared" si="113"/>
        <v>0</v>
      </c>
      <c r="P804" t="str">
        <f t="shared" si="114"/>
        <v/>
      </c>
      <c r="Q804" t="str">
        <f>IFERROR(VLOOKUP(P804,数据库!C:M,11,0),"")</f>
        <v/>
      </c>
      <c r="R804" t="str">
        <f t="shared" si="115"/>
        <v/>
      </c>
      <c r="S804">
        <f t="shared" si="116"/>
        <v>0</v>
      </c>
    </row>
    <row r="805" spans="1:19">
      <c r="A805" t="str">
        <f>IF(B805=0,"",发货清单!A805*10^6+COUNTIF($D$2:D805,D805)*10^3+ROW(A804))</f>
        <v/>
      </c>
      <c r="B805">
        <f>IFERROR(LEFT(发货清单!H805,SEARCH("-",发货清单!H805)-1),发货清单!H805)</f>
        <v>0</v>
      </c>
      <c r="C805" t="str">
        <f>IFERROR(VLOOKUP(发货清单!A805,数据库!A:D,4,0),"")</f>
        <v/>
      </c>
      <c r="D805" t="str">
        <f>IFERROR(VLOOKUP(发货清单!A805,数据库!A:C,3,0),"")</f>
        <v/>
      </c>
      <c r="E805">
        <f>发货清单!M805</f>
        <v>0</v>
      </c>
      <c r="F805">
        <f>发货清单!U805</f>
        <v>0</v>
      </c>
      <c r="G805" t="str">
        <f>IFERROR(VLOOKUP(发货清单!A805,数据库!A:B,2,0),"")</f>
        <v/>
      </c>
      <c r="H805">
        <f>发货清单!N805</f>
        <v>0</v>
      </c>
      <c r="I805" t="str">
        <f t="shared" si="108"/>
        <v/>
      </c>
      <c r="J805" t="str">
        <f t="shared" si="109"/>
        <v xml:space="preserve"> </v>
      </c>
      <c r="K805" t="str">
        <f t="shared" si="110"/>
        <v/>
      </c>
      <c r="L805" t="str">
        <f t="shared" si="111"/>
        <v/>
      </c>
      <c r="N805" s="245">
        <f t="shared" si="112"/>
        <v>0</v>
      </c>
      <c r="O805" s="245">
        <f t="shared" si="113"/>
        <v>0</v>
      </c>
      <c r="P805" t="str">
        <f t="shared" si="114"/>
        <v/>
      </c>
      <c r="Q805" t="str">
        <f>IFERROR(VLOOKUP(P805,数据库!C:M,11,0),"")</f>
        <v/>
      </c>
      <c r="R805" t="str">
        <f t="shared" si="115"/>
        <v/>
      </c>
      <c r="S805">
        <f t="shared" si="116"/>
        <v>0</v>
      </c>
    </row>
    <row r="806" spans="1:19">
      <c r="A806" t="str">
        <f>IF(B806=0,"",发货清单!A806*10^6+COUNTIF($D$2:D806,D806)*10^3+ROW(A805))</f>
        <v/>
      </c>
      <c r="B806">
        <f>IFERROR(LEFT(发货清单!H806,SEARCH("-",发货清单!H806)-1),发货清单!H806)</f>
        <v>0</v>
      </c>
      <c r="C806" t="str">
        <f>IFERROR(VLOOKUP(发货清单!A806,数据库!A:D,4,0),"")</f>
        <v/>
      </c>
      <c r="D806" t="str">
        <f>IFERROR(VLOOKUP(发货清单!A806,数据库!A:C,3,0),"")</f>
        <v/>
      </c>
      <c r="E806">
        <f>发货清单!M806</f>
        <v>0</v>
      </c>
      <c r="F806">
        <f>发货清单!U806</f>
        <v>0</v>
      </c>
      <c r="G806" t="str">
        <f>IFERROR(VLOOKUP(发货清单!A806,数据库!A:B,2,0),"")</f>
        <v/>
      </c>
      <c r="H806">
        <f>发货清单!N806</f>
        <v>0</v>
      </c>
      <c r="I806" t="str">
        <f t="shared" si="108"/>
        <v/>
      </c>
      <c r="J806" t="str">
        <f t="shared" si="109"/>
        <v xml:space="preserve"> </v>
      </c>
      <c r="K806" t="str">
        <f t="shared" si="110"/>
        <v/>
      </c>
      <c r="L806" t="str">
        <f t="shared" si="111"/>
        <v/>
      </c>
      <c r="N806" s="245">
        <f t="shared" si="112"/>
        <v>0</v>
      </c>
      <c r="O806" s="245">
        <f t="shared" si="113"/>
        <v>0</v>
      </c>
      <c r="P806" t="str">
        <f t="shared" si="114"/>
        <v/>
      </c>
      <c r="Q806" t="str">
        <f>IFERROR(VLOOKUP(P806,数据库!C:M,11,0),"")</f>
        <v/>
      </c>
      <c r="R806" t="str">
        <f t="shared" si="115"/>
        <v/>
      </c>
      <c r="S806">
        <f t="shared" si="116"/>
        <v>0</v>
      </c>
    </row>
    <row r="807" spans="1:19">
      <c r="A807" t="str">
        <f>IF(B807=0,"",发货清单!A807*10^6+COUNTIF($D$2:D807,D807)*10^3+ROW(A806))</f>
        <v/>
      </c>
      <c r="B807">
        <f>IFERROR(LEFT(发货清单!H807,SEARCH("-",发货清单!H807)-1),发货清单!H807)</f>
        <v>0</v>
      </c>
      <c r="C807" t="str">
        <f>IFERROR(VLOOKUP(发货清单!A807,数据库!A:D,4,0),"")</f>
        <v/>
      </c>
      <c r="D807" t="str">
        <f>IFERROR(VLOOKUP(发货清单!A807,数据库!A:C,3,0),"")</f>
        <v/>
      </c>
      <c r="E807">
        <f>发货清单!M807</f>
        <v>0</v>
      </c>
      <c r="F807">
        <f>发货清单!U807</f>
        <v>0</v>
      </c>
      <c r="G807" t="str">
        <f>IFERROR(VLOOKUP(发货清单!A807,数据库!A:B,2,0),"")</f>
        <v/>
      </c>
      <c r="H807">
        <f>发货清单!N807</f>
        <v>0</v>
      </c>
      <c r="I807" t="str">
        <f t="shared" si="108"/>
        <v/>
      </c>
      <c r="J807" t="str">
        <f t="shared" si="109"/>
        <v xml:space="preserve"> </v>
      </c>
      <c r="K807" t="str">
        <f t="shared" si="110"/>
        <v/>
      </c>
      <c r="L807" t="str">
        <f t="shared" si="111"/>
        <v/>
      </c>
      <c r="N807" s="245">
        <f t="shared" si="112"/>
        <v>0</v>
      </c>
      <c r="O807" s="245">
        <f t="shared" si="113"/>
        <v>0</v>
      </c>
      <c r="P807" t="str">
        <f t="shared" si="114"/>
        <v/>
      </c>
      <c r="Q807" t="str">
        <f>IFERROR(VLOOKUP(P807,数据库!C:M,11,0),"")</f>
        <v/>
      </c>
      <c r="R807" t="str">
        <f t="shared" si="115"/>
        <v/>
      </c>
      <c r="S807">
        <f t="shared" si="116"/>
        <v>0</v>
      </c>
    </row>
    <row r="808" spans="1:19">
      <c r="A808" t="str">
        <f>IF(B808=0,"",发货清单!A808*10^6+COUNTIF($D$2:D808,D808)*10^3+ROW(A807))</f>
        <v/>
      </c>
      <c r="B808">
        <f>IFERROR(LEFT(发货清单!H808,SEARCH("-",发货清单!H808)-1),发货清单!H808)</f>
        <v>0</v>
      </c>
      <c r="C808" t="str">
        <f>IFERROR(VLOOKUP(发货清单!A808,数据库!A:D,4,0),"")</f>
        <v/>
      </c>
      <c r="D808" t="str">
        <f>IFERROR(VLOOKUP(发货清单!A808,数据库!A:C,3,0),"")</f>
        <v/>
      </c>
      <c r="E808">
        <f>发货清单!M808</f>
        <v>0</v>
      </c>
      <c r="F808">
        <f>发货清单!U808</f>
        <v>0</v>
      </c>
      <c r="G808" t="str">
        <f>IFERROR(VLOOKUP(发货清单!A808,数据库!A:B,2,0),"")</f>
        <v/>
      </c>
      <c r="H808">
        <f>发货清单!N808</f>
        <v>0</v>
      </c>
      <c r="I808" t="str">
        <f t="shared" si="108"/>
        <v/>
      </c>
      <c r="J808" t="str">
        <f t="shared" si="109"/>
        <v xml:space="preserve"> </v>
      </c>
      <c r="K808" t="str">
        <f t="shared" si="110"/>
        <v/>
      </c>
      <c r="L808" t="str">
        <f t="shared" si="111"/>
        <v/>
      </c>
      <c r="N808" s="245">
        <f t="shared" si="112"/>
        <v>0</v>
      </c>
      <c r="O808" s="245">
        <f t="shared" si="113"/>
        <v>0</v>
      </c>
      <c r="P808" t="str">
        <f t="shared" si="114"/>
        <v/>
      </c>
      <c r="Q808" t="str">
        <f>IFERROR(VLOOKUP(P808,数据库!C:M,11,0),"")</f>
        <v/>
      </c>
      <c r="R808" t="str">
        <f t="shared" si="115"/>
        <v/>
      </c>
      <c r="S808">
        <f t="shared" si="116"/>
        <v>0</v>
      </c>
    </row>
    <row r="809" spans="1:19">
      <c r="A809" t="str">
        <f>IF(B809=0,"",发货清单!A809*10^6+COUNTIF($D$2:D809,D809)*10^3+ROW(A808))</f>
        <v/>
      </c>
      <c r="B809">
        <f>IFERROR(LEFT(发货清单!H809,SEARCH("-",发货清单!H809)-1),发货清单!H809)</f>
        <v>0</v>
      </c>
      <c r="C809" t="str">
        <f>IFERROR(VLOOKUP(发货清单!A809,数据库!A:D,4,0),"")</f>
        <v/>
      </c>
      <c r="D809" t="str">
        <f>IFERROR(VLOOKUP(发货清单!A809,数据库!A:C,3,0),"")</f>
        <v/>
      </c>
      <c r="E809">
        <f>发货清单!M809</f>
        <v>0</v>
      </c>
      <c r="F809">
        <f>发货清单!U809</f>
        <v>0</v>
      </c>
      <c r="G809" t="str">
        <f>IFERROR(VLOOKUP(发货清单!A809,数据库!A:B,2,0),"")</f>
        <v/>
      </c>
      <c r="H809">
        <f>发货清单!N809</f>
        <v>0</v>
      </c>
      <c r="I809" t="str">
        <f t="shared" si="108"/>
        <v/>
      </c>
      <c r="J809" t="str">
        <f t="shared" si="109"/>
        <v xml:space="preserve"> </v>
      </c>
      <c r="K809" t="str">
        <f t="shared" si="110"/>
        <v/>
      </c>
      <c r="L809" t="str">
        <f t="shared" si="111"/>
        <v/>
      </c>
      <c r="N809" s="245">
        <f t="shared" si="112"/>
        <v>0</v>
      </c>
      <c r="O809" s="245">
        <f t="shared" si="113"/>
        <v>0</v>
      </c>
      <c r="P809" t="str">
        <f t="shared" si="114"/>
        <v/>
      </c>
      <c r="Q809" t="str">
        <f>IFERROR(VLOOKUP(P809,数据库!C:M,11,0),"")</f>
        <v/>
      </c>
      <c r="R809" t="str">
        <f t="shared" si="115"/>
        <v/>
      </c>
      <c r="S809">
        <f t="shared" si="116"/>
        <v>0</v>
      </c>
    </row>
    <row r="810" spans="1:19">
      <c r="A810" t="str">
        <f>IF(B810=0,"",发货清单!A810*10^6+COUNTIF($D$2:D810,D810)*10^3+ROW(A809))</f>
        <v/>
      </c>
      <c r="B810">
        <f>IFERROR(LEFT(发货清单!H810,SEARCH("-",发货清单!H810)-1),发货清单!H810)</f>
        <v>0</v>
      </c>
      <c r="C810" t="str">
        <f>IFERROR(VLOOKUP(发货清单!A810,数据库!A:D,4,0),"")</f>
        <v/>
      </c>
      <c r="D810" t="str">
        <f>IFERROR(VLOOKUP(发货清单!A810,数据库!A:C,3,0),"")</f>
        <v/>
      </c>
      <c r="E810">
        <f>发货清单!M810</f>
        <v>0</v>
      </c>
      <c r="F810">
        <f>发货清单!U810</f>
        <v>0</v>
      </c>
      <c r="G810" t="str">
        <f>IFERROR(VLOOKUP(发货清单!A810,数据库!A:B,2,0),"")</f>
        <v/>
      </c>
      <c r="H810">
        <f>发货清单!N810</f>
        <v>0</v>
      </c>
      <c r="I810" t="str">
        <f t="shared" si="108"/>
        <v/>
      </c>
      <c r="J810" t="str">
        <f t="shared" si="109"/>
        <v xml:space="preserve"> </v>
      </c>
      <c r="K810" t="str">
        <f t="shared" si="110"/>
        <v/>
      </c>
      <c r="L810" t="str">
        <f t="shared" si="111"/>
        <v/>
      </c>
      <c r="N810" s="245">
        <f t="shared" si="112"/>
        <v>0</v>
      </c>
      <c r="O810" s="245">
        <f t="shared" si="113"/>
        <v>0</v>
      </c>
      <c r="P810" t="str">
        <f t="shared" si="114"/>
        <v/>
      </c>
      <c r="Q810" t="str">
        <f>IFERROR(VLOOKUP(P810,数据库!C:M,11,0),"")</f>
        <v/>
      </c>
      <c r="R810" t="str">
        <f t="shared" si="115"/>
        <v/>
      </c>
      <c r="S810">
        <f t="shared" si="116"/>
        <v>0</v>
      </c>
    </row>
    <row r="811" spans="1:19">
      <c r="A811" t="str">
        <f>IF(B811=0,"",发货清单!A811*10^6+COUNTIF($D$2:D811,D811)*10^3+ROW(A810))</f>
        <v/>
      </c>
      <c r="B811">
        <f>IFERROR(LEFT(发货清单!H811,SEARCH("-",发货清单!H811)-1),发货清单!H811)</f>
        <v>0</v>
      </c>
      <c r="C811" t="str">
        <f>IFERROR(VLOOKUP(发货清单!A811,数据库!A:D,4,0),"")</f>
        <v/>
      </c>
      <c r="D811" t="str">
        <f>IFERROR(VLOOKUP(发货清单!A811,数据库!A:C,3,0),"")</f>
        <v/>
      </c>
      <c r="E811">
        <f>发货清单!M811</f>
        <v>0</v>
      </c>
      <c r="F811">
        <f>发货清单!U811</f>
        <v>0</v>
      </c>
      <c r="G811" t="str">
        <f>IFERROR(VLOOKUP(发货清单!A811,数据库!A:B,2,0),"")</f>
        <v/>
      </c>
      <c r="H811">
        <f>发货清单!N811</f>
        <v>0</v>
      </c>
      <c r="I811" t="str">
        <f t="shared" si="108"/>
        <v/>
      </c>
      <c r="J811" t="str">
        <f t="shared" si="109"/>
        <v xml:space="preserve"> </v>
      </c>
      <c r="K811" t="str">
        <f t="shared" si="110"/>
        <v/>
      </c>
      <c r="L811" t="str">
        <f t="shared" si="111"/>
        <v/>
      </c>
      <c r="N811" s="245">
        <f t="shared" si="112"/>
        <v>0</v>
      </c>
      <c r="O811" s="245">
        <f t="shared" si="113"/>
        <v>0</v>
      </c>
      <c r="P811" t="str">
        <f t="shared" si="114"/>
        <v/>
      </c>
      <c r="Q811" t="str">
        <f>IFERROR(VLOOKUP(P811,数据库!C:M,11,0),"")</f>
        <v/>
      </c>
      <c r="R811" t="str">
        <f t="shared" si="115"/>
        <v/>
      </c>
      <c r="S811">
        <f t="shared" si="116"/>
        <v>0</v>
      </c>
    </row>
    <row r="812" spans="1:19">
      <c r="A812" t="str">
        <f>IF(B812=0,"",发货清单!A812*10^6+COUNTIF($D$2:D812,D812)*10^3+ROW(A811))</f>
        <v/>
      </c>
      <c r="B812">
        <f>IFERROR(LEFT(发货清单!H812,SEARCH("-",发货清单!H812)-1),发货清单!H812)</f>
        <v>0</v>
      </c>
      <c r="C812" t="str">
        <f>IFERROR(VLOOKUP(发货清单!A812,数据库!A:D,4,0),"")</f>
        <v/>
      </c>
      <c r="D812" t="str">
        <f>IFERROR(VLOOKUP(发货清单!A812,数据库!A:C,3,0),"")</f>
        <v/>
      </c>
      <c r="E812">
        <f>发货清单!M812</f>
        <v>0</v>
      </c>
      <c r="F812">
        <f>发货清单!U812</f>
        <v>0</v>
      </c>
      <c r="G812" t="str">
        <f>IFERROR(VLOOKUP(发货清单!A812,数据库!A:B,2,0),"")</f>
        <v/>
      </c>
      <c r="H812">
        <f>发货清单!N812</f>
        <v>0</v>
      </c>
      <c r="I812" t="str">
        <f t="shared" si="108"/>
        <v/>
      </c>
      <c r="J812" t="str">
        <f t="shared" si="109"/>
        <v xml:space="preserve"> </v>
      </c>
      <c r="K812" t="str">
        <f t="shared" si="110"/>
        <v/>
      </c>
      <c r="L812" t="str">
        <f t="shared" si="111"/>
        <v/>
      </c>
      <c r="N812" s="245">
        <f t="shared" si="112"/>
        <v>0</v>
      </c>
      <c r="O812" s="245">
        <f t="shared" si="113"/>
        <v>0</v>
      </c>
      <c r="P812" t="str">
        <f t="shared" si="114"/>
        <v/>
      </c>
      <c r="Q812" t="str">
        <f>IFERROR(VLOOKUP(P812,数据库!C:M,11,0),"")</f>
        <v/>
      </c>
      <c r="R812" t="str">
        <f t="shared" si="115"/>
        <v/>
      </c>
      <c r="S812">
        <f t="shared" si="116"/>
        <v>0</v>
      </c>
    </row>
    <row r="813" spans="1:19">
      <c r="A813" t="str">
        <f>IF(B813=0,"",发货清单!A813*10^6+COUNTIF($D$2:D813,D813)*10^3+ROW(A812))</f>
        <v/>
      </c>
      <c r="B813">
        <f>IFERROR(LEFT(发货清单!H813,SEARCH("-",发货清单!H813)-1),发货清单!H813)</f>
        <v>0</v>
      </c>
      <c r="C813" t="str">
        <f>IFERROR(VLOOKUP(发货清单!A813,数据库!A:D,4,0),"")</f>
        <v/>
      </c>
      <c r="D813" t="str">
        <f>IFERROR(VLOOKUP(发货清单!A813,数据库!A:C,3,0),"")</f>
        <v/>
      </c>
      <c r="E813">
        <f>发货清单!M813</f>
        <v>0</v>
      </c>
      <c r="F813">
        <f>发货清单!U813</f>
        <v>0</v>
      </c>
      <c r="G813" t="str">
        <f>IFERROR(VLOOKUP(发货清单!A813,数据库!A:B,2,0),"")</f>
        <v/>
      </c>
      <c r="H813">
        <f>发货清单!N813</f>
        <v>0</v>
      </c>
      <c r="I813" t="str">
        <f t="shared" si="108"/>
        <v/>
      </c>
      <c r="J813" t="str">
        <f t="shared" si="109"/>
        <v xml:space="preserve"> </v>
      </c>
      <c r="K813" t="str">
        <f t="shared" si="110"/>
        <v/>
      </c>
      <c r="L813" t="str">
        <f t="shared" si="111"/>
        <v/>
      </c>
      <c r="N813" s="245">
        <f t="shared" si="112"/>
        <v>0</v>
      </c>
      <c r="O813" s="245">
        <f t="shared" si="113"/>
        <v>0</v>
      </c>
      <c r="P813" t="str">
        <f t="shared" si="114"/>
        <v/>
      </c>
      <c r="Q813" t="str">
        <f>IFERROR(VLOOKUP(P813,数据库!C:M,11,0),"")</f>
        <v/>
      </c>
      <c r="R813" t="str">
        <f t="shared" si="115"/>
        <v/>
      </c>
      <c r="S813">
        <f t="shared" si="116"/>
        <v>0</v>
      </c>
    </row>
    <row r="814" spans="1:19">
      <c r="A814" t="str">
        <f>IF(B814=0,"",发货清单!A814*10^6+COUNTIF($D$2:D814,D814)*10^3+ROW(A813))</f>
        <v/>
      </c>
      <c r="B814">
        <f>IFERROR(LEFT(发货清单!H814,SEARCH("-",发货清单!H814)-1),发货清单!H814)</f>
        <v>0</v>
      </c>
      <c r="C814" t="str">
        <f>IFERROR(VLOOKUP(发货清单!A814,数据库!A:D,4,0),"")</f>
        <v/>
      </c>
      <c r="D814" t="str">
        <f>IFERROR(VLOOKUP(发货清单!A814,数据库!A:C,3,0),"")</f>
        <v/>
      </c>
      <c r="E814">
        <f>发货清单!M814</f>
        <v>0</v>
      </c>
      <c r="F814">
        <f>发货清单!U814</f>
        <v>0</v>
      </c>
      <c r="G814" t="str">
        <f>IFERROR(VLOOKUP(发货清单!A814,数据库!A:B,2,0),"")</f>
        <v/>
      </c>
      <c r="H814">
        <f>发货清单!N814</f>
        <v>0</v>
      </c>
      <c r="I814" t="str">
        <f t="shared" si="108"/>
        <v/>
      </c>
      <c r="J814" t="str">
        <f t="shared" si="109"/>
        <v xml:space="preserve"> </v>
      </c>
      <c r="K814" t="str">
        <f t="shared" si="110"/>
        <v/>
      </c>
      <c r="L814" t="str">
        <f t="shared" si="111"/>
        <v/>
      </c>
      <c r="N814" s="245">
        <f t="shared" si="112"/>
        <v>0</v>
      </c>
      <c r="O814" s="245">
        <f t="shared" si="113"/>
        <v>0</v>
      </c>
      <c r="P814" t="str">
        <f t="shared" si="114"/>
        <v/>
      </c>
      <c r="Q814" t="str">
        <f>IFERROR(VLOOKUP(P814,数据库!C:M,11,0),"")</f>
        <v/>
      </c>
      <c r="R814" t="str">
        <f t="shared" si="115"/>
        <v/>
      </c>
      <c r="S814">
        <f t="shared" si="116"/>
        <v>0</v>
      </c>
    </row>
    <row r="815" spans="1:19">
      <c r="A815" t="str">
        <f>IF(B815=0,"",发货清单!A815*10^6+COUNTIF($D$2:D815,D815)*10^3+ROW(A814))</f>
        <v/>
      </c>
      <c r="B815">
        <f>IFERROR(LEFT(发货清单!H815,SEARCH("-",发货清单!H815)-1),发货清单!H815)</f>
        <v>0</v>
      </c>
      <c r="C815" t="str">
        <f>IFERROR(VLOOKUP(发货清单!A815,数据库!A:D,4,0),"")</f>
        <v/>
      </c>
      <c r="D815" t="str">
        <f>IFERROR(VLOOKUP(发货清单!A815,数据库!A:C,3,0),"")</f>
        <v/>
      </c>
      <c r="E815">
        <f>发货清单!M815</f>
        <v>0</v>
      </c>
      <c r="F815">
        <f>发货清单!U815</f>
        <v>0</v>
      </c>
      <c r="G815" t="str">
        <f>IFERROR(VLOOKUP(发货清单!A815,数据库!A:B,2,0),"")</f>
        <v/>
      </c>
      <c r="H815">
        <f>发货清单!N815</f>
        <v>0</v>
      </c>
      <c r="I815" t="str">
        <f t="shared" si="108"/>
        <v/>
      </c>
      <c r="J815" t="str">
        <f t="shared" si="109"/>
        <v xml:space="preserve"> </v>
      </c>
      <c r="K815" t="str">
        <f t="shared" si="110"/>
        <v/>
      </c>
      <c r="L815" t="str">
        <f t="shared" si="111"/>
        <v/>
      </c>
      <c r="N815" s="245">
        <f t="shared" si="112"/>
        <v>0</v>
      </c>
      <c r="O815" s="245">
        <f t="shared" si="113"/>
        <v>0</v>
      </c>
      <c r="P815" t="str">
        <f t="shared" si="114"/>
        <v/>
      </c>
      <c r="Q815" t="str">
        <f>IFERROR(VLOOKUP(P815,数据库!C:M,11,0),"")</f>
        <v/>
      </c>
      <c r="R815" t="str">
        <f t="shared" si="115"/>
        <v/>
      </c>
      <c r="S815">
        <f t="shared" si="116"/>
        <v>0</v>
      </c>
    </row>
    <row r="816" spans="1:19">
      <c r="A816" t="str">
        <f>IF(B816=0,"",发货清单!A816*10^6+COUNTIF($D$2:D816,D816)*10^3+ROW(A815))</f>
        <v/>
      </c>
      <c r="B816">
        <f>IFERROR(LEFT(发货清单!H816,SEARCH("-",发货清单!H816)-1),发货清单!H816)</f>
        <v>0</v>
      </c>
      <c r="C816" t="str">
        <f>IFERROR(VLOOKUP(发货清单!A816,数据库!A:D,4,0),"")</f>
        <v/>
      </c>
      <c r="D816" t="str">
        <f>IFERROR(VLOOKUP(发货清单!A816,数据库!A:C,3,0),"")</f>
        <v/>
      </c>
      <c r="E816">
        <f>发货清单!M816</f>
        <v>0</v>
      </c>
      <c r="F816">
        <f>发货清单!U816</f>
        <v>0</v>
      </c>
      <c r="G816" t="str">
        <f>IFERROR(VLOOKUP(发货清单!A816,数据库!A:B,2,0),"")</f>
        <v/>
      </c>
      <c r="H816">
        <f>发货清单!N816</f>
        <v>0</v>
      </c>
      <c r="I816" t="str">
        <f t="shared" si="108"/>
        <v/>
      </c>
      <c r="J816" t="str">
        <f t="shared" si="109"/>
        <v xml:space="preserve"> </v>
      </c>
      <c r="K816" t="str">
        <f t="shared" si="110"/>
        <v/>
      </c>
      <c r="L816" t="str">
        <f t="shared" si="111"/>
        <v/>
      </c>
      <c r="N816" s="245">
        <f t="shared" si="112"/>
        <v>0</v>
      </c>
      <c r="O816" s="245">
        <f t="shared" si="113"/>
        <v>0</v>
      </c>
      <c r="P816" t="str">
        <f t="shared" si="114"/>
        <v/>
      </c>
      <c r="Q816" t="str">
        <f>IFERROR(VLOOKUP(P816,数据库!C:M,11,0),"")</f>
        <v/>
      </c>
      <c r="R816" t="str">
        <f t="shared" si="115"/>
        <v/>
      </c>
      <c r="S816">
        <f t="shared" si="116"/>
        <v>0</v>
      </c>
    </row>
    <row r="817" spans="1:19">
      <c r="A817" t="str">
        <f>IF(B817=0,"",发货清单!A817*10^6+COUNTIF($D$2:D817,D817)*10^3+ROW(A816))</f>
        <v/>
      </c>
      <c r="B817">
        <f>IFERROR(LEFT(发货清单!H817,SEARCH("-",发货清单!H817)-1),发货清单!H817)</f>
        <v>0</v>
      </c>
      <c r="C817" t="str">
        <f>IFERROR(VLOOKUP(发货清单!A817,数据库!A:D,4,0),"")</f>
        <v/>
      </c>
      <c r="D817" t="str">
        <f>IFERROR(VLOOKUP(发货清单!A817,数据库!A:C,3,0),"")</f>
        <v/>
      </c>
      <c r="E817">
        <f>发货清单!M817</f>
        <v>0</v>
      </c>
      <c r="F817">
        <f>发货清单!U817</f>
        <v>0</v>
      </c>
      <c r="G817" t="str">
        <f>IFERROR(VLOOKUP(发货清单!A817,数据库!A:B,2,0),"")</f>
        <v/>
      </c>
      <c r="H817">
        <f>发货清单!N817</f>
        <v>0</v>
      </c>
      <c r="I817" t="str">
        <f t="shared" si="108"/>
        <v/>
      </c>
      <c r="J817" t="str">
        <f t="shared" si="109"/>
        <v xml:space="preserve"> </v>
      </c>
      <c r="K817" t="str">
        <f t="shared" si="110"/>
        <v/>
      </c>
      <c r="L817" t="str">
        <f t="shared" si="111"/>
        <v/>
      </c>
      <c r="N817" s="245">
        <f t="shared" si="112"/>
        <v>0</v>
      </c>
      <c r="O817" s="245">
        <f t="shared" si="113"/>
        <v>0</v>
      </c>
      <c r="P817" t="str">
        <f t="shared" si="114"/>
        <v/>
      </c>
      <c r="Q817" t="str">
        <f>IFERROR(VLOOKUP(P817,数据库!C:M,11,0),"")</f>
        <v/>
      </c>
      <c r="R817" t="str">
        <f t="shared" si="115"/>
        <v/>
      </c>
      <c r="S817">
        <f t="shared" si="116"/>
        <v>0</v>
      </c>
    </row>
    <row r="818" spans="1:19">
      <c r="A818" t="str">
        <f>IF(B818=0,"",发货清单!A818*10^6+COUNTIF($D$2:D818,D818)*10^3+ROW(A817))</f>
        <v/>
      </c>
      <c r="B818">
        <f>IFERROR(LEFT(发货清单!H818,SEARCH("-",发货清单!H818)-1),发货清单!H818)</f>
        <v>0</v>
      </c>
      <c r="C818" t="str">
        <f>IFERROR(VLOOKUP(发货清单!A818,数据库!A:D,4,0),"")</f>
        <v/>
      </c>
      <c r="D818" t="str">
        <f>IFERROR(VLOOKUP(发货清单!A818,数据库!A:C,3,0),"")</f>
        <v/>
      </c>
      <c r="E818">
        <f>发货清单!M818</f>
        <v>0</v>
      </c>
      <c r="F818">
        <f>发货清单!U818</f>
        <v>0</v>
      </c>
      <c r="G818" t="str">
        <f>IFERROR(VLOOKUP(发货清单!A818,数据库!A:B,2,0),"")</f>
        <v/>
      </c>
      <c r="H818">
        <f>发货清单!N818</f>
        <v>0</v>
      </c>
      <c r="I818" t="str">
        <f t="shared" si="108"/>
        <v/>
      </c>
      <c r="J818" t="str">
        <f t="shared" si="109"/>
        <v xml:space="preserve"> </v>
      </c>
      <c r="K818" t="str">
        <f t="shared" si="110"/>
        <v/>
      </c>
      <c r="L818" t="str">
        <f t="shared" si="111"/>
        <v/>
      </c>
      <c r="N818" s="245">
        <f t="shared" si="112"/>
        <v>0</v>
      </c>
      <c r="O818" s="245">
        <f t="shared" si="113"/>
        <v>0</v>
      </c>
      <c r="P818" t="str">
        <f t="shared" si="114"/>
        <v/>
      </c>
      <c r="Q818" t="str">
        <f>IFERROR(VLOOKUP(P818,数据库!C:M,11,0),"")</f>
        <v/>
      </c>
      <c r="R818" t="str">
        <f t="shared" si="115"/>
        <v/>
      </c>
      <c r="S818">
        <f t="shared" si="116"/>
        <v>0</v>
      </c>
    </row>
    <row r="819" spans="1:19">
      <c r="A819" t="str">
        <f>IF(B819=0,"",发货清单!A819*10^6+COUNTIF($D$2:D819,D819)*10^3+ROW(A818))</f>
        <v/>
      </c>
      <c r="B819">
        <f>IFERROR(LEFT(发货清单!H819,SEARCH("-",发货清单!H819)-1),发货清单!H819)</f>
        <v>0</v>
      </c>
      <c r="C819" t="str">
        <f>IFERROR(VLOOKUP(发货清单!A819,数据库!A:D,4,0),"")</f>
        <v/>
      </c>
      <c r="D819" t="str">
        <f>IFERROR(VLOOKUP(发货清单!A819,数据库!A:C,3,0),"")</f>
        <v/>
      </c>
      <c r="E819">
        <f>发货清单!M819</f>
        <v>0</v>
      </c>
      <c r="F819">
        <f>发货清单!U819</f>
        <v>0</v>
      </c>
      <c r="G819" t="str">
        <f>IFERROR(VLOOKUP(发货清单!A819,数据库!A:B,2,0),"")</f>
        <v/>
      </c>
      <c r="H819">
        <f>发货清单!N819</f>
        <v>0</v>
      </c>
      <c r="I819" t="str">
        <f t="shared" si="108"/>
        <v/>
      </c>
      <c r="J819" t="str">
        <f t="shared" si="109"/>
        <v xml:space="preserve"> </v>
      </c>
      <c r="K819" t="str">
        <f t="shared" si="110"/>
        <v/>
      </c>
      <c r="L819" t="str">
        <f t="shared" si="111"/>
        <v/>
      </c>
      <c r="N819" s="245">
        <f t="shared" si="112"/>
        <v>0</v>
      </c>
      <c r="O819" s="245">
        <f t="shared" si="113"/>
        <v>0</v>
      </c>
      <c r="P819" t="str">
        <f t="shared" si="114"/>
        <v/>
      </c>
      <c r="Q819" t="str">
        <f>IFERROR(VLOOKUP(P819,数据库!C:M,11,0),"")</f>
        <v/>
      </c>
      <c r="R819" t="str">
        <f t="shared" si="115"/>
        <v/>
      </c>
      <c r="S819">
        <f t="shared" si="116"/>
        <v>0</v>
      </c>
    </row>
    <row r="820" spans="1:19">
      <c r="A820" t="str">
        <f>IF(B820=0,"",发货清单!A820*10^6+COUNTIF($D$2:D820,D820)*10^3+ROW(A819))</f>
        <v/>
      </c>
      <c r="B820">
        <f>IFERROR(LEFT(发货清单!H820,SEARCH("-",发货清单!H820)-1),发货清单!H820)</f>
        <v>0</v>
      </c>
      <c r="C820" t="str">
        <f>IFERROR(VLOOKUP(发货清单!A820,数据库!A:D,4,0),"")</f>
        <v/>
      </c>
      <c r="D820" t="str">
        <f>IFERROR(VLOOKUP(发货清单!A820,数据库!A:C,3,0),"")</f>
        <v/>
      </c>
      <c r="E820">
        <f>发货清单!M820</f>
        <v>0</v>
      </c>
      <c r="F820">
        <f>发货清单!U820</f>
        <v>0</v>
      </c>
      <c r="G820" t="str">
        <f>IFERROR(VLOOKUP(发货清单!A820,数据库!A:B,2,0),"")</f>
        <v/>
      </c>
      <c r="H820">
        <f>发货清单!N820</f>
        <v>0</v>
      </c>
      <c r="I820" t="str">
        <f t="shared" si="108"/>
        <v/>
      </c>
      <c r="J820" t="str">
        <f t="shared" si="109"/>
        <v xml:space="preserve"> </v>
      </c>
      <c r="K820" t="str">
        <f t="shared" si="110"/>
        <v/>
      </c>
      <c r="L820" t="str">
        <f t="shared" si="111"/>
        <v/>
      </c>
      <c r="N820" s="245">
        <f t="shared" si="112"/>
        <v>0</v>
      </c>
      <c r="O820" s="245">
        <f t="shared" si="113"/>
        <v>0</v>
      </c>
      <c r="P820" t="str">
        <f t="shared" si="114"/>
        <v/>
      </c>
      <c r="Q820" t="str">
        <f>IFERROR(VLOOKUP(P820,数据库!C:M,11,0),"")</f>
        <v/>
      </c>
      <c r="R820" t="str">
        <f t="shared" si="115"/>
        <v/>
      </c>
      <c r="S820">
        <f t="shared" si="116"/>
        <v>0</v>
      </c>
    </row>
    <row r="821" spans="1:19">
      <c r="A821" t="str">
        <f>IF(B821=0,"",发货清单!A821*10^6+COUNTIF($D$2:D821,D821)*10^3+ROW(A820))</f>
        <v/>
      </c>
      <c r="B821">
        <f>IFERROR(LEFT(发货清单!H821,SEARCH("-",发货清单!H821)-1),发货清单!H821)</f>
        <v>0</v>
      </c>
      <c r="C821" t="str">
        <f>IFERROR(VLOOKUP(发货清单!A821,数据库!A:D,4,0),"")</f>
        <v/>
      </c>
      <c r="D821" t="str">
        <f>IFERROR(VLOOKUP(发货清单!A821,数据库!A:C,3,0),"")</f>
        <v/>
      </c>
      <c r="E821">
        <f>发货清单!M821</f>
        <v>0</v>
      </c>
      <c r="F821">
        <f>发货清单!U821</f>
        <v>0</v>
      </c>
      <c r="G821" t="str">
        <f>IFERROR(VLOOKUP(发货清单!A821,数据库!A:B,2,0),"")</f>
        <v/>
      </c>
      <c r="H821">
        <f>发货清单!N821</f>
        <v>0</v>
      </c>
      <c r="I821" t="str">
        <f t="shared" si="108"/>
        <v/>
      </c>
      <c r="J821" t="str">
        <f t="shared" si="109"/>
        <v xml:space="preserve"> </v>
      </c>
      <c r="K821" t="str">
        <f t="shared" si="110"/>
        <v/>
      </c>
      <c r="L821" t="str">
        <f t="shared" si="111"/>
        <v/>
      </c>
      <c r="N821" s="245">
        <f t="shared" si="112"/>
        <v>0</v>
      </c>
      <c r="O821" s="245">
        <f t="shared" si="113"/>
        <v>0</v>
      </c>
      <c r="P821" t="str">
        <f t="shared" si="114"/>
        <v/>
      </c>
      <c r="Q821" t="str">
        <f>IFERROR(VLOOKUP(P821,数据库!C:M,11,0),"")</f>
        <v/>
      </c>
      <c r="R821" t="str">
        <f t="shared" si="115"/>
        <v/>
      </c>
      <c r="S821">
        <f t="shared" si="116"/>
        <v>0</v>
      </c>
    </row>
    <row r="822" spans="1:19">
      <c r="A822" t="str">
        <f>IF(B822=0,"",发货清单!A822*10^6+COUNTIF($D$2:D822,D822)*10^3+ROW(A821))</f>
        <v/>
      </c>
      <c r="B822">
        <f>IFERROR(LEFT(发货清单!H822,SEARCH("-",发货清单!H822)-1),发货清单!H822)</f>
        <v>0</v>
      </c>
      <c r="C822" t="str">
        <f>IFERROR(VLOOKUP(发货清单!A822,数据库!A:D,4,0),"")</f>
        <v/>
      </c>
      <c r="D822" t="str">
        <f>IFERROR(VLOOKUP(发货清单!A822,数据库!A:C,3,0),"")</f>
        <v/>
      </c>
      <c r="E822">
        <f>发货清单!M822</f>
        <v>0</v>
      </c>
      <c r="F822">
        <f>发货清单!U822</f>
        <v>0</v>
      </c>
      <c r="G822" t="str">
        <f>IFERROR(VLOOKUP(发货清单!A822,数据库!A:B,2,0),"")</f>
        <v/>
      </c>
      <c r="H822">
        <f>发货清单!N822</f>
        <v>0</v>
      </c>
      <c r="I822" t="str">
        <f t="shared" si="108"/>
        <v/>
      </c>
      <c r="J822" t="str">
        <f t="shared" si="109"/>
        <v xml:space="preserve"> </v>
      </c>
      <c r="K822" t="str">
        <f t="shared" si="110"/>
        <v/>
      </c>
      <c r="L822" t="str">
        <f t="shared" si="111"/>
        <v/>
      </c>
      <c r="N822" s="245">
        <f t="shared" si="112"/>
        <v>0</v>
      </c>
      <c r="O822" s="245">
        <f t="shared" si="113"/>
        <v>0</v>
      </c>
      <c r="P822" t="str">
        <f t="shared" si="114"/>
        <v/>
      </c>
      <c r="Q822" t="str">
        <f>IFERROR(VLOOKUP(P822,数据库!C:M,11,0),"")</f>
        <v/>
      </c>
      <c r="R822" t="str">
        <f t="shared" si="115"/>
        <v/>
      </c>
      <c r="S822">
        <f t="shared" si="116"/>
        <v>0</v>
      </c>
    </row>
    <row r="823" spans="1:19">
      <c r="A823" t="str">
        <f>IF(B823=0,"",发货清单!A823*10^6+COUNTIF($D$2:D823,D823)*10^3+ROW(A822))</f>
        <v/>
      </c>
      <c r="B823">
        <f>IFERROR(LEFT(发货清单!H823,SEARCH("-",发货清单!H823)-1),发货清单!H823)</f>
        <v>0</v>
      </c>
      <c r="C823" t="str">
        <f>IFERROR(VLOOKUP(发货清单!A823,数据库!A:D,4,0),"")</f>
        <v/>
      </c>
      <c r="D823" t="str">
        <f>IFERROR(VLOOKUP(发货清单!A823,数据库!A:C,3,0),"")</f>
        <v/>
      </c>
      <c r="E823">
        <f>发货清单!M823</f>
        <v>0</v>
      </c>
      <c r="F823">
        <f>发货清单!U823</f>
        <v>0</v>
      </c>
      <c r="G823" t="str">
        <f>IFERROR(VLOOKUP(发货清单!A823,数据库!A:B,2,0),"")</f>
        <v/>
      </c>
      <c r="H823">
        <f>发货清单!N823</f>
        <v>0</v>
      </c>
      <c r="I823" t="str">
        <f t="shared" si="108"/>
        <v/>
      </c>
      <c r="J823" t="str">
        <f t="shared" si="109"/>
        <v xml:space="preserve"> </v>
      </c>
      <c r="K823" t="str">
        <f t="shared" si="110"/>
        <v/>
      </c>
      <c r="L823" t="str">
        <f t="shared" si="111"/>
        <v/>
      </c>
      <c r="N823" s="245">
        <f t="shared" si="112"/>
        <v>0</v>
      </c>
      <c r="O823" s="245">
        <f t="shared" si="113"/>
        <v>0</v>
      </c>
      <c r="P823" t="str">
        <f t="shared" si="114"/>
        <v/>
      </c>
      <c r="Q823" t="str">
        <f>IFERROR(VLOOKUP(P823,数据库!C:M,11,0),"")</f>
        <v/>
      </c>
      <c r="R823" t="str">
        <f t="shared" si="115"/>
        <v/>
      </c>
      <c r="S823">
        <f t="shared" si="116"/>
        <v>0</v>
      </c>
    </row>
    <row r="824" spans="1:19">
      <c r="A824" t="str">
        <f>IF(B824=0,"",发货清单!A824*10^6+COUNTIF($D$2:D824,D824)*10^3+ROW(A823))</f>
        <v/>
      </c>
      <c r="B824">
        <f>IFERROR(LEFT(发货清单!H824,SEARCH("-",发货清单!H824)-1),发货清单!H824)</f>
        <v>0</v>
      </c>
      <c r="C824" t="str">
        <f>IFERROR(VLOOKUP(发货清单!A824,数据库!A:D,4,0),"")</f>
        <v/>
      </c>
      <c r="D824" t="str">
        <f>IFERROR(VLOOKUP(发货清单!A824,数据库!A:C,3,0),"")</f>
        <v/>
      </c>
      <c r="E824">
        <f>发货清单!M824</f>
        <v>0</v>
      </c>
      <c r="F824">
        <f>发货清单!U824</f>
        <v>0</v>
      </c>
      <c r="G824" t="str">
        <f>IFERROR(VLOOKUP(发货清单!A824,数据库!A:B,2,0),"")</f>
        <v/>
      </c>
      <c r="H824">
        <f>发货清单!N824</f>
        <v>0</v>
      </c>
      <c r="I824" t="str">
        <f t="shared" si="108"/>
        <v/>
      </c>
      <c r="J824" t="str">
        <f t="shared" si="109"/>
        <v xml:space="preserve"> </v>
      </c>
      <c r="K824" t="str">
        <f t="shared" si="110"/>
        <v/>
      </c>
      <c r="L824" t="str">
        <f t="shared" si="111"/>
        <v/>
      </c>
      <c r="N824" s="245">
        <f t="shared" si="112"/>
        <v>0</v>
      </c>
      <c r="O824" s="245">
        <f t="shared" si="113"/>
        <v>0</v>
      </c>
      <c r="P824" t="str">
        <f t="shared" si="114"/>
        <v/>
      </c>
      <c r="Q824" t="str">
        <f>IFERROR(VLOOKUP(P824,数据库!C:M,11,0),"")</f>
        <v/>
      </c>
      <c r="R824" t="str">
        <f t="shared" si="115"/>
        <v/>
      </c>
      <c r="S824">
        <f t="shared" si="116"/>
        <v>0</v>
      </c>
    </row>
    <row r="825" spans="1:19">
      <c r="A825" t="str">
        <f>IF(B825=0,"",发货清单!A825*10^6+COUNTIF($D$2:D825,D825)*10^3+ROW(A824))</f>
        <v/>
      </c>
      <c r="B825">
        <f>IFERROR(LEFT(发货清单!H825,SEARCH("-",发货清单!H825)-1),发货清单!H825)</f>
        <v>0</v>
      </c>
      <c r="C825" t="str">
        <f>IFERROR(VLOOKUP(发货清单!A825,数据库!A:D,4,0),"")</f>
        <v/>
      </c>
      <c r="D825" t="str">
        <f>IFERROR(VLOOKUP(发货清单!A825,数据库!A:C,3,0),"")</f>
        <v/>
      </c>
      <c r="E825">
        <f>发货清单!M825</f>
        <v>0</v>
      </c>
      <c r="F825">
        <f>发货清单!U825</f>
        <v>0</v>
      </c>
      <c r="G825" t="str">
        <f>IFERROR(VLOOKUP(发货清单!A825,数据库!A:B,2,0),"")</f>
        <v/>
      </c>
      <c r="H825">
        <f>发货清单!N825</f>
        <v>0</v>
      </c>
      <c r="I825" t="str">
        <f t="shared" si="108"/>
        <v/>
      </c>
      <c r="J825" t="str">
        <f t="shared" si="109"/>
        <v xml:space="preserve"> </v>
      </c>
      <c r="K825" t="str">
        <f t="shared" si="110"/>
        <v/>
      </c>
      <c r="L825" t="str">
        <f t="shared" si="111"/>
        <v/>
      </c>
      <c r="N825" s="245">
        <f t="shared" si="112"/>
        <v>0</v>
      </c>
      <c r="O825" s="245">
        <f t="shared" si="113"/>
        <v>0</v>
      </c>
      <c r="P825" t="str">
        <f t="shared" si="114"/>
        <v/>
      </c>
      <c r="Q825" t="str">
        <f>IFERROR(VLOOKUP(P825,数据库!C:M,11,0),"")</f>
        <v/>
      </c>
      <c r="R825" t="str">
        <f t="shared" si="115"/>
        <v/>
      </c>
      <c r="S825">
        <f t="shared" si="116"/>
        <v>0</v>
      </c>
    </row>
    <row r="826" spans="1:19">
      <c r="A826" t="str">
        <f>IF(B826=0,"",发货清单!A826*10^6+COUNTIF($D$2:D826,D826)*10^3+ROW(A825))</f>
        <v/>
      </c>
      <c r="B826">
        <f>IFERROR(LEFT(发货清单!H826,SEARCH("-",发货清单!H826)-1),发货清单!H826)</f>
        <v>0</v>
      </c>
      <c r="C826" t="str">
        <f>IFERROR(VLOOKUP(发货清单!A826,数据库!A:D,4,0),"")</f>
        <v/>
      </c>
      <c r="D826" t="str">
        <f>IFERROR(VLOOKUP(发货清单!A826,数据库!A:C,3,0),"")</f>
        <v/>
      </c>
      <c r="E826">
        <f>发货清单!M826</f>
        <v>0</v>
      </c>
      <c r="F826">
        <f>发货清单!U826</f>
        <v>0</v>
      </c>
      <c r="G826" t="str">
        <f>IFERROR(VLOOKUP(发货清单!A826,数据库!A:B,2,0),"")</f>
        <v/>
      </c>
      <c r="H826">
        <f>发货清单!N826</f>
        <v>0</v>
      </c>
      <c r="I826" t="str">
        <f t="shared" si="108"/>
        <v/>
      </c>
      <c r="J826" t="str">
        <f t="shared" si="109"/>
        <v xml:space="preserve"> </v>
      </c>
      <c r="K826" t="str">
        <f t="shared" si="110"/>
        <v/>
      </c>
      <c r="L826" t="str">
        <f t="shared" si="111"/>
        <v/>
      </c>
      <c r="N826" s="245">
        <f t="shared" si="112"/>
        <v>0</v>
      </c>
      <c r="O826" s="245">
        <f t="shared" si="113"/>
        <v>0</v>
      </c>
      <c r="P826" t="str">
        <f t="shared" si="114"/>
        <v/>
      </c>
      <c r="Q826" t="str">
        <f>IFERROR(VLOOKUP(P826,数据库!C:M,11,0),"")</f>
        <v/>
      </c>
      <c r="R826" t="str">
        <f t="shared" si="115"/>
        <v/>
      </c>
      <c r="S826">
        <f t="shared" si="116"/>
        <v>0</v>
      </c>
    </row>
    <row r="827" spans="1:19">
      <c r="A827" t="str">
        <f>IF(B827=0,"",发货清单!A827*10^6+COUNTIF($D$2:D827,D827)*10^3+ROW(A826))</f>
        <v/>
      </c>
      <c r="B827">
        <f>IFERROR(LEFT(发货清单!H827,SEARCH("-",发货清单!H827)-1),发货清单!H827)</f>
        <v>0</v>
      </c>
      <c r="C827" t="str">
        <f>IFERROR(VLOOKUP(发货清单!A827,数据库!A:D,4,0),"")</f>
        <v/>
      </c>
      <c r="D827" t="str">
        <f>IFERROR(VLOOKUP(发货清单!A827,数据库!A:C,3,0),"")</f>
        <v/>
      </c>
      <c r="E827">
        <f>发货清单!M827</f>
        <v>0</v>
      </c>
      <c r="F827">
        <f>发货清单!U827</f>
        <v>0</v>
      </c>
      <c r="G827" t="str">
        <f>IFERROR(VLOOKUP(发货清单!A827,数据库!A:B,2,0),"")</f>
        <v/>
      </c>
      <c r="H827">
        <f>发货清单!N827</f>
        <v>0</v>
      </c>
      <c r="I827" t="str">
        <f t="shared" si="108"/>
        <v/>
      </c>
      <c r="J827" t="str">
        <f t="shared" si="109"/>
        <v xml:space="preserve"> </v>
      </c>
      <c r="K827" t="str">
        <f t="shared" si="110"/>
        <v/>
      </c>
      <c r="L827" t="str">
        <f t="shared" si="111"/>
        <v/>
      </c>
      <c r="N827" s="245">
        <f t="shared" si="112"/>
        <v>0</v>
      </c>
      <c r="O827" s="245">
        <f t="shared" si="113"/>
        <v>0</v>
      </c>
      <c r="P827" t="str">
        <f t="shared" si="114"/>
        <v/>
      </c>
      <c r="Q827" t="str">
        <f>IFERROR(VLOOKUP(P827,数据库!C:M,11,0),"")</f>
        <v/>
      </c>
      <c r="R827" t="str">
        <f t="shared" si="115"/>
        <v/>
      </c>
      <c r="S827">
        <f t="shared" si="116"/>
        <v>0</v>
      </c>
    </row>
    <row r="828" spans="1:19">
      <c r="A828" t="str">
        <f>IF(B828=0,"",发货清单!A828*10^6+COUNTIF($D$2:D828,D828)*10^3+ROW(A827))</f>
        <v/>
      </c>
      <c r="B828">
        <f>IFERROR(LEFT(发货清单!H828,SEARCH("-",发货清单!H828)-1),发货清单!H828)</f>
        <v>0</v>
      </c>
      <c r="C828" t="str">
        <f>IFERROR(VLOOKUP(发货清单!A828,数据库!A:D,4,0),"")</f>
        <v/>
      </c>
      <c r="D828" t="str">
        <f>IFERROR(VLOOKUP(发货清单!A828,数据库!A:C,3,0),"")</f>
        <v/>
      </c>
      <c r="E828">
        <f>发货清单!M828</f>
        <v>0</v>
      </c>
      <c r="F828">
        <f>发货清单!U828</f>
        <v>0</v>
      </c>
      <c r="G828" t="str">
        <f>IFERROR(VLOOKUP(发货清单!A828,数据库!A:B,2,0),"")</f>
        <v/>
      </c>
      <c r="H828">
        <f>发货清单!N828</f>
        <v>0</v>
      </c>
      <c r="I828" t="str">
        <f t="shared" si="108"/>
        <v/>
      </c>
      <c r="J828" t="str">
        <f t="shared" si="109"/>
        <v xml:space="preserve"> </v>
      </c>
      <c r="K828" t="str">
        <f t="shared" si="110"/>
        <v/>
      </c>
      <c r="L828" t="str">
        <f t="shared" si="111"/>
        <v/>
      </c>
      <c r="N828" s="245">
        <f t="shared" si="112"/>
        <v>0</v>
      </c>
      <c r="O828" s="245">
        <f t="shared" si="113"/>
        <v>0</v>
      </c>
      <c r="P828" t="str">
        <f t="shared" si="114"/>
        <v/>
      </c>
      <c r="Q828" t="str">
        <f>IFERROR(VLOOKUP(P828,数据库!C:M,11,0),"")</f>
        <v/>
      </c>
      <c r="R828" t="str">
        <f t="shared" si="115"/>
        <v/>
      </c>
      <c r="S828">
        <f t="shared" si="116"/>
        <v>0</v>
      </c>
    </row>
    <row r="829" spans="1:19">
      <c r="A829" t="str">
        <f>IF(B829=0,"",发货清单!A829*10^6+COUNTIF($D$2:D829,D829)*10^3+ROW(A828))</f>
        <v/>
      </c>
      <c r="B829">
        <f>IFERROR(LEFT(发货清单!H829,SEARCH("-",发货清单!H829)-1),发货清单!H829)</f>
        <v>0</v>
      </c>
      <c r="C829" t="str">
        <f>IFERROR(VLOOKUP(发货清单!A829,数据库!A:D,4,0),"")</f>
        <v/>
      </c>
      <c r="D829" t="str">
        <f>IFERROR(VLOOKUP(发货清单!A829,数据库!A:C,3,0),"")</f>
        <v/>
      </c>
      <c r="E829">
        <f>发货清单!M829</f>
        <v>0</v>
      </c>
      <c r="F829">
        <f>发货清单!U829</f>
        <v>0</v>
      </c>
      <c r="G829" t="str">
        <f>IFERROR(VLOOKUP(发货清单!A829,数据库!A:B,2,0),"")</f>
        <v/>
      </c>
      <c r="H829">
        <f>发货清单!N829</f>
        <v>0</v>
      </c>
      <c r="I829" t="str">
        <f t="shared" si="108"/>
        <v/>
      </c>
      <c r="J829" t="str">
        <f t="shared" si="109"/>
        <v xml:space="preserve"> </v>
      </c>
      <c r="K829" t="str">
        <f t="shared" si="110"/>
        <v/>
      </c>
      <c r="L829" t="str">
        <f t="shared" si="111"/>
        <v/>
      </c>
      <c r="N829" s="245">
        <f t="shared" si="112"/>
        <v>0</v>
      </c>
      <c r="O829" s="245">
        <f t="shared" si="113"/>
        <v>0</v>
      </c>
      <c r="P829" t="str">
        <f t="shared" si="114"/>
        <v/>
      </c>
      <c r="Q829" t="str">
        <f>IFERROR(VLOOKUP(P829,数据库!C:M,11,0),"")</f>
        <v/>
      </c>
      <c r="R829" t="str">
        <f t="shared" si="115"/>
        <v/>
      </c>
      <c r="S829">
        <f t="shared" si="116"/>
        <v>0</v>
      </c>
    </row>
    <row r="830" spans="1:19">
      <c r="A830" t="str">
        <f>IF(B830=0,"",发货清单!A830*10^6+COUNTIF($D$2:D830,D830)*10^3+ROW(A829))</f>
        <v/>
      </c>
      <c r="B830">
        <f>IFERROR(LEFT(发货清单!H830,SEARCH("-",发货清单!H830)-1),发货清单!H830)</f>
        <v>0</v>
      </c>
      <c r="C830" t="str">
        <f>IFERROR(VLOOKUP(发货清单!A830,数据库!A:D,4,0),"")</f>
        <v/>
      </c>
      <c r="D830" t="str">
        <f>IFERROR(VLOOKUP(发货清单!A830,数据库!A:C,3,0),"")</f>
        <v/>
      </c>
      <c r="E830">
        <f>发货清单!M830</f>
        <v>0</v>
      </c>
      <c r="F830">
        <f>发货清单!U830</f>
        <v>0</v>
      </c>
      <c r="G830" t="str">
        <f>IFERROR(VLOOKUP(发货清单!A830,数据库!A:B,2,0),"")</f>
        <v/>
      </c>
      <c r="H830">
        <f>发货清单!N830</f>
        <v>0</v>
      </c>
      <c r="I830" t="str">
        <f t="shared" si="108"/>
        <v/>
      </c>
      <c r="J830" t="str">
        <f t="shared" si="109"/>
        <v xml:space="preserve"> </v>
      </c>
      <c r="K830" t="str">
        <f t="shared" si="110"/>
        <v/>
      </c>
      <c r="L830" t="str">
        <f t="shared" si="111"/>
        <v/>
      </c>
      <c r="N830" s="245">
        <f t="shared" si="112"/>
        <v>0</v>
      </c>
      <c r="O830" s="245">
        <f t="shared" si="113"/>
        <v>0</v>
      </c>
      <c r="P830" t="str">
        <f t="shared" si="114"/>
        <v/>
      </c>
      <c r="Q830" t="str">
        <f>IFERROR(VLOOKUP(P830,数据库!C:M,11,0),"")</f>
        <v/>
      </c>
      <c r="R830" t="str">
        <f t="shared" si="115"/>
        <v/>
      </c>
      <c r="S830">
        <f t="shared" si="116"/>
        <v>0</v>
      </c>
    </row>
    <row r="831" spans="1:19">
      <c r="A831" t="str">
        <f>IF(B831=0,"",发货清单!A831*10^6+COUNTIF($D$2:D831,D831)*10^3+ROW(A830))</f>
        <v/>
      </c>
      <c r="B831">
        <f>IFERROR(LEFT(发货清单!H831,SEARCH("-",发货清单!H831)-1),发货清单!H831)</f>
        <v>0</v>
      </c>
      <c r="C831" t="str">
        <f>IFERROR(VLOOKUP(发货清单!A831,数据库!A:D,4,0),"")</f>
        <v/>
      </c>
      <c r="D831" t="str">
        <f>IFERROR(VLOOKUP(发货清单!A831,数据库!A:C,3,0),"")</f>
        <v/>
      </c>
      <c r="E831">
        <f>发货清单!M831</f>
        <v>0</v>
      </c>
      <c r="F831">
        <f>发货清单!U831</f>
        <v>0</v>
      </c>
      <c r="G831" t="str">
        <f>IFERROR(VLOOKUP(发货清单!A831,数据库!A:B,2,0),"")</f>
        <v/>
      </c>
      <c r="H831">
        <f>发货清单!N831</f>
        <v>0</v>
      </c>
      <c r="I831" t="str">
        <f t="shared" si="108"/>
        <v/>
      </c>
      <c r="J831" t="str">
        <f t="shared" si="109"/>
        <v xml:space="preserve"> </v>
      </c>
      <c r="K831" t="str">
        <f t="shared" si="110"/>
        <v/>
      </c>
      <c r="L831" t="str">
        <f t="shared" si="111"/>
        <v/>
      </c>
      <c r="N831" s="245">
        <f t="shared" si="112"/>
        <v>0</v>
      </c>
      <c r="O831" s="245">
        <f t="shared" si="113"/>
        <v>0</v>
      </c>
      <c r="P831" t="str">
        <f t="shared" si="114"/>
        <v/>
      </c>
      <c r="Q831" t="str">
        <f>IFERROR(VLOOKUP(P831,数据库!C:M,11,0),"")</f>
        <v/>
      </c>
      <c r="R831" t="str">
        <f t="shared" si="115"/>
        <v/>
      </c>
      <c r="S831">
        <f t="shared" si="116"/>
        <v>0</v>
      </c>
    </row>
    <row r="832" spans="1:19">
      <c r="A832" t="str">
        <f>IF(B832=0,"",发货清单!A832*10^6+COUNTIF($D$2:D832,D832)*10^3+ROW(A831))</f>
        <v/>
      </c>
      <c r="B832">
        <f>IFERROR(LEFT(发货清单!H832,SEARCH("-",发货清单!H832)-1),发货清单!H832)</f>
        <v>0</v>
      </c>
      <c r="C832" t="str">
        <f>IFERROR(VLOOKUP(发货清单!A832,数据库!A:D,4,0),"")</f>
        <v/>
      </c>
      <c r="D832" t="str">
        <f>IFERROR(VLOOKUP(发货清单!A832,数据库!A:C,3,0),"")</f>
        <v/>
      </c>
      <c r="E832">
        <f>发货清单!M832</f>
        <v>0</v>
      </c>
      <c r="F832">
        <f>发货清单!U832</f>
        <v>0</v>
      </c>
      <c r="G832" t="str">
        <f>IFERROR(VLOOKUP(发货清单!A832,数据库!A:B,2,0),"")</f>
        <v/>
      </c>
      <c r="H832">
        <f>发货清单!N832</f>
        <v>0</v>
      </c>
      <c r="I832" t="str">
        <f t="shared" si="108"/>
        <v/>
      </c>
      <c r="J832" t="str">
        <f t="shared" si="109"/>
        <v xml:space="preserve"> </v>
      </c>
      <c r="K832" t="str">
        <f t="shared" si="110"/>
        <v/>
      </c>
      <c r="L832" t="str">
        <f t="shared" si="111"/>
        <v/>
      </c>
      <c r="N832" s="245">
        <f t="shared" si="112"/>
        <v>0</v>
      </c>
      <c r="O832" s="245">
        <f t="shared" si="113"/>
        <v>0</v>
      </c>
      <c r="P832" t="str">
        <f t="shared" si="114"/>
        <v/>
      </c>
      <c r="Q832" t="str">
        <f>IFERROR(VLOOKUP(P832,数据库!C:M,11,0),"")</f>
        <v/>
      </c>
      <c r="R832" t="str">
        <f t="shared" si="115"/>
        <v/>
      </c>
      <c r="S832">
        <f t="shared" si="116"/>
        <v>0</v>
      </c>
    </row>
    <row r="833" spans="1:19">
      <c r="A833" t="str">
        <f>IF(B833=0,"",发货清单!A833*10^6+COUNTIF($D$2:D833,D833)*10^3+ROW(A832))</f>
        <v/>
      </c>
      <c r="B833">
        <f>IFERROR(LEFT(发货清单!H833,SEARCH("-",发货清单!H833)-1),发货清单!H833)</f>
        <v>0</v>
      </c>
      <c r="C833" t="str">
        <f>IFERROR(VLOOKUP(发货清单!A833,数据库!A:D,4,0),"")</f>
        <v/>
      </c>
      <c r="D833" t="str">
        <f>IFERROR(VLOOKUP(发货清单!A833,数据库!A:C,3,0),"")</f>
        <v/>
      </c>
      <c r="E833">
        <f>发货清单!M833</f>
        <v>0</v>
      </c>
      <c r="F833">
        <f>发货清单!U833</f>
        <v>0</v>
      </c>
      <c r="G833" t="str">
        <f>IFERROR(VLOOKUP(发货清单!A833,数据库!A:B,2,0),"")</f>
        <v/>
      </c>
      <c r="H833">
        <f>发货清单!N833</f>
        <v>0</v>
      </c>
      <c r="I833" t="str">
        <f t="shared" si="108"/>
        <v/>
      </c>
      <c r="J833" t="str">
        <f t="shared" si="109"/>
        <v xml:space="preserve"> </v>
      </c>
      <c r="K833" t="str">
        <f t="shared" si="110"/>
        <v/>
      </c>
      <c r="L833" t="str">
        <f t="shared" si="111"/>
        <v/>
      </c>
      <c r="N833" s="245">
        <f t="shared" si="112"/>
        <v>0</v>
      </c>
      <c r="O833" s="245">
        <f t="shared" si="113"/>
        <v>0</v>
      </c>
      <c r="P833" t="str">
        <f t="shared" si="114"/>
        <v/>
      </c>
      <c r="Q833" t="str">
        <f>IFERROR(VLOOKUP(P833,数据库!C:M,11,0),"")</f>
        <v/>
      </c>
      <c r="R833" t="str">
        <f t="shared" si="115"/>
        <v/>
      </c>
      <c r="S833">
        <f t="shared" si="116"/>
        <v>0</v>
      </c>
    </row>
    <row r="834" spans="1:19">
      <c r="A834" t="str">
        <f>IF(B834=0,"",发货清单!A834*10^6+COUNTIF($D$2:D834,D834)*10^3+ROW(A833))</f>
        <v/>
      </c>
      <c r="B834">
        <f>IFERROR(LEFT(发货清单!H834,SEARCH("-",发货清单!H834)-1),发货清单!H834)</f>
        <v>0</v>
      </c>
      <c r="C834" t="str">
        <f>IFERROR(VLOOKUP(发货清单!A834,数据库!A:D,4,0),"")</f>
        <v/>
      </c>
      <c r="D834" t="str">
        <f>IFERROR(VLOOKUP(发货清单!A834,数据库!A:C,3,0),"")</f>
        <v/>
      </c>
      <c r="E834">
        <f>发货清单!M834</f>
        <v>0</v>
      </c>
      <c r="F834">
        <f>发货清单!U834</f>
        <v>0</v>
      </c>
      <c r="G834" t="str">
        <f>IFERROR(VLOOKUP(发货清单!A834,数据库!A:B,2,0),"")</f>
        <v/>
      </c>
      <c r="H834">
        <f>发货清单!N834</f>
        <v>0</v>
      </c>
      <c r="I834" t="str">
        <f t="shared" si="108"/>
        <v/>
      </c>
      <c r="J834" t="str">
        <f t="shared" si="109"/>
        <v xml:space="preserve"> </v>
      </c>
      <c r="K834" t="str">
        <f t="shared" si="110"/>
        <v/>
      </c>
      <c r="L834" t="str">
        <f t="shared" si="111"/>
        <v/>
      </c>
      <c r="N834" s="245">
        <f t="shared" si="112"/>
        <v>0</v>
      </c>
      <c r="O834" s="245">
        <f t="shared" si="113"/>
        <v>0</v>
      </c>
      <c r="P834" t="str">
        <f t="shared" si="114"/>
        <v/>
      </c>
      <c r="Q834" t="str">
        <f>IFERROR(VLOOKUP(P834,数据库!C:M,11,0),"")</f>
        <v/>
      </c>
      <c r="R834" t="str">
        <f t="shared" si="115"/>
        <v/>
      </c>
      <c r="S834">
        <f t="shared" si="116"/>
        <v>0</v>
      </c>
    </row>
    <row r="835" spans="1:19">
      <c r="A835" t="str">
        <f>IF(B835=0,"",发货清单!A835*10^6+COUNTIF($D$2:D835,D835)*10^3+ROW(A834))</f>
        <v/>
      </c>
      <c r="B835">
        <f>IFERROR(LEFT(发货清单!H835,SEARCH("-",发货清单!H835)-1),发货清单!H835)</f>
        <v>0</v>
      </c>
      <c r="C835" t="str">
        <f>IFERROR(VLOOKUP(发货清单!A835,数据库!A:D,4,0),"")</f>
        <v/>
      </c>
      <c r="D835" t="str">
        <f>IFERROR(VLOOKUP(发货清单!A835,数据库!A:C,3,0),"")</f>
        <v/>
      </c>
      <c r="E835">
        <f>发货清单!M835</f>
        <v>0</v>
      </c>
      <c r="F835">
        <f>发货清单!U835</f>
        <v>0</v>
      </c>
      <c r="G835" t="str">
        <f>IFERROR(VLOOKUP(发货清单!A835,数据库!A:B,2,0),"")</f>
        <v/>
      </c>
      <c r="H835">
        <f>发货清单!N835</f>
        <v>0</v>
      </c>
      <c r="I835" t="str">
        <f t="shared" ref="I835:I898" si="117">IFERROR(SMALL(A:A,ROW(A834)),"")</f>
        <v/>
      </c>
      <c r="J835" t="str">
        <f t="shared" ref="J835:J898" si="118">IFERROR(IF(RIGHT(I835,6)-2000&gt;0," ",I835)," ")</f>
        <v xml:space="preserve"> </v>
      </c>
      <c r="K835" t="str">
        <f t="shared" ref="K835:K898" si="119">IFERROR(SMALL(J:J,ROW(A834)),"")</f>
        <v/>
      </c>
      <c r="L835" t="str">
        <f t="shared" ref="L835:L898" si="120">IFERROR(VLOOKUP(K835,A:G,7,0)," ")</f>
        <v/>
      </c>
      <c r="N835" s="245">
        <f t="shared" ref="N835:N898" si="121">IF(P835=" ",0,SUMIF(D:D,P835,E:E))</f>
        <v>0</v>
      </c>
      <c r="O835" s="245">
        <f t="shared" ref="O835:O898" si="122">SUMIF(D:D,P835,F:F)</f>
        <v>0</v>
      </c>
      <c r="P835" t="str">
        <f t="shared" ref="P835:P898" si="123">IFERROR(VLOOKUP(K835,A:D,4,0)," ")</f>
        <v/>
      </c>
      <c r="Q835" t="str">
        <f>IFERROR(VLOOKUP(P835,数据库!C:M,11,0),"")</f>
        <v/>
      </c>
      <c r="R835" t="str">
        <f t="shared" ref="R835:R898" si="124">IFERROR(VLOOKUP(K835,A:C,3,0)," ")</f>
        <v/>
      </c>
      <c r="S835">
        <f t="shared" ref="S835:S898" si="125">IFERROR(VLOOKUP(K835,A:H,8,0)," ")</f>
        <v>0</v>
      </c>
    </row>
    <row r="836" spans="1:19">
      <c r="A836" t="str">
        <f>IF(B836=0,"",发货清单!A836*10^6+COUNTIF($D$2:D836,D836)*10^3+ROW(A835))</f>
        <v/>
      </c>
      <c r="B836">
        <f>IFERROR(LEFT(发货清单!H836,SEARCH("-",发货清单!H836)-1),发货清单!H836)</f>
        <v>0</v>
      </c>
      <c r="C836" t="str">
        <f>IFERROR(VLOOKUP(发货清单!A836,数据库!A:D,4,0),"")</f>
        <v/>
      </c>
      <c r="D836" t="str">
        <f>IFERROR(VLOOKUP(发货清单!A836,数据库!A:C,3,0),"")</f>
        <v/>
      </c>
      <c r="E836">
        <f>发货清单!M836</f>
        <v>0</v>
      </c>
      <c r="F836">
        <f>发货清单!U836</f>
        <v>0</v>
      </c>
      <c r="G836" t="str">
        <f>IFERROR(VLOOKUP(发货清单!A836,数据库!A:B,2,0),"")</f>
        <v/>
      </c>
      <c r="H836">
        <f>发货清单!N836</f>
        <v>0</v>
      </c>
      <c r="I836" t="str">
        <f t="shared" si="117"/>
        <v/>
      </c>
      <c r="J836" t="str">
        <f t="shared" si="118"/>
        <v xml:space="preserve"> </v>
      </c>
      <c r="K836" t="str">
        <f t="shared" si="119"/>
        <v/>
      </c>
      <c r="L836" t="str">
        <f t="shared" si="120"/>
        <v/>
      </c>
      <c r="N836" s="245">
        <f t="shared" si="121"/>
        <v>0</v>
      </c>
      <c r="O836" s="245">
        <f t="shared" si="122"/>
        <v>0</v>
      </c>
      <c r="P836" t="str">
        <f t="shared" si="123"/>
        <v/>
      </c>
      <c r="Q836" t="str">
        <f>IFERROR(VLOOKUP(P836,数据库!C:M,11,0),"")</f>
        <v/>
      </c>
      <c r="R836" t="str">
        <f t="shared" si="124"/>
        <v/>
      </c>
      <c r="S836">
        <f t="shared" si="125"/>
        <v>0</v>
      </c>
    </row>
    <row r="837" spans="1:19">
      <c r="A837" t="str">
        <f>IF(B837=0,"",发货清单!A837*10^6+COUNTIF($D$2:D837,D837)*10^3+ROW(A836))</f>
        <v/>
      </c>
      <c r="B837">
        <f>IFERROR(LEFT(发货清单!H837,SEARCH("-",发货清单!H837)-1),发货清单!H837)</f>
        <v>0</v>
      </c>
      <c r="C837" t="str">
        <f>IFERROR(VLOOKUP(发货清单!A837,数据库!A:D,4,0),"")</f>
        <v/>
      </c>
      <c r="D837" t="str">
        <f>IFERROR(VLOOKUP(发货清单!A837,数据库!A:C,3,0),"")</f>
        <v/>
      </c>
      <c r="E837">
        <f>发货清单!M837</f>
        <v>0</v>
      </c>
      <c r="F837">
        <f>发货清单!U837</f>
        <v>0</v>
      </c>
      <c r="G837" t="str">
        <f>IFERROR(VLOOKUP(发货清单!A837,数据库!A:B,2,0),"")</f>
        <v/>
      </c>
      <c r="H837">
        <f>发货清单!N837</f>
        <v>0</v>
      </c>
      <c r="I837" t="str">
        <f t="shared" si="117"/>
        <v/>
      </c>
      <c r="J837" t="str">
        <f t="shared" si="118"/>
        <v xml:space="preserve"> </v>
      </c>
      <c r="K837" t="str">
        <f t="shared" si="119"/>
        <v/>
      </c>
      <c r="L837" t="str">
        <f t="shared" si="120"/>
        <v/>
      </c>
      <c r="N837" s="245">
        <f t="shared" si="121"/>
        <v>0</v>
      </c>
      <c r="O837" s="245">
        <f t="shared" si="122"/>
        <v>0</v>
      </c>
      <c r="P837" t="str">
        <f t="shared" si="123"/>
        <v/>
      </c>
      <c r="Q837" t="str">
        <f>IFERROR(VLOOKUP(P837,数据库!C:M,11,0),"")</f>
        <v/>
      </c>
      <c r="R837" t="str">
        <f t="shared" si="124"/>
        <v/>
      </c>
      <c r="S837">
        <f t="shared" si="125"/>
        <v>0</v>
      </c>
    </row>
    <row r="838" spans="1:19">
      <c r="A838" t="str">
        <f>IF(B838=0,"",发货清单!A838*10^6+COUNTIF($D$2:D838,D838)*10^3+ROW(A837))</f>
        <v/>
      </c>
      <c r="B838">
        <f>IFERROR(LEFT(发货清单!H838,SEARCH("-",发货清单!H838)-1),发货清单!H838)</f>
        <v>0</v>
      </c>
      <c r="C838" t="str">
        <f>IFERROR(VLOOKUP(发货清单!A838,数据库!A:D,4,0),"")</f>
        <v/>
      </c>
      <c r="D838" t="str">
        <f>IFERROR(VLOOKUP(发货清单!A838,数据库!A:C,3,0),"")</f>
        <v/>
      </c>
      <c r="E838">
        <f>发货清单!M838</f>
        <v>0</v>
      </c>
      <c r="F838">
        <f>发货清单!U838</f>
        <v>0</v>
      </c>
      <c r="G838" t="str">
        <f>IFERROR(VLOOKUP(发货清单!A838,数据库!A:B,2,0),"")</f>
        <v/>
      </c>
      <c r="H838">
        <f>发货清单!N838</f>
        <v>0</v>
      </c>
      <c r="I838" t="str">
        <f t="shared" si="117"/>
        <v/>
      </c>
      <c r="J838" t="str">
        <f t="shared" si="118"/>
        <v xml:space="preserve"> </v>
      </c>
      <c r="K838" t="str">
        <f t="shared" si="119"/>
        <v/>
      </c>
      <c r="L838" t="str">
        <f t="shared" si="120"/>
        <v/>
      </c>
      <c r="N838" s="245">
        <f t="shared" si="121"/>
        <v>0</v>
      </c>
      <c r="O838" s="245">
        <f t="shared" si="122"/>
        <v>0</v>
      </c>
      <c r="P838" t="str">
        <f t="shared" si="123"/>
        <v/>
      </c>
      <c r="Q838" t="str">
        <f>IFERROR(VLOOKUP(P838,数据库!C:M,11,0),"")</f>
        <v/>
      </c>
      <c r="R838" t="str">
        <f t="shared" si="124"/>
        <v/>
      </c>
      <c r="S838">
        <f t="shared" si="125"/>
        <v>0</v>
      </c>
    </row>
    <row r="839" spans="1:19">
      <c r="A839" t="str">
        <f>IF(B839=0,"",发货清单!A839*10^6+COUNTIF($D$2:D839,D839)*10^3+ROW(A838))</f>
        <v/>
      </c>
      <c r="B839">
        <f>IFERROR(LEFT(发货清单!H839,SEARCH("-",发货清单!H839)-1),发货清单!H839)</f>
        <v>0</v>
      </c>
      <c r="C839" t="str">
        <f>IFERROR(VLOOKUP(发货清单!A839,数据库!A:D,4,0),"")</f>
        <v/>
      </c>
      <c r="D839" t="str">
        <f>IFERROR(VLOOKUP(发货清单!A839,数据库!A:C,3,0),"")</f>
        <v/>
      </c>
      <c r="E839">
        <f>发货清单!M839</f>
        <v>0</v>
      </c>
      <c r="F839">
        <f>发货清单!U839</f>
        <v>0</v>
      </c>
      <c r="G839" t="str">
        <f>IFERROR(VLOOKUP(发货清单!A839,数据库!A:B,2,0),"")</f>
        <v/>
      </c>
      <c r="H839">
        <f>发货清单!N839</f>
        <v>0</v>
      </c>
      <c r="I839" t="str">
        <f t="shared" si="117"/>
        <v/>
      </c>
      <c r="J839" t="str">
        <f t="shared" si="118"/>
        <v xml:space="preserve"> </v>
      </c>
      <c r="K839" t="str">
        <f t="shared" si="119"/>
        <v/>
      </c>
      <c r="L839" t="str">
        <f t="shared" si="120"/>
        <v/>
      </c>
      <c r="N839" s="245">
        <f t="shared" si="121"/>
        <v>0</v>
      </c>
      <c r="O839" s="245">
        <f t="shared" si="122"/>
        <v>0</v>
      </c>
      <c r="P839" t="str">
        <f t="shared" si="123"/>
        <v/>
      </c>
      <c r="Q839" t="str">
        <f>IFERROR(VLOOKUP(P839,数据库!C:M,11,0),"")</f>
        <v/>
      </c>
      <c r="R839" t="str">
        <f t="shared" si="124"/>
        <v/>
      </c>
      <c r="S839">
        <f t="shared" si="125"/>
        <v>0</v>
      </c>
    </row>
    <row r="840" spans="1:19">
      <c r="A840" t="str">
        <f>IF(B840=0,"",发货清单!A840*10^6+COUNTIF($D$2:D840,D840)*10^3+ROW(A839))</f>
        <v/>
      </c>
      <c r="B840">
        <f>IFERROR(LEFT(发货清单!H840,SEARCH("-",发货清单!H840)-1),发货清单!H840)</f>
        <v>0</v>
      </c>
      <c r="C840" t="str">
        <f>IFERROR(VLOOKUP(发货清单!A840,数据库!A:D,4,0),"")</f>
        <v/>
      </c>
      <c r="D840" t="str">
        <f>IFERROR(VLOOKUP(发货清单!A840,数据库!A:C,3,0),"")</f>
        <v/>
      </c>
      <c r="E840">
        <f>发货清单!M840</f>
        <v>0</v>
      </c>
      <c r="F840">
        <f>发货清单!U840</f>
        <v>0</v>
      </c>
      <c r="G840" t="str">
        <f>IFERROR(VLOOKUP(发货清单!A840,数据库!A:B,2,0),"")</f>
        <v/>
      </c>
      <c r="H840">
        <f>发货清单!N840</f>
        <v>0</v>
      </c>
      <c r="I840" t="str">
        <f t="shared" si="117"/>
        <v/>
      </c>
      <c r="J840" t="str">
        <f t="shared" si="118"/>
        <v xml:space="preserve"> </v>
      </c>
      <c r="K840" t="str">
        <f t="shared" si="119"/>
        <v/>
      </c>
      <c r="L840" t="str">
        <f t="shared" si="120"/>
        <v/>
      </c>
      <c r="N840" s="245">
        <f t="shared" si="121"/>
        <v>0</v>
      </c>
      <c r="O840" s="245">
        <f t="shared" si="122"/>
        <v>0</v>
      </c>
      <c r="P840" t="str">
        <f t="shared" si="123"/>
        <v/>
      </c>
      <c r="Q840" t="str">
        <f>IFERROR(VLOOKUP(P840,数据库!C:M,11,0),"")</f>
        <v/>
      </c>
      <c r="R840" t="str">
        <f t="shared" si="124"/>
        <v/>
      </c>
      <c r="S840">
        <f t="shared" si="125"/>
        <v>0</v>
      </c>
    </row>
    <row r="841" spans="1:19">
      <c r="A841" t="str">
        <f>IF(B841=0,"",发货清单!A841*10^6+COUNTIF($D$2:D841,D841)*10^3+ROW(A840))</f>
        <v/>
      </c>
      <c r="B841">
        <f>IFERROR(LEFT(发货清单!H841,SEARCH("-",发货清单!H841)-1),发货清单!H841)</f>
        <v>0</v>
      </c>
      <c r="C841" t="str">
        <f>IFERROR(VLOOKUP(发货清单!A841,数据库!A:D,4,0),"")</f>
        <v/>
      </c>
      <c r="D841" t="str">
        <f>IFERROR(VLOOKUP(发货清单!A841,数据库!A:C,3,0),"")</f>
        <v/>
      </c>
      <c r="E841">
        <f>发货清单!M841</f>
        <v>0</v>
      </c>
      <c r="F841">
        <f>发货清单!U841</f>
        <v>0</v>
      </c>
      <c r="G841" t="str">
        <f>IFERROR(VLOOKUP(发货清单!A841,数据库!A:B,2,0),"")</f>
        <v/>
      </c>
      <c r="H841">
        <f>发货清单!N841</f>
        <v>0</v>
      </c>
      <c r="I841" t="str">
        <f t="shared" si="117"/>
        <v/>
      </c>
      <c r="J841" t="str">
        <f t="shared" si="118"/>
        <v xml:space="preserve"> </v>
      </c>
      <c r="K841" t="str">
        <f t="shared" si="119"/>
        <v/>
      </c>
      <c r="L841" t="str">
        <f t="shared" si="120"/>
        <v/>
      </c>
      <c r="N841" s="245">
        <f t="shared" si="121"/>
        <v>0</v>
      </c>
      <c r="O841" s="245">
        <f t="shared" si="122"/>
        <v>0</v>
      </c>
      <c r="P841" t="str">
        <f t="shared" si="123"/>
        <v/>
      </c>
      <c r="Q841" t="str">
        <f>IFERROR(VLOOKUP(P841,数据库!C:M,11,0),"")</f>
        <v/>
      </c>
      <c r="R841" t="str">
        <f t="shared" si="124"/>
        <v/>
      </c>
      <c r="S841">
        <f t="shared" si="125"/>
        <v>0</v>
      </c>
    </row>
    <row r="842" spans="1:19">
      <c r="A842" t="str">
        <f>IF(B842=0,"",发货清单!A842*10^6+COUNTIF($D$2:D842,D842)*10^3+ROW(A841))</f>
        <v/>
      </c>
      <c r="B842">
        <f>IFERROR(LEFT(发货清单!H842,SEARCH("-",发货清单!H842)-1),发货清单!H842)</f>
        <v>0</v>
      </c>
      <c r="C842" t="str">
        <f>IFERROR(VLOOKUP(发货清单!A842,数据库!A:D,4,0),"")</f>
        <v/>
      </c>
      <c r="D842" t="str">
        <f>IFERROR(VLOOKUP(发货清单!A842,数据库!A:C,3,0),"")</f>
        <v/>
      </c>
      <c r="E842">
        <f>发货清单!M842</f>
        <v>0</v>
      </c>
      <c r="F842">
        <f>发货清单!U842</f>
        <v>0</v>
      </c>
      <c r="G842" t="str">
        <f>IFERROR(VLOOKUP(发货清单!A842,数据库!A:B,2,0),"")</f>
        <v/>
      </c>
      <c r="H842">
        <f>发货清单!N842</f>
        <v>0</v>
      </c>
      <c r="I842" t="str">
        <f t="shared" si="117"/>
        <v/>
      </c>
      <c r="J842" t="str">
        <f t="shared" si="118"/>
        <v xml:space="preserve"> </v>
      </c>
      <c r="K842" t="str">
        <f t="shared" si="119"/>
        <v/>
      </c>
      <c r="L842" t="str">
        <f t="shared" si="120"/>
        <v/>
      </c>
      <c r="N842" s="245">
        <f t="shared" si="121"/>
        <v>0</v>
      </c>
      <c r="O842" s="245">
        <f t="shared" si="122"/>
        <v>0</v>
      </c>
      <c r="P842" t="str">
        <f t="shared" si="123"/>
        <v/>
      </c>
      <c r="Q842" t="str">
        <f>IFERROR(VLOOKUP(P842,数据库!C:M,11,0),"")</f>
        <v/>
      </c>
      <c r="R842" t="str">
        <f t="shared" si="124"/>
        <v/>
      </c>
      <c r="S842">
        <f t="shared" si="125"/>
        <v>0</v>
      </c>
    </row>
    <row r="843" spans="1:19">
      <c r="A843" t="str">
        <f>IF(B843=0,"",发货清单!A843*10^6+COUNTIF($D$2:D843,D843)*10^3+ROW(A842))</f>
        <v/>
      </c>
      <c r="B843">
        <f>IFERROR(LEFT(发货清单!H843,SEARCH("-",发货清单!H843)-1),发货清单!H843)</f>
        <v>0</v>
      </c>
      <c r="C843" t="str">
        <f>IFERROR(VLOOKUP(发货清单!A843,数据库!A:D,4,0),"")</f>
        <v/>
      </c>
      <c r="D843" t="str">
        <f>IFERROR(VLOOKUP(发货清单!A843,数据库!A:C,3,0),"")</f>
        <v/>
      </c>
      <c r="E843">
        <f>发货清单!M843</f>
        <v>0</v>
      </c>
      <c r="F843">
        <f>发货清单!U843</f>
        <v>0</v>
      </c>
      <c r="G843" t="str">
        <f>IFERROR(VLOOKUP(发货清单!A843,数据库!A:B,2,0),"")</f>
        <v/>
      </c>
      <c r="H843">
        <f>发货清单!N843</f>
        <v>0</v>
      </c>
      <c r="I843" t="str">
        <f t="shared" si="117"/>
        <v/>
      </c>
      <c r="J843" t="str">
        <f t="shared" si="118"/>
        <v xml:space="preserve"> </v>
      </c>
      <c r="K843" t="str">
        <f t="shared" si="119"/>
        <v/>
      </c>
      <c r="L843" t="str">
        <f t="shared" si="120"/>
        <v/>
      </c>
      <c r="N843" s="245">
        <f t="shared" si="121"/>
        <v>0</v>
      </c>
      <c r="O843" s="245">
        <f t="shared" si="122"/>
        <v>0</v>
      </c>
      <c r="P843" t="str">
        <f t="shared" si="123"/>
        <v/>
      </c>
      <c r="Q843" t="str">
        <f>IFERROR(VLOOKUP(P843,数据库!C:M,11,0),"")</f>
        <v/>
      </c>
      <c r="R843" t="str">
        <f t="shared" si="124"/>
        <v/>
      </c>
      <c r="S843">
        <f t="shared" si="125"/>
        <v>0</v>
      </c>
    </row>
    <row r="844" spans="1:19">
      <c r="A844" t="str">
        <f>IF(B844=0,"",发货清单!A844*10^6+COUNTIF($D$2:D844,D844)*10^3+ROW(A843))</f>
        <v/>
      </c>
      <c r="B844">
        <f>IFERROR(LEFT(发货清单!H844,SEARCH("-",发货清单!H844)-1),发货清单!H844)</f>
        <v>0</v>
      </c>
      <c r="C844" t="str">
        <f>IFERROR(VLOOKUP(发货清单!A844,数据库!A:D,4,0),"")</f>
        <v/>
      </c>
      <c r="D844" t="str">
        <f>IFERROR(VLOOKUP(发货清单!A844,数据库!A:C,3,0),"")</f>
        <v/>
      </c>
      <c r="E844">
        <f>发货清单!M844</f>
        <v>0</v>
      </c>
      <c r="F844">
        <f>发货清单!U844</f>
        <v>0</v>
      </c>
      <c r="G844" t="str">
        <f>IFERROR(VLOOKUP(发货清单!A844,数据库!A:B,2,0),"")</f>
        <v/>
      </c>
      <c r="H844">
        <f>发货清单!N844</f>
        <v>0</v>
      </c>
      <c r="I844" t="str">
        <f t="shared" si="117"/>
        <v/>
      </c>
      <c r="J844" t="str">
        <f t="shared" si="118"/>
        <v xml:space="preserve"> </v>
      </c>
      <c r="K844" t="str">
        <f t="shared" si="119"/>
        <v/>
      </c>
      <c r="L844" t="str">
        <f t="shared" si="120"/>
        <v/>
      </c>
      <c r="N844" s="245">
        <f t="shared" si="121"/>
        <v>0</v>
      </c>
      <c r="O844" s="245">
        <f t="shared" si="122"/>
        <v>0</v>
      </c>
      <c r="P844" t="str">
        <f t="shared" si="123"/>
        <v/>
      </c>
      <c r="Q844" t="str">
        <f>IFERROR(VLOOKUP(P844,数据库!C:M,11,0),"")</f>
        <v/>
      </c>
      <c r="R844" t="str">
        <f t="shared" si="124"/>
        <v/>
      </c>
      <c r="S844">
        <f t="shared" si="125"/>
        <v>0</v>
      </c>
    </row>
    <row r="845" spans="1:19">
      <c r="A845" t="str">
        <f>IF(B845=0,"",发货清单!A845*10^6+COUNTIF($D$2:D845,D845)*10^3+ROW(A844))</f>
        <v/>
      </c>
      <c r="B845">
        <f>IFERROR(LEFT(发货清单!H845,SEARCH("-",发货清单!H845)-1),发货清单!H845)</f>
        <v>0</v>
      </c>
      <c r="C845" t="str">
        <f>IFERROR(VLOOKUP(发货清单!A845,数据库!A:D,4,0),"")</f>
        <v/>
      </c>
      <c r="D845" t="str">
        <f>IFERROR(VLOOKUP(发货清单!A845,数据库!A:C,3,0),"")</f>
        <v/>
      </c>
      <c r="E845">
        <f>发货清单!M845</f>
        <v>0</v>
      </c>
      <c r="F845">
        <f>发货清单!U845</f>
        <v>0</v>
      </c>
      <c r="G845" t="str">
        <f>IFERROR(VLOOKUP(发货清单!A845,数据库!A:B,2,0),"")</f>
        <v/>
      </c>
      <c r="H845">
        <f>发货清单!N845</f>
        <v>0</v>
      </c>
      <c r="I845" t="str">
        <f t="shared" si="117"/>
        <v/>
      </c>
      <c r="J845" t="str">
        <f t="shared" si="118"/>
        <v xml:space="preserve"> </v>
      </c>
      <c r="K845" t="str">
        <f t="shared" si="119"/>
        <v/>
      </c>
      <c r="L845" t="str">
        <f t="shared" si="120"/>
        <v/>
      </c>
      <c r="N845" s="245">
        <f t="shared" si="121"/>
        <v>0</v>
      </c>
      <c r="O845" s="245">
        <f t="shared" si="122"/>
        <v>0</v>
      </c>
      <c r="P845" t="str">
        <f t="shared" si="123"/>
        <v/>
      </c>
      <c r="Q845" t="str">
        <f>IFERROR(VLOOKUP(P845,数据库!C:M,11,0),"")</f>
        <v/>
      </c>
      <c r="R845" t="str">
        <f t="shared" si="124"/>
        <v/>
      </c>
      <c r="S845">
        <f t="shared" si="125"/>
        <v>0</v>
      </c>
    </row>
    <row r="846" spans="1:19">
      <c r="A846" t="str">
        <f>IF(B846=0,"",发货清单!A846*10^6+COUNTIF($D$2:D846,D846)*10^3+ROW(A845))</f>
        <v/>
      </c>
      <c r="B846">
        <f>IFERROR(LEFT(发货清单!H846,SEARCH("-",发货清单!H846)-1),发货清单!H846)</f>
        <v>0</v>
      </c>
      <c r="C846" t="str">
        <f>IFERROR(VLOOKUP(发货清单!A846,数据库!A:D,4,0),"")</f>
        <v/>
      </c>
      <c r="D846" t="str">
        <f>IFERROR(VLOOKUP(发货清单!A846,数据库!A:C,3,0),"")</f>
        <v/>
      </c>
      <c r="E846">
        <f>发货清单!M846</f>
        <v>0</v>
      </c>
      <c r="F846">
        <f>发货清单!U846</f>
        <v>0</v>
      </c>
      <c r="G846" t="str">
        <f>IFERROR(VLOOKUP(发货清单!A846,数据库!A:B,2,0),"")</f>
        <v/>
      </c>
      <c r="H846">
        <f>发货清单!N846</f>
        <v>0</v>
      </c>
      <c r="I846" t="str">
        <f t="shared" si="117"/>
        <v/>
      </c>
      <c r="J846" t="str">
        <f t="shared" si="118"/>
        <v xml:space="preserve"> </v>
      </c>
      <c r="K846" t="str">
        <f t="shared" si="119"/>
        <v/>
      </c>
      <c r="L846" t="str">
        <f t="shared" si="120"/>
        <v/>
      </c>
      <c r="N846" s="245">
        <f t="shared" si="121"/>
        <v>0</v>
      </c>
      <c r="O846" s="245">
        <f t="shared" si="122"/>
        <v>0</v>
      </c>
      <c r="P846" t="str">
        <f t="shared" si="123"/>
        <v/>
      </c>
      <c r="Q846" t="str">
        <f>IFERROR(VLOOKUP(P846,数据库!C:M,11,0),"")</f>
        <v/>
      </c>
      <c r="R846" t="str">
        <f t="shared" si="124"/>
        <v/>
      </c>
      <c r="S846">
        <f t="shared" si="125"/>
        <v>0</v>
      </c>
    </row>
    <row r="847" spans="1:19">
      <c r="A847" t="str">
        <f>IF(B847=0,"",发货清单!A847*10^6+COUNTIF($D$2:D847,D847)*10^3+ROW(A846))</f>
        <v/>
      </c>
      <c r="B847">
        <f>IFERROR(LEFT(发货清单!H847,SEARCH("-",发货清单!H847)-1),发货清单!H847)</f>
        <v>0</v>
      </c>
      <c r="C847" t="str">
        <f>IFERROR(VLOOKUP(发货清单!A847,数据库!A:D,4,0),"")</f>
        <v/>
      </c>
      <c r="D847" t="str">
        <f>IFERROR(VLOOKUP(发货清单!A847,数据库!A:C,3,0),"")</f>
        <v/>
      </c>
      <c r="E847">
        <f>发货清单!M847</f>
        <v>0</v>
      </c>
      <c r="F847">
        <f>发货清单!U847</f>
        <v>0</v>
      </c>
      <c r="G847" t="str">
        <f>IFERROR(VLOOKUP(发货清单!A847,数据库!A:B,2,0),"")</f>
        <v/>
      </c>
      <c r="H847">
        <f>发货清单!N847</f>
        <v>0</v>
      </c>
      <c r="I847" t="str">
        <f t="shared" si="117"/>
        <v/>
      </c>
      <c r="J847" t="str">
        <f t="shared" si="118"/>
        <v xml:space="preserve"> </v>
      </c>
      <c r="K847" t="str">
        <f t="shared" si="119"/>
        <v/>
      </c>
      <c r="L847" t="str">
        <f t="shared" si="120"/>
        <v/>
      </c>
      <c r="N847" s="245">
        <f t="shared" si="121"/>
        <v>0</v>
      </c>
      <c r="O847" s="245">
        <f t="shared" si="122"/>
        <v>0</v>
      </c>
      <c r="P847" t="str">
        <f t="shared" si="123"/>
        <v/>
      </c>
      <c r="Q847" t="str">
        <f>IFERROR(VLOOKUP(P847,数据库!C:M,11,0),"")</f>
        <v/>
      </c>
      <c r="R847" t="str">
        <f t="shared" si="124"/>
        <v/>
      </c>
      <c r="S847">
        <f t="shared" si="125"/>
        <v>0</v>
      </c>
    </row>
    <row r="848" spans="1:19">
      <c r="A848" t="str">
        <f>IF(B848=0,"",发货清单!A848*10^6+COUNTIF($D$2:D848,D848)*10^3+ROW(A847))</f>
        <v/>
      </c>
      <c r="B848">
        <f>IFERROR(LEFT(发货清单!H848,SEARCH("-",发货清单!H848)-1),发货清单!H848)</f>
        <v>0</v>
      </c>
      <c r="C848" t="str">
        <f>IFERROR(VLOOKUP(发货清单!A848,数据库!A:D,4,0),"")</f>
        <v/>
      </c>
      <c r="D848" t="str">
        <f>IFERROR(VLOOKUP(发货清单!A848,数据库!A:C,3,0),"")</f>
        <v/>
      </c>
      <c r="E848">
        <f>发货清单!M848</f>
        <v>0</v>
      </c>
      <c r="F848">
        <f>发货清单!U848</f>
        <v>0</v>
      </c>
      <c r="G848" t="str">
        <f>IFERROR(VLOOKUP(发货清单!A848,数据库!A:B,2,0),"")</f>
        <v/>
      </c>
      <c r="H848">
        <f>发货清单!N848</f>
        <v>0</v>
      </c>
      <c r="I848" t="str">
        <f t="shared" si="117"/>
        <v/>
      </c>
      <c r="J848" t="str">
        <f t="shared" si="118"/>
        <v xml:space="preserve"> </v>
      </c>
      <c r="K848" t="str">
        <f t="shared" si="119"/>
        <v/>
      </c>
      <c r="L848" t="str">
        <f t="shared" si="120"/>
        <v/>
      </c>
      <c r="N848" s="245">
        <f t="shared" si="121"/>
        <v>0</v>
      </c>
      <c r="O848" s="245">
        <f t="shared" si="122"/>
        <v>0</v>
      </c>
      <c r="P848" t="str">
        <f t="shared" si="123"/>
        <v/>
      </c>
      <c r="Q848" t="str">
        <f>IFERROR(VLOOKUP(P848,数据库!C:M,11,0),"")</f>
        <v/>
      </c>
      <c r="R848" t="str">
        <f t="shared" si="124"/>
        <v/>
      </c>
      <c r="S848">
        <f t="shared" si="125"/>
        <v>0</v>
      </c>
    </row>
    <row r="849" spans="1:19">
      <c r="A849" t="str">
        <f>IF(B849=0,"",发货清单!A849*10^6+COUNTIF($D$2:D849,D849)*10^3+ROW(A848))</f>
        <v/>
      </c>
      <c r="B849">
        <f>IFERROR(LEFT(发货清单!H849,SEARCH("-",发货清单!H849)-1),发货清单!H849)</f>
        <v>0</v>
      </c>
      <c r="C849" t="str">
        <f>IFERROR(VLOOKUP(发货清单!A849,数据库!A:D,4,0),"")</f>
        <v/>
      </c>
      <c r="D849" t="str">
        <f>IFERROR(VLOOKUP(发货清单!A849,数据库!A:C,3,0),"")</f>
        <v/>
      </c>
      <c r="E849">
        <f>发货清单!M849</f>
        <v>0</v>
      </c>
      <c r="F849">
        <f>发货清单!U849</f>
        <v>0</v>
      </c>
      <c r="G849" t="str">
        <f>IFERROR(VLOOKUP(发货清单!A849,数据库!A:B,2,0),"")</f>
        <v/>
      </c>
      <c r="H849">
        <f>发货清单!N849</f>
        <v>0</v>
      </c>
      <c r="I849" t="str">
        <f t="shared" si="117"/>
        <v/>
      </c>
      <c r="J849" t="str">
        <f t="shared" si="118"/>
        <v xml:space="preserve"> </v>
      </c>
      <c r="K849" t="str">
        <f t="shared" si="119"/>
        <v/>
      </c>
      <c r="L849" t="str">
        <f t="shared" si="120"/>
        <v/>
      </c>
      <c r="N849" s="245">
        <f t="shared" si="121"/>
        <v>0</v>
      </c>
      <c r="O849" s="245">
        <f t="shared" si="122"/>
        <v>0</v>
      </c>
      <c r="P849" t="str">
        <f t="shared" si="123"/>
        <v/>
      </c>
      <c r="Q849" t="str">
        <f>IFERROR(VLOOKUP(P849,数据库!C:M,11,0),"")</f>
        <v/>
      </c>
      <c r="R849" t="str">
        <f t="shared" si="124"/>
        <v/>
      </c>
      <c r="S849">
        <f t="shared" si="125"/>
        <v>0</v>
      </c>
    </row>
    <row r="850" spans="1:19">
      <c r="A850" t="str">
        <f>IF(B850=0,"",发货清单!A850*10^6+COUNTIF($D$2:D850,D850)*10^3+ROW(A849))</f>
        <v/>
      </c>
      <c r="B850">
        <f>IFERROR(LEFT(发货清单!H850,SEARCH("-",发货清单!H850)-1),发货清单!H850)</f>
        <v>0</v>
      </c>
      <c r="C850" t="str">
        <f>IFERROR(VLOOKUP(发货清单!A850,数据库!A:D,4,0),"")</f>
        <v/>
      </c>
      <c r="D850" t="str">
        <f>IFERROR(VLOOKUP(发货清单!A850,数据库!A:C,3,0),"")</f>
        <v/>
      </c>
      <c r="E850">
        <f>发货清单!M850</f>
        <v>0</v>
      </c>
      <c r="F850">
        <f>发货清单!U850</f>
        <v>0</v>
      </c>
      <c r="G850" t="str">
        <f>IFERROR(VLOOKUP(发货清单!A850,数据库!A:B,2,0),"")</f>
        <v/>
      </c>
      <c r="H850">
        <f>发货清单!N850</f>
        <v>0</v>
      </c>
      <c r="I850" t="str">
        <f t="shared" si="117"/>
        <v/>
      </c>
      <c r="J850" t="str">
        <f t="shared" si="118"/>
        <v xml:space="preserve"> </v>
      </c>
      <c r="K850" t="str">
        <f t="shared" si="119"/>
        <v/>
      </c>
      <c r="L850" t="str">
        <f t="shared" si="120"/>
        <v/>
      </c>
      <c r="N850" s="245">
        <f t="shared" si="121"/>
        <v>0</v>
      </c>
      <c r="O850" s="245">
        <f t="shared" si="122"/>
        <v>0</v>
      </c>
      <c r="P850" t="str">
        <f t="shared" si="123"/>
        <v/>
      </c>
      <c r="Q850" t="str">
        <f>IFERROR(VLOOKUP(P850,数据库!C:M,11,0),"")</f>
        <v/>
      </c>
      <c r="R850" t="str">
        <f t="shared" si="124"/>
        <v/>
      </c>
      <c r="S850">
        <f t="shared" si="125"/>
        <v>0</v>
      </c>
    </row>
    <row r="851" spans="1:19">
      <c r="A851" t="str">
        <f>IF(B851=0,"",发货清单!A851*10^6+COUNTIF($D$2:D851,D851)*10^3+ROW(A850))</f>
        <v/>
      </c>
      <c r="B851">
        <f>IFERROR(LEFT(发货清单!H851,SEARCH("-",发货清单!H851)-1),发货清单!H851)</f>
        <v>0</v>
      </c>
      <c r="C851" t="str">
        <f>IFERROR(VLOOKUP(发货清单!A851,数据库!A:D,4,0),"")</f>
        <v/>
      </c>
      <c r="D851" t="str">
        <f>IFERROR(VLOOKUP(发货清单!A851,数据库!A:C,3,0),"")</f>
        <v/>
      </c>
      <c r="E851">
        <f>发货清单!M851</f>
        <v>0</v>
      </c>
      <c r="F851">
        <f>发货清单!U851</f>
        <v>0</v>
      </c>
      <c r="G851" t="str">
        <f>IFERROR(VLOOKUP(发货清单!A851,数据库!A:B,2,0),"")</f>
        <v/>
      </c>
      <c r="H851">
        <f>发货清单!N851</f>
        <v>0</v>
      </c>
      <c r="I851" t="str">
        <f t="shared" si="117"/>
        <v/>
      </c>
      <c r="J851" t="str">
        <f t="shared" si="118"/>
        <v xml:space="preserve"> </v>
      </c>
      <c r="K851" t="str">
        <f t="shared" si="119"/>
        <v/>
      </c>
      <c r="L851" t="str">
        <f t="shared" si="120"/>
        <v/>
      </c>
      <c r="N851" s="245">
        <f t="shared" si="121"/>
        <v>0</v>
      </c>
      <c r="O851" s="245">
        <f t="shared" si="122"/>
        <v>0</v>
      </c>
      <c r="P851" t="str">
        <f t="shared" si="123"/>
        <v/>
      </c>
      <c r="Q851" t="str">
        <f>IFERROR(VLOOKUP(P851,数据库!C:M,11,0),"")</f>
        <v/>
      </c>
      <c r="R851" t="str">
        <f t="shared" si="124"/>
        <v/>
      </c>
      <c r="S851">
        <f t="shared" si="125"/>
        <v>0</v>
      </c>
    </row>
    <row r="852" spans="1:19">
      <c r="A852" t="str">
        <f>IF(B852=0,"",发货清单!A852*10^6+COUNTIF($D$2:D852,D852)*10^3+ROW(A851))</f>
        <v/>
      </c>
      <c r="B852">
        <f>IFERROR(LEFT(发货清单!H852,SEARCH("-",发货清单!H852)-1),发货清单!H852)</f>
        <v>0</v>
      </c>
      <c r="C852" t="str">
        <f>IFERROR(VLOOKUP(发货清单!A852,数据库!A:D,4,0),"")</f>
        <v/>
      </c>
      <c r="D852" t="str">
        <f>IFERROR(VLOOKUP(发货清单!A852,数据库!A:C,3,0),"")</f>
        <v/>
      </c>
      <c r="E852">
        <f>发货清单!M852</f>
        <v>0</v>
      </c>
      <c r="F852">
        <f>发货清单!U852</f>
        <v>0</v>
      </c>
      <c r="G852" t="str">
        <f>IFERROR(VLOOKUP(发货清单!A852,数据库!A:B,2,0),"")</f>
        <v/>
      </c>
      <c r="H852">
        <f>发货清单!N852</f>
        <v>0</v>
      </c>
      <c r="I852" t="str">
        <f t="shared" si="117"/>
        <v/>
      </c>
      <c r="J852" t="str">
        <f t="shared" si="118"/>
        <v xml:space="preserve"> </v>
      </c>
      <c r="K852" t="str">
        <f t="shared" si="119"/>
        <v/>
      </c>
      <c r="L852" t="str">
        <f t="shared" si="120"/>
        <v/>
      </c>
      <c r="N852" s="245">
        <f t="shared" si="121"/>
        <v>0</v>
      </c>
      <c r="O852" s="245">
        <f t="shared" si="122"/>
        <v>0</v>
      </c>
      <c r="P852" t="str">
        <f t="shared" si="123"/>
        <v/>
      </c>
      <c r="Q852" t="str">
        <f>IFERROR(VLOOKUP(P852,数据库!C:M,11,0),"")</f>
        <v/>
      </c>
      <c r="R852" t="str">
        <f t="shared" si="124"/>
        <v/>
      </c>
      <c r="S852">
        <f t="shared" si="125"/>
        <v>0</v>
      </c>
    </row>
    <row r="853" spans="1:19">
      <c r="A853" t="str">
        <f>IF(B853=0,"",发货清单!A853*10^6+COUNTIF($D$2:D853,D853)*10^3+ROW(A852))</f>
        <v/>
      </c>
      <c r="B853">
        <f>IFERROR(LEFT(发货清单!H853,SEARCH("-",发货清单!H853)-1),发货清单!H853)</f>
        <v>0</v>
      </c>
      <c r="C853" t="str">
        <f>IFERROR(VLOOKUP(发货清单!A853,数据库!A:D,4,0),"")</f>
        <v/>
      </c>
      <c r="D853" t="str">
        <f>IFERROR(VLOOKUP(发货清单!A853,数据库!A:C,3,0),"")</f>
        <v/>
      </c>
      <c r="E853">
        <f>发货清单!M853</f>
        <v>0</v>
      </c>
      <c r="F853">
        <f>发货清单!U853</f>
        <v>0</v>
      </c>
      <c r="G853" t="str">
        <f>IFERROR(VLOOKUP(发货清单!A853,数据库!A:B,2,0),"")</f>
        <v/>
      </c>
      <c r="H853">
        <f>发货清单!N853</f>
        <v>0</v>
      </c>
      <c r="I853" t="str">
        <f t="shared" si="117"/>
        <v/>
      </c>
      <c r="J853" t="str">
        <f t="shared" si="118"/>
        <v xml:space="preserve"> </v>
      </c>
      <c r="K853" t="str">
        <f t="shared" si="119"/>
        <v/>
      </c>
      <c r="L853" t="str">
        <f t="shared" si="120"/>
        <v/>
      </c>
      <c r="N853" s="245">
        <f t="shared" si="121"/>
        <v>0</v>
      </c>
      <c r="O853" s="245">
        <f t="shared" si="122"/>
        <v>0</v>
      </c>
      <c r="P853" t="str">
        <f t="shared" si="123"/>
        <v/>
      </c>
      <c r="Q853" t="str">
        <f>IFERROR(VLOOKUP(P853,数据库!C:M,11,0),"")</f>
        <v/>
      </c>
      <c r="R853" t="str">
        <f t="shared" si="124"/>
        <v/>
      </c>
      <c r="S853">
        <f t="shared" si="125"/>
        <v>0</v>
      </c>
    </row>
    <row r="854" spans="1:19">
      <c r="A854" t="str">
        <f>IF(B854=0,"",发货清单!A854*10^6+COUNTIF($D$2:D854,D854)*10^3+ROW(A853))</f>
        <v/>
      </c>
      <c r="B854">
        <f>IFERROR(LEFT(发货清单!H854,SEARCH("-",发货清单!H854)-1),发货清单!H854)</f>
        <v>0</v>
      </c>
      <c r="C854" t="str">
        <f>IFERROR(VLOOKUP(发货清单!A854,数据库!A:D,4,0),"")</f>
        <v/>
      </c>
      <c r="D854" t="str">
        <f>IFERROR(VLOOKUP(发货清单!A854,数据库!A:C,3,0),"")</f>
        <v/>
      </c>
      <c r="E854">
        <f>发货清单!M854</f>
        <v>0</v>
      </c>
      <c r="F854">
        <f>发货清单!U854</f>
        <v>0</v>
      </c>
      <c r="G854" t="str">
        <f>IFERROR(VLOOKUP(发货清单!A854,数据库!A:B,2,0),"")</f>
        <v/>
      </c>
      <c r="H854">
        <f>发货清单!N854</f>
        <v>0</v>
      </c>
      <c r="I854" t="str">
        <f t="shared" si="117"/>
        <v/>
      </c>
      <c r="J854" t="str">
        <f t="shared" si="118"/>
        <v xml:space="preserve"> </v>
      </c>
      <c r="K854" t="str">
        <f t="shared" si="119"/>
        <v/>
      </c>
      <c r="L854" t="str">
        <f t="shared" si="120"/>
        <v/>
      </c>
      <c r="N854" s="245">
        <f t="shared" si="121"/>
        <v>0</v>
      </c>
      <c r="O854" s="245">
        <f t="shared" si="122"/>
        <v>0</v>
      </c>
      <c r="P854" t="str">
        <f t="shared" si="123"/>
        <v/>
      </c>
      <c r="Q854" t="str">
        <f>IFERROR(VLOOKUP(P854,数据库!C:M,11,0),"")</f>
        <v/>
      </c>
      <c r="R854" t="str">
        <f t="shared" si="124"/>
        <v/>
      </c>
      <c r="S854">
        <f t="shared" si="125"/>
        <v>0</v>
      </c>
    </row>
    <row r="855" spans="1:19">
      <c r="A855" t="str">
        <f>IF(B855=0,"",发货清单!A855*10^6+COUNTIF($D$2:D855,D855)*10^3+ROW(A854))</f>
        <v/>
      </c>
      <c r="B855">
        <f>IFERROR(LEFT(发货清单!H855,SEARCH("-",发货清单!H855)-1),发货清单!H855)</f>
        <v>0</v>
      </c>
      <c r="C855" t="str">
        <f>IFERROR(VLOOKUP(发货清单!A855,数据库!A:D,4,0),"")</f>
        <v/>
      </c>
      <c r="D855" t="str">
        <f>IFERROR(VLOOKUP(发货清单!A855,数据库!A:C,3,0),"")</f>
        <v/>
      </c>
      <c r="E855">
        <f>发货清单!M855</f>
        <v>0</v>
      </c>
      <c r="F855">
        <f>发货清单!U855</f>
        <v>0</v>
      </c>
      <c r="G855" t="str">
        <f>IFERROR(VLOOKUP(发货清单!A855,数据库!A:B,2,0),"")</f>
        <v/>
      </c>
      <c r="H855">
        <f>发货清单!N855</f>
        <v>0</v>
      </c>
      <c r="I855" t="str">
        <f t="shared" si="117"/>
        <v/>
      </c>
      <c r="J855" t="str">
        <f t="shared" si="118"/>
        <v xml:space="preserve"> </v>
      </c>
      <c r="K855" t="str">
        <f t="shared" si="119"/>
        <v/>
      </c>
      <c r="L855" t="str">
        <f t="shared" si="120"/>
        <v/>
      </c>
      <c r="N855" s="245">
        <f t="shared" si="121"/>
        <v>0</v>
      </c>
      <c r="O855" s="245">
        <f t="shared" si="122"/>
        <v>0</v>
      </c>
      <c r="P855" t="str">
        <f t="shared" si="123"/>
        <v/>
      </c>
      <c r="Q855" t="str">
        <f>IFERROR(VLOOKUP(P855,数据库!C:M,11,0),"")</f>
        <v/>
      </c>
      <c r="R855" t="str">
        <f t="shared" si="124"/>
        <v/>
      </c>
      <c r="S855">
        <f t="shared" si="125"/>
        <v>0</v>
      </c>
    </row>
    <row r="856" spans="1:19">
      <c r="A856" t="str">
        <f>IF(B856=0,"",发货清单!A856*10^6+COUNTIF($D$2:D856,D856)*10^3+ROW(A855))</f>
        <v/>
      </c>
      <c r="B856">
        <f>IFERROR(LEFT(发货清单!H856,SEARCH("-",发货清单!H856)-1),发货清单!H856)</f>
        <v>0</v>
      </c>
      <c r="C856" t="str">
        <f>IFERROR(VLOOKUP(发货清单!A856,数据库!A:D,4,0),"")</f>
        <v/>
      </c>
      <c r="D856" t="str">
        <f>IFERROR(VLOOKUP(发货清单!A856,数据库!A:C,3,0),"")</f>
        <v/>
      </c>
      <c r="E856">
        <f>发货清单!M856</f>
        <v>0</v>
      </c>
      <c r="F856">
        <f>发货清单!U856</f>
        <v>0</v>
      </c>
      <c r="G856" t="str">
        <f>IFERROR(VLOOKUP(发货清单!A856,数据库!A:B,2,0),"")</f>
        <v/>
      </c>
      <c r="H856">
        <f>发货清单!N856</f>
        <v>0</v>
      </c>
      <c r="I856" t="str">
        <f t="shared" si="117"/>
        <v/>
      </c>
      <c r="J856" t="str">
        <f t="shared" si="118"/>
        <v xml:space="preserve"> </v>
      </c>
      <c r="K856" t="str">
        <f t="shared" si="119"/>
        <v/>
      </c>
      <c r="L856" t="str">
        <f t="shared" si="120"/>
        <v/>
      </c>
      <c r="N856" s="245">
        <f t="shared" si="121"/>
        <v>0</v>
      </c>
      <c r="O856" s="245">
        <f t="shared" si="122"/>
        <v>0</v>
      </c>
      <c r="P856" t="str">
        <f t="shared" si="123"/>
        <v/>
      </c>
      <c r="Q856" t="str">
        <f>IFERROR(VLOOKUP(P856,数据库!C:M,11,0),"")</f>
        <v/>
      </c>
      <c r="R856" t="str">
        <f t="shared" si="124"/>
        <v/>
      </c>
      <c r="S856">
        <f t="shared" si="125"/>
        <v>0</v>
      </c>
    </row>
    <row r="857" spans="1:19">
      <c r="A857" t="str">
        <f>IF(B857=0,"",发货清单!A857*10^6+COUNTIF($D$2:D857,D857)*10^3+ROW(A856))</f>
        <v/>
      </c>
      <c r="B857">
        <f>IFERROR(LEFT(发货清单!H857,SEARCH("-",发货清单!H857)-1),发货清单!H857)</f>
        <v>0</v>
      </c>
      <c r="C857" t="str">
        <f>IFERROR(VLOOKUP(发货清单!A857,数据库!A:D,4,0),"")</f>
        <v/>
      </c>
      <c r="D857" t="str">
        <f>IFERROR(VLOOKUP(发货清单!A857,数据库!A:C,3,0),"")</f>
        <v/>
      </c>
      <c r="E857">
        <f>发货清单!M857</f>
        <v>0</v>
      </c>
      <c r="F857">
        <f>发货清单!U857</f>
        <v>0</v>
      </c>
      <c r="G857" t="str">
        <f>IFERROR(VLOOKUP(发货清单!A857,数据库!A:B,2,0),"")</f>
        <v/>
      </c>
      <c r="H857">
        <f>发货清单!N857</f>
        <v>0</v>
      </c>
      <c r="I857" t="str">
        <f t="shared" si="117"/>
        <v/>
      </c>
      <c r="J857" t="str">
        <f t="shared" si="118"/>
        <v xml:space="preserve"> </v>
      </c>
      <c r="K857" t="str">
        <f t="shared" si="119"/>
        <v/>
      </c>
      <c r="L857" t="str">
        <f t="shared" si="120"/>
        <v/>
      </c>
      <c r="N857" s="245">
        <f t="shared" si="121"/>
        <v>0</v>
      </c>
      <c r="O857" s="245">
        <f t="shared" si="122"/>
        <v>0</v>
      </c>
      <c r="P857" t="str">
        <f t="shared" si="123"/>
        <v/>
      </c>
      <c r="Q857" t="str">
        <f>IFERROR(VLOOKUP(P857,数据库!C:M,11,0),"")</f>
        <v/>
      </c>
      <c r="R857" t="str">
        <f t="shared" si="124"/>
        <v/>
      </c>
      <c r="S857">
        <f t="shared" si="125"/>
        <v>0</v>
      </c>
    </row>
    <row r="858" spans="1:19">
      <c r="A858" t="str">
        <f>IF(B858=0,"",发货清单!A858*10^6+COUNTIF($D$2:D858,D858)*10^3+ROW(A857))</f>
        <v/>
      </c>
      <c r="B858">
        <f>IFERROR(LEFT(发货清单!H858,SEARCH("-",发货清单!H858)-1),发货清单!H858)</f>
        <v>0</v>
      </c>
      <c r="C858" t="str">
        <f>IFERROR(VLOOKUP(发货清单!A858,数据库!A:D,4,0),"")</f>
        <v/>
      </c>
      <c r="D858" t="str">
        <f>IFERROR(VLOOKUP(发货清单!A858,数据库!A:C,3,0),"")</f>
        <v/>
      </c>
      <c r="E858">
        <f>发货清单!M858</f>
        <v>0</v>
      </c>
      <c r="F858">
        <f>发货清单!U858</f>
        <v>0</v>
      </c>
      <c r="G858" t="str">
        <f>IFERROR(VLOOKUP(发货清单!A858,数据库!A:B,2,0),"")</f>
        <v/>
      </c>
      <c r="H858">
        <f>发货清单!N858</f>
        <v>0</v>
      </c>
      <c r="I858" t="str">
        <f t="shared" si="117"/>
        <v/>
      </c>
      <c r="J858" t="str">
        <f t="shared" si="118"/>
        <v xml:space="preserve"> </v>
      </c>
      <c r="K858" t="str">
        <f t="shared" si="119"/>
        <v/>
      </c>
      <c r="L858" t="str">
        <f t="shared" si="120"/>
        <v/>
      </c>
      <c r="N858" s="245">
        <f t="shared" si="121"/>
        <v>0</v>
      </c>
      <c r="O858" s="245">
        <f t="shared" si="122"/>
        <v>0</v>
      </c>
      <c r="P858" t="str">
        <f t="shared" si="123"/>
        <v/>
      </c>
      <c r="Q858" t="str">
        <f>IFERROR(VLOOKUP(P858,数据库!C:M,11,0),"")</f>
        <v/>
      </c>
      <c r="R858" t="str">
        <f t="shared" si="124"/>
        <v/>
      </c>
      <c r="S858">
        <f t="shared" si="125"/>
        <v>0</v>
      </c>
    </row>
    <row r="859" spans="1:19">
      <c r="A859" t="str">
        <f>IF(B859=0,"",发货清单!A859*10^6+COUNTIF($D$2:D859,D859)*10^3+ROW(A858))</f>
        <v/>
      </c>
      <c r="B859">
        <f>IFERROR(LEFT(发货清单!H859,SEARCH("-",发货清单!H859)-1),发货清单!H859)</f>
        <v>0</v>
      </c>
      <c r="C859" t="str">
        <f>IFERROR(VLOOKUP(发货清单!A859,数据库!A:D,4,0),"")</f>
        <v/>
      </c>
      <c r="D859" t="str">
        <f>IFERROR(VLOOKUP(发货清单!A859,数据库!A:C,3,0),"")</f>
        <v/>
      </c>
      <c r="E859">
        <f>发货清单!M859</f>
        <v>0</v>
      </c>
      <c r="F859">
        <f>发货清单!U859</f>
        <v>0</v>
      </c>
      <c r="G859" t="str">
        <f>IFERROR(VLOOKUP(发货清单!A859,数据库!A:B,2,0),"")</f>
        <v/>
      </c>
      <c r="H859">
        <f>发货清单!N859</f>
        <v>0</v>
      </c>
      <c r="I859" t="str">
        <f t="shared" si="117"/>
        <v/>
      </c>
      <c r="J859" t="str">
        <f t="shared" si="118"/>
        <v xml:space="preserve"> </v>
      </c>
      <c r="K859" t="str">
        <f t="shared" si="119"/>
        <v/>
      </c>
      <c r="L859" t="str">
        <f t="shared" si="120"/>
        <v/>
      </c>
      <c r="N859" s="245">
        <f t="shared" si="121"/>
        <v>0</v>
      </c>
      <c r="O859" s="245">
        <f t="shared" si="122"/>
        <v>0</v>
      </c>
      <c r="P859" t="str">
        <f t="shared" si="123"/>
        <v/>
      </c>
      <c r="Q859" t="str">
        <f>IFERROR(VLOOKUP(P859,数据库!C:M,11,0),"")</f>
        <v/>
      </c>
      <c r="R859" t="str">
        <f t="shared" si="124"/>
        <v/>
      </c>
      <c r="S859">
        <f t="shared" si="125"/>
        <v>0</v>
      </c>
    </row>
    <row r="860" spans="1:19">
      <c r="A860" t="str">
        <f>IF(B860=0,"",发货清单!A860*10^6+COUNTIF($D$2:D860,D860)*10^3+ROW(A859))</f>
        <v/>
      </c>
      <c r="B860">
        <f>IFERROR(LEFT(发货清单!H860,SEARCH("-",发货清单!H860)-1),发货清单!H860)</f>
        <v>0</v>
      </c>
      <c r="C860" t="str">
        <f>IFERROR(VLOOKUP(发货清单!A860,数据库!A:D,4,0),"")</f>
        <v/>
      </c>
      <c r="D860" t="str">
        <f>IFERROR(VLOOKUP(发货清单!A860,数据库!A:C,3,0),"")</f>
        <v/>
      </c>
      <c r="E860">
        <f>发货清单!M860</f>
        <v>0</v>
      </c>
      <c r="F860">
        <f>发货清单!U860</f>
        <v>0</v>
      </c>
      <c r="G860" t="str">
        <f>IFERROR(VLOOKUP(发货清单!A860,数据库!A:B,2,0),"")</f>
        <v/>
      </c>
      <c r="H860">
        <f>发货清单!N860</f>
        <v>0</v>
      </c>
      <c r="I860" t="str">
        <f t="shared" si="117"/>
        <v/>
      </c>
      <c r="J860" t="str">
        <f t="shared" si="118"/>
        <v xml:space="preserve"> </v>
      </c>
      <c r="K860" t="str">
        <f t="shared" si="119"/>
        <v/>
      </c>
      <c r="L860" t="str">
        <f t="shared" si="120"/>
        <v/>
      </c>
      <c r="N860" s="245">
        <f t="shared" si="121"/>
        <v>0</v>
      </c>
      <c r="O860" s="245">
        <f t="shared" si="122"/>
        <v>0</v>
      </c>
      <c r="P860" t="str">
        <f t="shared" si="123"/>
        <v/>
      </c>
      <c r="Q860" t="str">
        <f>IFERROR(VLOOKUP(P860,数据库!C:M,11,0),"")</f>
        <v/>
      </c>
      <c r="R860" t="str">
        <f t="shared" si="124"/>
        <v/>
      </c>
      <c r="S860">
        <f t="shared" si="125"/>
        <v>0</v>
      </c>
    </row>
    <row r="861" spans="1:19">
      <c r="A861" t="str">
        <f>IF(B861=0,"",发货清单!A861*10^6+COUNTIF($D$2:D861,D861)*10^3+ROW(A860))</f>
        <v/>
      </c>
      <c r="B861">
        <f>IFERROR(LEFT(发货清单!H861,SEARCH("-",发货清单!H861)-1),发货清单!H861)</f>
        <v>0</v>
      </c>
      <c r="C861" t="str">
        <f>IFERROR(VLOOKUP(发货清单!A861,数据库!A:D,4,0),"")</f>
        <v/>
      </c>
      <c r="D861" t="str">
        <f>IFERROR(VLOOKUP(发货清单!A861,数据库!A:C,3,0),"")</f>
        <v/>
      </c>
      <c r="E861">
        <f>发货清单!M861</f>
        <v>0</v>
      </c>
      <c r="F861">
        <f>发货清单!U861</f>
        <v>0</v>
      </c>
      <c r="G861" t="str">
        <f>IFERROR(VLOOKUP(发货清单!A861,数据库!A:B,2,0),"")</f>
        <v/>
      </c>
      <c r="H861">
        <f>发货清单!N861</f>
        <v>0</v>
      </c>
      <c r="I861" t="str">
        <f t="shared" si="117"/>
        <v/>
      </c>
      <c r="J861" t="str">
        <f t="shared" si="118"/>
        <v xml:space="preserve"> </v>
      </c>
      <c r="K861" t="str">
        <f t="shared" si="119"/>
        <v/>
      </c>
      <c r="L861" t="str">
        <f t="shared" si="120"/>
        <v/>
      </c>
      <c r="N861" s="245">
        <f t="shared" si="121"/>
        <v>0</v>
      </c>
      <c r="O861" s="245">
        <f t="shared" si="122"/>
        <v>0</v>
      </c>
      <c r="P861" t="str">
        <f t="shared" si="123"/>
        <v/>
      </c>
      <c r="Q861" t="str">
        <f>IFERROR(VLOOKUP(P861,数据库!C:M,11,0),"")</f>
        <v/>
      </c>
      <c r="R861" t="str">
        <f t="shared" si="124"/>
        <v/>
      </c>
      <c r="S861">
        <f t="shared" si="125"/>
        <v>0</v>
      </c>
    </row>
    <row r="862" spans="1:19">
      <c r="A862" t="str">
        <f>IF(B862=0,"",发货清单!A862*10^6+COUNTIF($D$2:D862,D862)*10^3+ROW(A861))</f>
        <v/>
      </c>
      <c r="B862">
        <f>IFERROR(LEFT(发货清单!H862,SEARCH("-",发货清单!H862)-1),发货清单!H862)</f>
        <v>0</v>
      </c>
      <c r="C862" t="str">
        <f>IFERROR(VLOOKUP(发货清单!A862,数据库!A:D,4,0),"")</f>
        <v/>
      </c>
      <c r="D862" t="str">
        <f>IFERROR(VLOOKUP(发货清单!A862,数据库!A:C,3,0),"")</f>
        <v/>
      </c>
      <c r="E862">
        <f>发货清单!M862</f>
        <v>0</v>
      </c>
      <c r="F862">
        <f>发货清单!U862</f>
        <v>0</v>
      </c>
      <c r="G862" t="str">
        <f>IFERROR(VLOOKUP(发货清单!A862,数据库!A:B,2,0),"")</f>
        <v/>
      </c>
      <c r="H862">
        <f>发货清单!N862</f>
        <v>0</v>
      </c>
      <c r="I862" t="str">
        <f t="shared" si="117"/>
        <v/>
      </c>
      <c r="J862" t="str">
        <f t="shared" si="118"/>
        <v xml:space="preserve"> </v>
      </c>
      <c r="K862" t="str">
        <f t="shared" si="119"/>
        <v/>
      </c>
      <c r="L862" t="str">
        <f t="shared" si="120"/>
        <v/>
      </c>
      <c r="N862" s="245">
        <f t="shared" si="121"/>
        <v>0</v>
      </c>
      <c r="O862" s="245">
        <f t="shared" si="122"/>
        <v>0</v>
      </c>
      <c r="P862" t="str">
        <f t="shared" si="123"/>
        <v/>
      </c>
      <c r="Q862" t="str">
        <f>IFERROR(VLOOKUP(P862,数据库!C:M,11,0),"")</f>
        <v/>
      </c>
      <c r="R862" t="str">
        <f t="shared" si="124"/>
        <v/>
      </c>
      <c r="S862">
        <f t="shared" si="125"/>
        <v>0</v>
      </c>
    </row>
    <row r="863" spans="1:19">
      <c r="A863" t="str">
        <f>IF(B863=0,"",发货清单!A863*10^6+COUNTIF($D$2:D863,D863)*10^3+ROW(A862))</f>
        <v/>
      </c>
      <c r="B863">
        <f>IFERROR(LEFT(发货清单!H863,SEARCH("-",发货清单!H863)-1),发货清单!H863)</f>
        <v>0</v>
      </c>
      <c r="C863" t="str">
        <f>IFERROR(VLOOKUP(发货清单!A863,数据库!A:D,4,0),"")</f>
        <v/>
      </c>
      <c r="D863" t="str">
        <f>IFERROR(VLOOKUP(发货清单!A863,数据库!A:C,3,0),"")</f>
        <v/>
      </c>
      <c r="E863">
        <f>发货清单!M863</f>
        <v>0</v>
      </c>
      <c r="F863">
        <f>发货清单!U863</f>
        <v>0</v>
      </c>
      <c r="G863" t="str">
        <f>IFERROR(VLOOKUP(发货清单!A863,数据库!A:B,2,0),"")</f>
        <v/>
      </c>
      <c r="H863">
        <f>发货清单!N863</f>
        <v>0</v>
      </c>
      <c r="I863" t="str">
        <f t="shared" si="117"/>
        <v/>
      </c>
      <c r="J863" t="str">
        <f t="shared" si="118"/>
        <v xml:space="preserve"> </v>
      </c>
      <c r="K863" t="str">
        <f t="shared" si="119"/>
        <v/>
      </c>
      <c r="L863" t="str">
        <f t="shared" si="120"/>
        <v/>
      </c>
      <c r="N863" s="245">
        <f t="shared" si="121"/>
        <v>0</v>
      </c>
      <c r="O863" s="245">
        <f t="shared" si="122"/>
        <v>0</v>
      </c>
      <c r="P863" t="str">
        <f t="shared" si="123"/>
        <v/>
      </c>
      <c r="Q863" t="str">
        <f>IFERROR(VLOOKUP(P863,数据库!C:M,11,0),"")</f>
        <v/>
      </c>
      <c r="R863" t="str">
        <f t="shared" si="124"/>
        <v/>
      </c>
      <c r="S863">
        <f t="shared" si="125"/>
        <v>0</v>
      </c>
    </row>
    <row r="864" spans="1:19">
      <c r="A864" t="str">
        <f>IF(B864=0,"",发货清单!A864*10^6+COUNTIF($D$2:D864,D864)*10^3+ROW(A863))</f>
        <v/>
      </c>
      <c r="B864">
        <f>IFERROR(LEFT(发货清单!H864,SEARCH("-",发货清单!H864)-1),发货清单!H864)</f>
        <v>0</v>
      </c>
      <c r="C864" t="str">
        <f>IFERROR(VLOOKUP(发货清单!A864,数据库!A:D,4,0),"")</f>
        <v/>
      </c>
      <c r="D864" t="str">
        <f>IFERROR(VLOOKUP(发货清单!A864,数据库!A:C,3,0),"")</f>
        <v/>
      </c>
      <c r="E864">
        <f>发货清单!M864</f>
        <v>0</v>
      </c>
      <c r="F864">
        <f>发货清单!U864</f>
        <v>0</v>
      </c>
      <c r="G864" t="str">
        <f>IFERROR(VLOOKUP(发货清单!A864,数据库!A:B,2,0),"")</f>
        <v/>
      </c>
      <c r="H864">
        <f>发货清单!N864</f>
        <v>0</v>
      </c>
      <c r="I864" t="str">
        <f t="shared" si="117"/>
        <v/>
      </c>
      <c r="J864" t="str">
        <f t="shared" si="118"/>
        <v xml:space="preserve"> </v>
      </c>
      <c r="K864" t="str">
        <f t="shared" si="119"/>
        <v/>
      </c>
      <c r="L864" t="str">
        <f t="shared" si="120"/>
        <v/>
      </c>
      <c r="N864" s="245">
        <f t="shared" si="121"/>
        <v>0</v>
      </c>
      <c r="O864" s="245">
        <f t="shared" si="122"/>
        <v>0</v>
      </c>
      <c r="P864" t="str">
        <f t="shared" si="123"/>
        <v/>
      </c>
      <c r="Q864" t="str">
        <f>IFERROR(VLOOKUP(P864,数据库!C:M,11,0),"")</f>
        <v/>
      </c>
      <c r="R864" t="str">
        <f t="shared" si="124"/>
        <v/>
      </c>
      <c r="S864">
        <f t="shared" si="125"/>
        <v>0</v>
      </c>
    </row>
    <row r="865" spans="1:19">
      <c r="A865" t="str">
        <f>IF(B865=0,"",发货清单!A865*10^6+COUNTIF($D$2:D865,D865)*10^3+ROW(A864))</f>
        <v/>
      </c>
      <c r="B865">
        <f>IFERROR(LEFT(发货清单!H865,SEARCH("-",发货清单!H865)-1),发货清单!H865)</f>
        <v>0</v>
      </c>
      <c r="C865" t="str">
        <f>IFERROR(VLOOKUP(发货清单!A865,数据库!A:D,4,0),"")</f>
        <v/>
      </c>
      <c r="D865" t="str">
        <f>IFERROR(VLOOKUP(发货清单!A865,数据库!A:C,3,0),"")</f>
        <v/>
      </c>
      <c r="E865">
        <f>发货清单!M865</f>
        <v>0</v>
      </c>
      <c r="F865">
        <f>发货清单!U865</f>
        <v>0</v>
      </c>
      <c r="G865" t="str">
        <f>IFERROR(VLOOKUP(发货清单!A865,数据库!A:B,2,0),"")</f>
        <v/>
      </c>
      <c r="H865">
        <f>发货清单!N865</f>
        <v>0</v>
      </c>
      <c r="I865" t="str">
        <f t="shared" si="117"/>
        <v/>
      </c>
      <c r="J865" t="str">
        <f t="shared" si="118"/>
        <v xml:space="preserve"> </v>
      </c>
      <c r="K865" t="str">
        <f t="shared" si="119"/>
        <v/>
      </c>
      <c r="L865" t="str">
        <f t="shared" si="120"/>
        <v/>
      </c>
      <c r="N865" s="245">
        <f t="shared" si="121"/>
        <v>0</v>
      </c>
      <c r="O865" s="245">
        <f t="shared" si="122"/>
        <v>0</v>
      </c>
      <c r="P865" t="str">
        <f t="shared" si="123"/>
        <v/>
      </c>
      <c r="Q865" t="str">
        <f>IFERROR(VLOOKUP(P865,数据库!C:M,11,0),"")</f>
        <v/>
      </c>
      <c r="R865" t="str">
        <f t="shared" si="124"/>
        <v/>
      </c>
      <c r="S865">
        <f t="shared" si="125"/>
        <v>0</v>
      </c>
    </row>
    <row r="866" spans="1:19">
      <c r="A866" t="str">
        <f>IF(B866=0,"",发货清单!A866*10^6+COUNTIF($D$2:D866,D866)*10^3+ROW(A865))</f>
        <v/>
      </c>
      <c r="B866">
        <f>IFERROR(LEFT(发货清单!H866,SEARCH("-",发货清单!H866)-1),发货清单!H866)</f>
        <v>0</v>
      </c>
      <c r="C866" t="str">
        <f>IFERROR(VLOOKUP(发货清单!A866,数据库!A:D,4,0),"")</f>
        <v/>
      </c>
      <c r="D866" t="str">
        <f>IFERROR(VLOOKUP(发货清单!A866,数据库!A:C,3,0),"")</f>
        <v/>
      </c>
      <c r="E866">
        <f>发货清单!M866</f>
        <v>0</v>
      </c>
      <c r="F866">
        <f>发货清单!U866</f>
        <v>0</v>
      </c>
      <c r="G866" t="str">
        <f>IFERROR(VLOOKUP(发货清单!A866,数据库!A:B,2,0),"")</f>
        <v/>
      </c>
      <c r="H866">
        <f>发货清单!N866</f>
        <v>0</v>
      </c>
      <c r="I866" t="str">
        <f t="shared" si="117"/>
        <v/>
      </c>
      <c r="J866" t="str">
        <f t="shared" si="118"/>
        <v xml:space="preserve"> </v>
      </c>
      <c r="K866" t="str">
        <f t="shared" si="119"/>
        <v/>
      </c>
      <c r="L866" t="str">
        <f t="shared" si="120"/>
        <v/>
      </c>
      <c r="N866" s="245">
        <f t="shared" si="121"/>
        <v>0</v>
      </c>
      <c r="O866" s="245">
        <f t="shared" si="122"/>
        <v>0</v>
      </c>
      <c r="P866" t="str">
        <f t="shared" si="123"/>
        <v/>
      </c>
      <c r="Q866" t="str">
        <f>IFERROR(VLOOKUP(P866,数据库!C:M,11,0),"")</f>
        <v/>
      </c>
      <c r="R866" t="str">
        <f t="shared" si="124"/>
        <v/>
      </c>
      <c r="S866">
        <f t="shared" si="125"/>
        <v>0</v>
      </c>
    </row>
    <row r="867" spans="1:19">
      <c r="A867" t="str">
        <f>IF(B867=0,"",发货清单!A867*10^6+COUNTIF($D$2:D867,D867)*10^3+ROW(A866))</f>
        <v/>
      </c>
      <c r="B867">
        <f>IFERROR(LEFT(发货清单!H867,SEARCH("-",发货清单!H867)-1),发货清单!H867)</f>
        <v>0</v>
      </c>
      <c r="C867" t="str">
        <f>IFERROR(VLOOKUP(发货清单!A867,数据库!A:D,4,0),"")</f>
        <v/>
      </c>
      <c r="D867" t="str">
        <f>IFERROR(VLOOKUP(发货清单!A867,数据库!A:C,3,0),"")</f>
        <v/>
      </c>
      <c r="E867">
        <f>发货清单!M867</f>
        <v>0</v>
      </c>
      <c r="F867">
        <f>发货清单!U867</f>
        <v>0</v>
      </c>
      <c r="G867" t="str">
        <f>IFERROR(VLOOKUP(发货清单!A867,数据库!A:B,2,0),"")</f>
        <v/>
      </c>
      <c r="H867">
        <f>发货清单!N867</f>
        <v>0</v>
      </c>
      <c r="I867" t="str">
        <f t="shared" si="117"/>
        <v/>
      </c>
      <c r="J867" t="str">
        <f t="shared" si="118"/>
        <v xml:space="preserve"> </v>
      </c>
      <c r="K867" t="str">
        <f t="shared" si="119"/>
        <v/>
      </c>
      <c r="L867" t="str">
        <f t="shared" si="120"/>
        <v/>
      </c>
      <c r="N867" s="245">
        <f t="shared" si="121"/>
        <v>0</v>
      </c>
      <c r="O867" s="245">
        <f t="shared" si="122"/>
        <v>0</v>
      </c>
      <c r="P867" t="str">
        <f t="shared" si="123"/>
        <v/>
      </c>
      <c r="Q867" t="str">
        <f>IFERROR(VLOOKUP(P867,数据库!C:M,11,0),"")</f>
        <v/>
      </c>
      <c r="R867" t="str">
        <f t="shared" si="124"/>
        <v/>
      </c>
      <c r="S867">
        <f t="shared" si="125"/>
        <v>0</v>
      </c>
    </row>
    <row r="868" spans="1:19">
      <c r="A868" t="str">
        <f>IF(B868=0,"",发货清单!A868*10^6+COUNTIF($D$2:D868,D868)*10^3+ROW(A867))</f>
        <v/>
      </c>
      <c r="B868">
        <f>IFERROR(LEFT(发货清单!H868,SEARCH("-",发货清单!H868)-1),发货清单!H868)</f>
        <v>0</v>
      </c>
      <c r="C868" t="str">
        <f>IFERROR(VLOOKUP(发货清单!A868,数据库!A:D,4,0),"")</f>
        <v/>
      </c>
      <c r="D868" t="str">
        <f>IFERROR(VLOOKUP(发货清单!A868,数据库!A:C,3,0),"")</f>
        <v/>
      </c>
      <c r="E868">
        <f>发货清单!M868</f>
        <v>0</v>
      </c>
      <c r="F868">
        <f>发货清单!U868</f>
        <v>0</v>
      </c>
      <c r="G868" t="str">
        <f>IFERROR(VLOOKUP(发货清单!A868,数据库!A:B,2,0),"")</f>
        <v/>
      </c>
      <c r="H868">
        <f>发货清单!N868</f>
        <v>0</v>
      </c>
      <c r="I868" t="str">
        <f t="shared" si="117"/>
        <v/>
      </c>
      <c r="J868" t="str">
        <f t="shared" si="118"/>
        <v xml:space="preserve"> </v>
      </c>
      <c r="K868" t="str">
        <f t="shared" si="119"/>
        <v/>
      </c>
      <c r="L868" t="str">
        <f t="shared" si="120"/>
        <v/>
      </c>
      <c r="N868" s="245">
        <f t="shared" si="121"/>
        <v>0</v>
      </c>
      <c r="O868" s="245">
        <f t="shared" si="122"/>
        <v>0</v>
      </c>
      <c r="P868" t="str">
        <f t="shared" si="123"/>
        <v/>
      </c>
      <c r="Q868" t="str">
        <f>IFERROR(VLOOKUP(P868,数据库!C:M,11,0),"")</f>
        <v/>
      </c>
      <c r="R868" t="str">
        <f t="shared" si="124"/>
        <v/>
      </c>
      <c r="S868">
        <f t="shared" si="125"/>
        <v>0</v>
      </c>
    </row>
    <row r="869" spans="1:19">
      <c r="A869" t="str">
        <f>IF(B869=0,"",发货清单!A869*10^6+COUNTIF($D$2:D869,D869)*10^3+ROW(A868))</f>
        <v/>
      </c>
      <c r="B869">
        <f>IFERROR(LEFT(发货清单!H869,SEARCH("-",发货清单!H869)-1),发货清单!H869)</f>
        <v>0</v>
      </c>
      <c r="C869" t="str">
        <f>IFERROR(VLOOKUP(发货清单!A869,数据库!A:D,4,0),"")</f>
        <v/>
      </c>
      <c r="D869" t="str">
        <f>IFERROR(VLOOKUP(发货清单!A869,数据库!A:C,3,0),"")</f>
        <v/>
      </c>
      <c r="E869">
        <f>发货清单!M869</f>
        <v>0</v>
      </c>
      <c r="F869">
        <f>发货清单!U869</f>
        <v>0</v>
      </c>
      <c r="G869" t="str">
        <f>IFERROR(VLOOKUP(发货清单!A869,数据库!A:B,2,0),"")</f>
        <v/>
      </c>
      <c r="H869">
        <f>发货清单!N869</f>
        <v>0</v>
      </c>
      <c r="I869" t="str">
        <f t="shared" si="117"/>
        <v/>
      </c>
      <c r="J869" t="str">
        <f t="shared" si="118"/>
        <v xml:space="preserve"> </v>
      </c>
      <c r="K869" t="str">
        <f t="shared" si="119"/>
        <v/>
      </c>
      <c r="L869" t="str">
        <f t="shared" si="120"/>
        <v/>
      </c>
      <c r="N869" s="245">
        <f t="shared" si="121"/>
        <v>0</v>
      </c>
      <c r="O869" s="245">
        <f t="shared" si="122"/>
        <v>0</v>
      </c>
      <c r="P869" t="str">
        <f t="shared" si="123"/>
        <v/>
      </c>
      <c r="Q869" t="str">
        <f>IFERROR(VLOOKUP(P869,数据库!C:M,11,0),"")</f>
        <v/>
      </c>
      <c r="R869" t="str">
        <f t="shared" si="124"/>
        <v/>
      </c>
      <c r="S869">
        <f t="shared" si="125"/>
        <v>0</v>
      </c>
    </row>
    <row r="870" spans="1:19">
      <c r="A870" t="str">
        <f>IF(B870=0,"",发货清单!A870*10^6+COUNTIF($D$2:D870,D870)*10^3+ROW(A869))</f>
        <v/>
      </c>
      <c r="B870">
        <f>IFERROR(LEFT(发货清单!H870,SEARCH("-",发货清单!H870)-1),发货清单!H870)</f>
        <v>0</v>
      </c>
      <c r="C870" t="str">
        <f>IFERROR(VLOOKUP(发货清单!A870,数据库!A:D,4,0),"")</f>
        <v/>
      </c>
      <c r="D870" t="str">
        <f>IFERROR(VLOOKUP(发货清单!A870,数据库!A:C,3,0),"")</f>
        <v/>
      </c>
      <c r="E870">
        <f>发货清单!M870</f>
        <v>0</v>
      </c>
      <c r="F870">
        <f>发货清单!U870</f>
        <v>0</v>
      </c>
      <c r="G870" t="str">
        <f>IFERROR(VLOOKUP(发货清单!A870,数据库!A:B,2,0),"")</f>
        <v/>
      </c>
      <c r="H870">
        <f>发货清单!N870</f>
        <v>0</v>
      </c>
      <c r="I870" t="str">
        <f t="shared" si="117"/>
        <v/>
      </c>
      <c r="J870" t="str">
        <f t="shared" si="118"/>
        <v xml:space="preserve"> </v>
      </c>
      <c r="K870" t="str">
        <f t="shared" si="119"/>
        <v/>
      </c>
      <c r="L870" t="str">
        <f t="shared" si="120"/>
        <v/>
      </c>
      <c r="N870" s="245">
        <f t="shared" si="121"/>
        <v>0</v>
      </c>
      <c r="O870" s="245">
        <f t="shared" si="122"/>
        <v>0</v>
      </c>
      <c r="P870" t="str">
        <f t="shared" si="123"/>
        <v/>
      </c>
      <c r="Q870" t="str">
        <f>IFERROR(VLOOKUP(P870,数据库!C:M,11,0),"")</f>
        <v/>
      </c>
      <c r="R870" t="str">
        <f t="shared" si="124"/>
        <v/>
      </c>
      <c r="S870">
        <f t="shared" si="125"/>
        <v>0</v>
      </c>
    </row>
    <row r="871" spans="1:19">
      <c r="A871" t="str">
        <f>IF(B871=0,"",发货清单!A871*10^6+COUNTIF($D$2:D871,D871)*10^3+ROW(A870))</f>
        <v/>
      </c>
      <c r="B871">
        <f>IFERROR(LEFT(发货清单!H871,SEARCH("-",发货清单!H871)-1),发货清单!H871)</f>
        <v>0</v>
      </c>
      <c r="C871" t="str">
        <f>IFERROR(VLOOKUP(发货清单!A871,数据库!A:D,4,0),"")</f>
        <v/>
      </c>
      <c r="D871" t="str">
        <f>IFERROR(VLOOKUP(发货清单!A871,数据库!A:C,3,0),"")</f>
        <v/>
      </c>
      <c r="E871">
        <f>发货清单!M871</f>
        <v>0</v>
      </c>
      <c r="F871">
        <f>发货清单!U871</f>
        <v>0</v>
      </c>
      <c r="G871" t="str">
        <f>IFERROR(VLOOKUP(发货清单!A871,数据库!A:B,2,0),"")</f>
        <v/>
      </c>
      <c r="H871">
        <f>发货清单!N871</f>
        <v>0</v>
      </c>
      <c r="I871" t="str">
        <f t="shared" si="117"/>
        <v/>
      </c>
      <c r="J871" t="str">
        <f t="shared" si="118"/>
        <v xml:space="preserve"> </v>
      </c>
      <c r="K871" t="str">
        <f t="shared" si="119"/>
        <v/>
      </c>
      <c r="L871" t="str">
        <f t="shared" si="120"/>
        <v/>
      </c>
      <c r="N871" s="245">
        <f t="shared" si="121"/>
        <v>0</v>
      </c>
      <c r="O871" s="245">
        <f t="shared" si="122"/>
        <v>0</v>
      </c>
      <c r="P871" t="str">
        <f t="shared" si="123"/>
        <v/>
      </c>
      <c r="Q871" t="str">
        <f>IFERROR(VLOOKUP(P871,数据库!C:M,11,0),"")</f>
        <v/>
      </c>
      <c r="R871" t="str">
        <f t="shared" si="124"/>
        <v/>
      </c>
      <c r="S871">
        <f t="shared" si="125"/>
        <v>0</v>
      </c>
    </row>
    <row r="872" spans="1:19">
      <c r="A872" t="str">
        <f>IF(B872=0,"",发货清单!A872*10^6+COUNTIF($D$2:D872,D872)*10^3+ROW(A871))</f>
        <v/>
      </c>
      <c r="B872">
        <f>IFERROR(LEFT(发货清单!H872,SEARCH("-",发货清单!H872)-1),发货清单!H872)</f>
        <v>0</v>
      </c>
      <c r="C872" t="str">
        <f>IFERROR(VLOOKUP(发货清单!A872,数据库!A:D,4,0),"")</f>
        <v/>
      </c>
      <c r="D872" t="str">
        <f>IFERROR(VLOOKUP(发货清单!A872,数据库!A:C,3,0),"")</f>
        <v/>
      </c>
      <c r="E872">
        <f>发货清单!M872</f>
        <v>0</v>
      </c>
      <c r="F872">
        <f>发货清单!U872</f>
        <v>0</v>
      </c>
      <c r="G872" t="str">
        <f>IFERROR(VLOOKUP(发货清单!A872,数据库!A:B,2,0),"")</f>
        <v/>
      </c>
      <c r="H872">
        <f>发货清单!N872</f>
        <v>0</v>
      </c>
      <c r="I872" t="str">
        <f t="shared" si="117"/>
        <v/>
      </c>
      <c r="J872" t="str">
        <f t="shared" si="118"/>
        <v xml:space="preserve"> </v>
      </c>
      <c r="K872" t="str">
        <f t="shared" si="119"/>
        <v/>
      </c>
      <c r="L872" t="str">
        <f t="shared" si="120"/>
        <v/>
      </c>
      <c r="N872" s="245">
        <f t="shared" si="121"/>
        <v>0</v>
      </c>
      <c r="O872" s="245">
        <f t="shared" si="122"/>
        <v>0</v>
      </c>
      <c r="P872" t="str">
        <f t="shared" si="123"/>
        <v/>
      </c>
      <c r="Q872" t="str">
        <f>IFERROR(VLOOKUP(P872,数据库!C:M,11,0),"")</f>
        <v/>
      </c>
      <c r="R872" t="str">
        <f t="shared" si="124"/>
        <v/>
      </c>
      <c r="S872">
        <f t="shared" si="125"/>
        <v>0</v>
      </c>
    </row>
    <row r="873" spans="1:19">
      <c r="A873" t="str">
        <f>IF(B873=0,"",发货清单!A873*10^6+COUNTIF($D$2:D873,D873)*10^3+ROW(A872))</f>
        <v/>
      </c>
      <c r="B873">
        <f>IFERROR(LEFT(发货清单!H873,SEARCH("-",发货清单!H873)-1),发货清单!H873)</f>
        <v>0</v>
      </c>
      <c r="C873" t="str">
        <f>IFERROR(VLOOKUP(发货清单!A873,数据库!A:D,4,0),"")</f>
        <v/>
      </c>
      <c r="D873" t="str">
        <f>IFERROR(VLOOKUP(发货清单!A873,数据库!A:C,3,0),"")</f>
        <v/>
      </c>
      <c r="E873">
        <f>发货清单!M873</f>
        <v>0</v>
      </c>
      <c r="F873">
        <f>发货清单!U873</f>
        <v>0</v>
      </c>
      <c r="G873" t="str">
        <f>IFERROR(VLOOKUP(发货清单!A873,数据库!A:B,2,0),"")</f>
        <v/>
      </c>
      <c r="H873">
        <f>发货清单!N873</f>
        <v>0</v>
      </c>
      <c r="I873" t="str">
        <f t="shared" si="117"/>
        <v/>
      </c>
      <c r="J873" t="str">
        <f t="shared" si="118"/>
        <v xml:space="preserve"> </v>
      </c>
      <c r="K873" t="str">
        <f t="shared" si="119"/>
        <v/>
      </c>
      <c r="L873" t="str">
        <f t="shared" si="120"/>
        <v/>
      </c>
      <c r="N873" s="245">
        <f t="shared" si="121"/>
        <v>0</v>
      </c>
      <c r="O873" s="245">
        <f t="shared" si="122"/>
        <v>0</v>
      </c>
      <c r="P873" t="str">
        <f t="shared" si="123"/>
        <v/>
      </c>
      <c r="Q873" t="str">
        <f>IFERROR(VLOOKUP(P873,数据库!C:M,11,0),"")</f>
        <v/>
      </c>
      <c r="R873" t="str">
        <f t="shared" si="124"/>
        <v/>
      </c>
      <c r="S873">
        <f t="shared" si="125"/>
        <v>0</v>
      </c>
    </row>
    <row r="874" spans="1:19">
      <c r="A874" t="str">
        <f>IF(B874=0,"",发货清单!A874*10^6+COUNTIF($D$2:D874,D874)*10^3+ROW(A873))</f>
        <v/>
      </c>
      <c r="B874">
        <f>IFERROR(LEFT(发货清单!H874,SEARCH("-",发货清单!H874)-1),发货清单!H874)</f>
        <v>0</v>
      </c>
      <c r="C874" t="str">
        <f>IFERROR(VLOOKUP(发货清单!A874,数据库!A:D,4,0),"")</f>
        <v/>
      </c>
      <c r="D874" t="str">
        <f>IFERROR(VLOOKUP(发货清单!A874,数据库!A:C,3,0),"")</f>
        <v/>
      </c>
      <c r="E874">
        <f>发货清单!M874</f>
        <v>0</v>
      </c>
      <c r="F874">
        <f>发货清单!U874</f>
        <v>0</v>
      </c>
      <c r="G874" t="str">
        <f>IFERROR(VLOOKUP(发货清单!A874,数据库!A:B,2,0),"")</f>
        <v/>
      </c>
      <c r="H874">
        <f>发货清单!N874</f>
        <v>0</v>
      </c>
      <c r="I874" t="str">
        <f t="shared" si="117"/>
        <v/>
      </c>
      <c r="J874" t="str">
        <f t="shared" si="118"/>
        <v xml:space="preserve"> </v>
      </c>
      <c r="K874" t="str">
        <f t="shared" si="119"/>
        <v/>
      </c>
      <c r="L874" t="str">
        <f t="shared" si="120"/>
        <v/>
      </c>
      <c r="N874" s="245">
        <f t="shared" si="121"/>
        <v>0</v>
      </c>
      <c r="O874" s="245">
        <f t="shared" si="122"/>
        <v>0</v>
      </c>
      <c r="P874" t="str">
        <f t="shared" si="123"/>
        <v/>
      </c>
      <c r="Q874" t="str">
        <f>IFERROR(VLOOKUP(P874,数据库!C:M,11,0),"")</f>
        <v/>
      </c>
      <c r="R874" t="str">
        <f t="shared" si="124"/>
        <v/>
      </c>
      <c r="S874">
        <f t="shared" si="125"/>
        <v>0</v>
      </c>
    </row>
    <row r="875" spans="1:19">
      <c r="A875" t="str">
        <f>IF(B875=0,"",发货清单!A875*10^6+COUNTIF($D$2:D875,D875)*10^3+ROW(A874))</f>
        <v/>
      </c>
      <c r="B875">
        <f>IFERROR(LEFT(发货清单!H875,SEARCH("-",发货清单!H875)-1),发货清单!H875)</f>
        <v>0</v>
      </c>
      <c r="C875" t="str">
        <f>IFERROR(VLOOKUP(发货清单!A875,数据库!A:D,4,0),"")</f>
        <v/>
      </c>
      <c r="D875" t="str">
        <f>IFERROR(VLOOKUP(发货清单!A875,数据库!A:C,3,0),"")</f>
        <v/>
      </c>
      <c r="E875">
        <f>发货清单!M875</f>
        <v>0</v>
      </c>
      <c r="F875">
        <f>发货清单!U875</f>
        <v>0</v>
      </c>
      <c r="G875" t="str">
        <f>IFERROR(VLOOKUP(发货清单!A875,数据库!A:B,2,0),"")</f>
        <v/>
      </c>
      <c r="H875">
        <f>发货清单!N875</f>
        <v>0</v>
      </c>
      <c r="I875" t="str">
        <f t="shared" si="117"/>
        <v/>
      </c>
      <c r="J875" t="str">
        <f t="shared" si="118"/>
        <v xml:space="preserve"> </v>
      </c>
      <c r="K875" t="str">
        <f t="shared" si="119"/>
        <v/>
      </c>
      <c r="L875" t="str">
        <f t="shared" si="120"/>
        <v/>
      </c>
      <c r="N875" s="245">
        <f t="shared" si="121"/>
        <v>0</v>
      </c>
      <c r="O875" s="245">
        <f t="shared" si="122"/>
        <v>0</v>
      </c>
      <c r="P875" t="str">
        <f t="shared" si="123"/>
        <v/>
      </c>
      <c r="Q875" t="str">
        <f>IFERROR(VLOOKUP(P875,数据库!C:M,11,0),"")</f>
        <v/>
      </c>
      <c r="R875" t="str">
        <f t="shared" si="124"/>
        <v/>
      </c>
      <c r="S875">
        <f t="shared" si="125"/>
        <v>0</v>
      </c>
    </row>
    <row r="876" spans="1:19">
      <c r="A876" t="str">
        <f>IF(B876=0,"",发货清单!A876*10^6+COUNTIF($D$2:D876,D876)*10^3+ROW(A875))</f>
        <v/>
      </c>
      <c r="B876">
        <f>IFERROR(LEFT(发货清单!H876,SEARCH("-",发货清单!H876)-1),发货清单!H876)</f>
        <v>0</v>
      </c>
      <c r="C876" t="str">
        <f>IFERROR(VLOOKUP(发货清单!A876,数据库!A:D,4,0),"")</f>
        <v/>
      </c>
      <c r="D876" t="str">
        <f>IFERROR(VLOOKUP(发货清单!A876,数据库!A:C,3,0),"")</f>
        <v/>
      </c>
      <c r="E876">
        <f>发货清单!M876</f>
        <v>0</v>
      </c>
      <c r="F876">
        <f>发货清单!U876</f>
        <v>0</v>
      </c>
      <c r="G876" t="str">
        <f>IFERROR(VLOOKUP(发货清单!A876,数据库!A:B,2,0),"")</f>
        <v/>
      </c>
      <c r="H876">
        <f>发货清单!N876</f>
        <v>0</v>
      </c>
      <c r="I876" t="str">
        <f t="shared" si="117"/>
        <v/>
      </c>
      <c r="J876" t="str">
        <f t="shared" si="118"/>
        <v xml:space="preserve"> </v>
      </c>
      <c r="K876" t="str">
        <f t="shared" si="119"/>
        <v/>
      </c>
      <c r="L876" t="str">
        <f t="shared" si="120"/>
        <v/>
      </c>
      <c r="N876" s="245">
        <f t="shared" si="121"/>
        <v>0</v>
      </c>
      <c r="O876" s="245">
        <f t="shared" si="122"/>
        <v>0</v>
      </c>
      <c r="P876" t="str">
        <f t="shared" si="123"/>
        <v/>
      </c>
      <c r="Q876" t="str">
        <f>IFERROR(VLOOKUP(P876,数据库!C:M,11,0),"")</f>
        <v/>
      </c>
      <c r="R876" t="str">
        <f t="shared" si="124"/>
        <v/>
      </c>
      <c r="S876">
        <f t="shared" si="125"/>
        <v>0</v>
      </c>
    </row>
    <row r="877" spans="1:19">
      <c r="A877" t="str">
        <f>IF(B877=0,"",发货清单!A877*10^6+COUNTIF($D$2:D877,D877)*10^3+ROW(A876))</f>
        <v/>
      </c>
      <c r="B877">
        <f>IFERROR(LEFT(发货清单!H877,SEARCH("-",发货清单!H877)-1),发货清单!H877)</f>
        <v>0</v>
      </c>
      <c r="C877" t="str">
        <f>IFERROR(VLOOKUP(发货清单!A877,数据库!A:D,4,0),"")</f>
        <v/>
      </c>
      <c r="D877" t="str">
        <f>IFERROR(VLOOKUP(发货清单!A877,数据库!A:C,3,0),"")</f>
        <v/>
      </c>
      <c r="E877">
        <f>发货清单!M877</f>
        <v>0</v>
      </c>
      <c r="F877">
        <f>发货清单!U877</f>
        <v>0</v>
      </c>
      <c r="G877" t="str">
        <f>IFERROR(VLOOKUP(发货清单!A877,数据库!A:B,2,0),"")</f>
        <v/>
      </c>
      <c r="H877">
        <f>发货清单!N877</f>
        <v>0</v>
      </c>
      <c r="I877" t="str">
        <f t="shared" si="117"/>
        <v/>
      </c>
      <c r="J877" t="str">
        <f t="shared" si="118"/>
        <v xml:space="preserve"> </v>
      </c>
      <c r="K877" t="str">
        <f t="shared" si="119"/>
        <v/>
      </c>
      <c r="L877" t="str">
        <f t="shared" si="120"/>
        <v/>
      </c>
      <c r="N877" s="245">
        <f t="shared" si="121"/>
        <v>0</v>
      </c>
      <c r="O877" s="245">
        <f t="shared" si="122"/>
        <v>0</v>
      </c>
      <c r="P877" t="str">
        <f t="shared" si="123"/>
        <v/>
      </c>
      <c r="Q877" t="str">
        <f>IFERROR(VLOOKUP(P877,数据库!C:M,11,0),"")</f>
        <v/>
      </c>
      <c r="R877" t="str">
        <f t="shared" si="124"/>
        <v/>
      </c>
      <c r="S877">
        <f t="shared" si="125"/>
        <v>0</v>
      </c>
    </row>
    <row r="878" spans="1:19">
      <c r="A878" t="str">
        <f>IF(B878=0,"",发货清单!A878*10^6+COUNTIF($D$2:D878,D878)*10^3+ROW(A877))</f>
        <v/>
      </c>
      <c r="B878">
        <f>IFERROR(LEFT(发货清单!H878,SEARCH("-",发货清单!H878)-1),发货清单!H878)</f>
        <v>0</v>
      </c>
      <c r="C878" t="str">
        <f>IFERROR(VLOOKUP(发货清单!A878,数据库!A:D,4,0),"")</f>
        <v/>
      </c>
      <c r="D878" t="str">
        <f>IFERROR(VLOOKUP(发货清单!A878,数据库!A:C,3,0),"")</f>
        <v/>
      </c>
      <c r="E878">
        <f>发货清单!M878</f>
        <v>0</v>
      </c>
      <c r="F878">
        <f>发货清单!U878</f>
        <v>0</v>
      </c>
      <c r="G878" t="str">
        <f>IFERROR(VLOOKUP(发货清单!A878,数据库!A:B,2,0),"")</f>
        <v/>
      </c>
      <c r="H878">
        <f>发货清单!N878</f>
        <v>0</v>
      </c>
      <c r="I878" t="str">
        <f t="shared" si="117"/>
        <v/>
      </c>
      <c r="J878" t="str">
        <f t="shared" si="118"/>
        <v xml:space="preserve"> </v>
      </c>
      <c r="K878" t="str">
        <f t="shared" si="119"/>
        <v/>
      </c>
      <c r="L878" t="str">
        <f t="shared" si="120"/>
        <v/>
      </c>
      <c r="N878" s="245">
        <f t="shared" si="121"/>
        <v>0</v>
      </c>
      <c r="O878" s="245">
        <f t="shared" si="122"/>
        <v>0</v>
      </c>
      <c r="P878" t="str">
        <f t="shared" si="123"/>
        <v/>
      </c>
      <c r="Q878" t="str">
        <f>IFERROR(VLOOKUP(P878,数据库!C:M,11,0),"")</f>
        <v/>
      </c>
      <c r="R878" t="str">
        <f t="shared" si="124"/>
        <v/>
      </c>
      <c r="S878">
        <f t="shared" si="125"/>
        <v>0</v>
      </c>
    </row>
    <row r="879" spans="1:19">
      <c r="A879" t="str">
        <f>IF(B879=0,"",发货清单!A879*10^6+COUNTIF($D$2:D879,D879)*10^3+ROW(A878))</f>
        <v/>
      </c>
      <c r="B879">
        <f>IFERROR(LEFT(发货清单!H879,SEARCH("-",发货清单!H879)-1),发货清单!H879)</f>
        <v>0</v>
      </c>
      <c r="C879" t="str">
        <f>IFERROR(VLOOKUP(发货清单!A879,数据库!A:D,4,0),"")</f>
        <v/>
      </c>
      <c r="D879" t="str">
        <f>IFERROR(VLOOKUP(发货清单!A879,数据库!A:C,3,0),"")</f>
        <v/>
      </c>
      <c r="E879">
        <f>发货清单!M879</f>
        <v>0</v>
      </c>
      <c r="F879">
        <f>发货清单!U879</f>
        <v>0</v>
      </c>
      <c r="G879" t="str">
        <f>IFERROR(VLOOKUP(发货清单!A879,数据库!A:B,2,0),"")</f>
        <v/>
      </c>
      <c r="H879">
        <f>发货清单!N879</f>
        <v>0</v>
      </c>
      <c r="I879" t="str">
        <f t="shared" si="117"/>
        <v/>
      </c>
      <c r="J879" t="str">
        <f t="shared" si="118"/>
        <v xml:space="preserve"> </v>
      </c>
      <c r="K879" t="str">
        <f t="shared" si="119"/>
        <v/>
      </c>
      <c r="L879" t="str">
        <f t="shared" si="120"/>
        <v/>
      </c>
      <c r="N879" s="245">
        <f t="shared" si="121"/>
        <v>0</v>
      </c>
      <c r="O879" s="245">
        <f t="shared" si="122"/>
        <v>0</v>
      </c>
      <c r="P879" t="str">
        <f t="shared" si="123"/>
        <v/>
      </c>
      <c r="Q879" t="str">
        <f>IFERROR(VLOOKUP(P879,数据库!C:M,11,0),"")</f>
        <v/>
      </c>
      <c r="R879" t="str">
        <f t="shared" si="124"/>
        <v/>
      </c>
      <c r="S879">
        <f t="shared" si="125"/>
        <v>0</v>
      </c>
    </row>
    <row r="880" spans="1:19">
      <c r="A880" t="str">
        <f>IF(B880=0,"",发货清单!A880*10^6+COUNTIF($D$2:D880,D880)*10^3+ROW(A879))</f>
        <v/>
      </c>
      <c r="B880">
        <f>IFERROR(LEFT(发货清单!H880,SEARCH("-",发货清单!H880)-1),发货清单!H880)</f>
        <v>0</v>
      </c>
      <c r="C880" t="str">
        <f>IFERROR(VLOOKUP(发货清单!A880,数据库!A:D,4,0),"")</f>
        <v/>
      </c>
      <c r="D880" t="str">
        <f>IFERROR(VLOOKUP(发货清单!A880,数据库!A:C,3,0),"")</f>
        <v/>
      </c>
      <c r="E880">
        <f>发货清单!M880</f>
        <v>0</v>
      </c>
      <c r="F880">
        <f>发货清单!U880</f>
        <v>0</v>
      </c>
      <c r="G880" t="str">
        <f>IFERROR(VLOOKUP(发货清单!A880,数据库!A:B,2,0),"")</f>
        <v/>
      </c>
      <c r="H880">
        <f>发货清单!N880</f>
        <v>0</v>
      </c>
      <c r="I880" t="str">
        <f t="shared" si="117"/>
        <v/>
      </c>
      <c r="J880" t="str">
        <f t="shared" si="118"/>
        <v xml:space="preserve"> </v>
      </c>
      <c r="K880" t="str">
        <f t="shared" si="119"/>
        <v/>
      </c>
      <c r="L880" t="str">
        <f t="shared" si="120"/>
        <v/>
      </c>
      <c r="N880" s="245">
        <f t="shared" si="121"/>
        <v>0</v>
      </c>
      <c r="O880" s="245">
        <f t="shared" si="122"/>
        <v>0</v>
      </c>
      <c r="P880" t="str">
        <f t="shared" si="123"/>
        <v/>
      </c>
      <c r="Q880" t="str">
        <f>IFERROR(VLOOKUP(P880,数据库!C:M,11,0),"")</f>
        <v/>
      </c>
      <c r="R880" t="str">
        <f t="shared" si="124"/>
        <v/>
      </c>
      <c r="S880">
        <f t="shared" si="125"/>
        <v>0</v>
      </c>
    </row>
    <row r="881" spans="1:19">
      <c r="A881" t="str">
        <f>IF(B881=0,"",发货清单!A881*10^6+COUNTIF($D$2:D881,D881)*10^3+ROW(A880))</f>
        <v/>
      </c>
      <c r="B881">
        <f>IFERROR(LEFT(发货清单!H881,SEARCH("-",发货清单!H881)-1),发货清单!H881)</f>
        <v>0</v>
      </c>
      <c r="C881" t="str">
        <f>IFERROR(VLOOKUP(发货清单!A881,数据库!A:D,4,0),"")</f>
        <v/>
      </c>
      <c r="D881" t="str">
        <f>IFERROR(VLOOKUP(发货清单!A881,数据库!A:C,3,0),"")</f>
        <v/>
      </c>
      <c r="E881">
        <f>发货清单!M881</f>
        <v>0</v>
      </c>
      <c r="F881">
        <f>发货清单!U881</f>
        <v>0</v>
      </c>
      <c r="G881" t="str">
        <f>IFERROR(VLOOKUP(发货清单!A881,数据库!A:B,2,0),"")</f>
        <v/>
      </c>
      <c r="H881">
        <f>发货清单!N881</f>
        <v>0</v>
      </c>
      <c r="I881" t="str">
        <f t="shared" si="117"/>
        <v/>
      </c>
      <c r="J881" t="str">
        <f t="shared" si="118"/>
        <v xml:space="preserve"> </v>
      </c>
      <c r="K881" t="str">
        <f t="shared" si="119"/>
        <v/>
      </c>
      <c r="L881" t="str">
        <f t="shared" si="120"/>
        <v/>
      </c>
      <c r="N881" s="245">
        <f t="shared" si="121"/>
        <v>0</v>
      </c>
      <c r="O881" s="245">
        <f t="shared" si="122"/>
        <v>0</v>
      </c>
      <c r="P881" t="str">
        <f t="shared" si="123"/>
        <v/>
      </c>
      <c r="Q881" t="str">
        <f>IFERROR(VLOOKUP(P881,数据库!C:M,11,0),"")</f>
        <v/>
      </c>
      <c r="R881" t="str">
        <f t="shared" si="124"/>
        <v/>
      </c>
      <c r="S881">
        <f t="shared" si="125"/>
        <v>0</v>
      </c>
    </row>
    <row r="882" spans="1:19">
      <c r="A882" t="str">
        <f>IF(B882=0,"",发货清单!A882*10^6+COUNTIF($D$2:D882,D882)*10^3+ROW(A881))</f>
        <v/>
      </c>
      <c r="B882">
        <f>IFERROR(LEFT(发货清单!H882,SEARCH("-",发货清单!H882)-1),发货清单!H882)</f>
        <v>0</v>
      </c>
      <c r="C882" t="str">
        <f>IFERROR(VLOOKUP(发货清单!A882,数据库!A:D,4,0),"")</f>
        <v/>
      </c>
      <c r="D882" t="str">
        <f>IFERROR(VLOOKUP(发货清单!A882,数据库!A:C,3,0),"")</f>
        <v/>
      </c>
      <c r="E882">
        <f>发货清单!M882</f>
        <v>0</v>
      </c>
      <c r="F882">
        <f>发货清单!U882</f>
        <v>0</v>
      </c>
      <c r="G882" t="str">
        <f>IFERROR(VLOOKUP(发货清单!A882,数据库!A:B,2,0),"")</f>
        <v/>
      </c>
      <c r="H882">
        <f>发货清单!N882</f>
        <v>0</v>
      </c>
      <c r="I882" t="str">
        <f t="shared" si="117"/>
        <v/>
      </c>
      <c r="J882" t="str">
        <f t="shared" si="118"/>
        <v xml:space="preserve"> </v>
      </c>
      <c r="K882" t="str">
        <f t="shared" si="119"/>
        <v/>
      </c>
      <c r="L882" t="str">
        <f t="shared" si="120"/>
        <v/>
      </c>
      <c r="N882" s="245">
        <f t="shared" si="121"/>
        <v>0</v>
      </c>
      <c r="O882" s="245">
        <f t="shared" si="122"/>
        <v>0</v>
      </c>
      <c r="P882" t="str">
        <f t="shared" si="123"/>
        <v/>
      </c>
      <c r="Q882" t="str">
        <f>IFERROR(VLOOKUP(P882,数据库!C:M,11,0),"")</f>
        <v/>
      </c>
      <c r="R882" t="str">
        <f t="shared" si="124"/>
        <v/>
      </c>
      <c r="S882">
        <f t="shared" si="125"/>
        <v>0</v>
      </c>
    </row>
    <row r="883" spans="1:19">
      <c r="A883" t="str">
        <f>IF(B883=0,"",发货清单!A883*10^6+COUNTIF($D$2:D883,D883)*10^3+ROW(A882))</f>
        <v/>
      </c>
      <c r="B883">
        <f>IFERROR(LEFT(发货清单!H883,SEARCH("-",发货清单!H883)-1),发货清单!H883)</f>
        <v>0</v>
      </c>
      <c r="C883" t="str">
        <f>IFERROR(VLOOKUP(发货清单!A883,数据库!A:D,4,0),"")</f>
        <v/>
      </c>
      <c r="D883" t="str">
        <f>IFERROR(VLOOKUP(发货清单!A883,数据库!A:C,3,0),"")</f>
        <v/>
      </c>
      <c r="E883">
        <f>发货清单!M883</f>
        <v>0</v>
      </c>
      <c r="F883">
        <f>发货清单!U883</f>
        <v>0</v>
      </c>
      <c r="G883" t="str">
        <f>IFERROR(VLOOKUP(发货清单!A883,数据库!A:B,2,0),"")</f>
        <v/>
      </c>
      <c r="H883">
        <f>发货清单!N883</f>
        <v>0</v>
      </c>
      <c r="I883" t="str">
        <f t="shared" si="117"/>
        <v/>
      </c>
      <c r="J883" t="str">
        <f t="shared" si="118"/>
        <v xml:space="preserve"> </v>
      </c>
      <c r="K883" t="str">
        <f t="shared" si="119"/>
        <v/>
      </c>
      <c r="L883" t="str">
        <f t="shared" si="120"/>
        <v/>
      </c>
      <c r="N883" s="245">
        <f t="shared" si="121"/>
        <v>0</v>
      </c>
      <c r="O883" s="245">
        <f t="shared" si="122"/>
        <v>0</v>
      </c>
      <c r="P883" t="str">
        <f t="shared" si="123"/>
        <v/>
      </c>
      <c r="Q883" t="str">
        <f>IFERROR(VLOOKUP(P883,数据库!C:M,11,0),"")</f>
        <v/>
      </c>
      <c r="R883" t="str">
        <f t="shared" si="124"/>
        <v/>
      </c>
      <c r="S883">
        <f t="shared" si="125"/>
        <v>0</v>
      </c>
    </row>
    <row r="884" spans="1:19">
      <c r="A884" t="str">
        <f>IF(B884=0,"",发货清单!A884*10^6+COUNTIF($D$2:D884,D884)*10^3+ROW(A883))</f>
        <v/>
      </c>
      <c r="B884">
        <f>IFERROR(LEFT(发货清单!H884,SEARCH("-",发货清单!H884)-1),发货清单!H884)</f>
        <v>0</v>
      </c>
      <c r="C884" t="str">
        <f>IFERROR(VLOOKUP(发货清单!A884,数据库!A:D,4,0),"")</f>
        <v/>
      </c>
      <c r="D884" t="str">
        <f>IFERROR(VLOOKUP(发货清单!A884,数据库!A:C,3,0),"")</f>
        <v/>
      </c>
      <c r="E884">
        <f>发货清单!M884</f>
        <v>0</v>
      </c>
      <c r="F884">
        <f>发货清单!U884</f>
        <v>0</v>
      </c>
      <c r="G884" t="str">
        <f>IFERROR(VLOOKUP(发货清单!A884,数据库!A:B,2,0),"")</f>
        <v/>
      </c>
      <c r="H884">
        <f>发货清单!N884</f>
        <v>0</v>
      </c>
      <c r="I884" t="str">
        <f t="shared" si="117"/>
        <v/>
      </c>
      <c r="J884" t="str">
        <f t="shared" si="118"/>
        <v xml:space="preserve"> </v>
      </c>
      <c r="K884" t="str">
        <f t="shared" si="119"/>
        <v/>
      </c>
      <c r="L884" t="str">
        <f t="shared" si="120"/>
        <v/>
      </c>
      <c r="N884" s="245">
        <f t="shared" si="121"/>
        <v>0</v>
      </c>
      <c r="O884" s="245">
        <f t="shared" si="122"/>
        <v>0</v>
      </c>
      <c r="P884" t="str">
        <f t="shared" si="123"/>
        <v/>
      </c>
      <c r="Q884" t="str">
        <f>IFERROR(VLOOKUP(P884,数据库!C:M,11,0),"")</f>
        <v/>
      </c>
      <c r="R884" t="str">
        <f t="shared" si="124"/>
        <v/>
      </c>
      <c r="S884">
        <f t="shared" si="125"/>
        <v>0</v>
      </c>
    </row>
    <row r="885" spans="1:19">
      <c r="A885" t="str">
        <f>IF(B885=0,"",发货清单!A885*10^6+COUNTIF($D$2:D885,D885)*10^3+ROW(A884))</f>
        <v/>
      </c>
      <c r="B885">
        <f>IFERROR(LEFT(发货清单!H885,SEARCH("-",发货清单!H885)-1),发货清单!H885)</f>
        <v>0</v>
      </c>
      <c r="C885" t="str">
        <f>IFERROR(VLOOKUP(发货清单!A885,数据库!A:D,4,0),"")</f>
        <v/>
      </c>
      <c r="D885" t="str">
        <f>IFERROR(VLOOKUP(发货清单!A885,数据库!A:C,3,0),"")</f>
        <v/>
      </c>
      <c r="E885">
        <f>发货清单!M885</f>
        <v>0</v>
      </c>
      <c r="F885">
        <f>发货清单!U885</f>
        <v>0</v>
      </c>
      <c r="G885" t="str">
        <f>IFERROR(VLOOKUP(发货清单!A885,数据库!A:B,2,0),"")</f>
        <v/>
      </c>
      <c r="H885">
        <f>发货清单!N885</f>
        <v>0</v>
      </c>
      <c r="I885" t="str">
        <f t="shared" si="117"/>
        <v/>
      </c>
      <c r="J885" t="str">
        <f t="shared" si="118"/>
        <v xml:space="preserve"> </v>
      </c>
      <c r="K885" t="str">
        <f t="shared" si="119"/>
        <v/>
      </c>
      <c r="L885" t="str">
        <f t="shared" si="120"/>
        <v/>
      </c>
      <c r="N885" s="245">
        <f t="shared" si="121"/>
        <v>0</v>
      </c>
      <c r="O885" s="245">
        <f t="shared" si="122"/>
        <v>0</v>
      </c>
      <c r="P885" t="str">
        <f t="shared" si="123"/>
        <v/>
      </c>
      <c r="Q885" t="str">
        <f>IFERROR(VLOOKUP(P885,数据库!C:M,11,0),"")</f>
        <v/>
      </c>
      <c r="R885" t="str">
        <f t="shared" si="124"/>
        <v/>
      </c>
      <c r="S885">
        <f t="shared" si="125"/>
        <v>0</v>
      </c>
    </row>
    <row r="886" spans="1:19">
      <c r="A886" t="str">
        <f>IF(B886=0,"",发货清单!A886*10^6+COUNTIF($D$2:D886,D886)*10^3+ROW(A885))</f>
        <v/>
      </c>
      <c r="B886">
        <f>IFERROR(LEFT(发货清单!H886,SEARCH("-",发货清单!H886)-1),发货清单!H886)</f>
        <v>0</v>
      </c>
      <c r="C886" t="str">
        <f>IFERROR(VLOOKUP(发货清单!A886,数据库!A:D,4,0),"")</f>
        <v/>
      </c>
      <c r="D886" t="str">
        <f>IFERROR(VLOOKUP(发货清单!A886,数据库!A:C,3,0),"")</f>
        <v/>
      </c>
      <c r="E886">
        <f>发货清单!M886</f>
        <v>0</v>
      </c>
      <c r="F886">
        <f>发货清单!U886</f>
        <v>0</v>
      </c>
      <c r="G886" t="str">
        <f>IFERROR(VLOOKUP(发货清单!A886,数据库!A:B,2,0),"")</f>
        <v/>
      </c>
      <c r="H886">
        <f>发货清单!N886</f>
        <v>0</v>
      </c>
      <c r="I886" t="str">
        <f t="shared" si="117"/>
        <v/>
      </c>
      <c r="J886" t="str">
        <f t="shared" si="118"/>
        <v xml:space="preserve"> </v>
      </c>
      <c r="K886" t="str">
        <f t="shared" si="119"/>
        <v/>
      </c>
      <c r="L886" t="str">
        <f t="shared" si="120"/>
        <v/>
      </c>
      <c r="N886" s="245">
        <f t="shared" si="121"/>
        <v>0</v>
      </c>
      <c r="O886" s="245">
        <f t="shared" si="122"/>
        <v>0</v>
      </c>
      <c r="P886" t="str">
        <f t="shared" si="123"/>
        <v/>
      </c>
      <c r="Q886" t="str">
        <f>IFERROR(VLOOKUP(P886,数据库!C:M,11,0),"")</f>
        <v/>
      </c>
      <c r="R886" t="str">
        <f t="shared" si="124"/>
        <v/>
      </c>
      <c r="S886">
        <f t="shared" si="125"/>
        <v>0</v>
      </c>
    </row>
    <row r="887" spans="1:19">
      <c r="A887" t="str">
        <f>IF(B887=0,"",发货清单!A887*10^6+COUNTIF($D$2:D887,D887)*10^3+ROW(A886))</f>
        <v/>
      </c>
      <c r="B887">
        <f>IFERROR(LEFT(发货清单!H887,SEARCH("-",发货清单!H887)-1),发货清单!H887)</f>
        <v>0</v>
      </c>
      <c r="C887" t="str">
        <f>IFERROR(VLOOKUP(发货清单!A887,数据库!A:D,4,0),"")</f>
        <v/>
      </c>
      <c r="D887" t="str">
        <f>IFERROR(VLOOKUP(发货清单!A887,数据库!A:C,3,0),"")</f>
        <v/>
      </c>
      <c r="E887">
        <f>发货清单!M887</f>
        <v>0</v>
      </c>
      <c r="F887">
        <f>发货清单!U887</f>
        <v>0</v>
      </c>
      <c r="G887" t="str">
        <f>IFERROR(VLOOKUP(发货清单!A887,数据库!A:B,2,0),"")</f>
        <v/>
      </c>
      <c r="H887">
        <f>发货清单!N887</f>
        <v>0</v>
      </c>
      <c r="I887" t="str">
        <f t="shared" si="117"/>
        <v/>
      </c>
      <c r="J887" t="str">
        <f t="shared" si="118"/>
        <v xml:space="preserve"> </v>
      </c>
      <c r="K887" t="str">
        <f t="shared" si="119"/>
        <v/>
      </c>
      <c r="L887" t="str">
        <f t="shared" si="120"/>
        <v/>
      </c>
      <c r="N887" s="245">
        <f t="shared" si="121"/>
        <v>0</v>
      </c>
      <c r="O887" s="245">
        <f t="shared" si="122"/>
        <v>0</v>
      </c>
      <c r="P887" t="str">
        <f t="shared" si="123"/>
        <v/>
      </c>
      <c r="Q887" t="str">
        <f>IFERROR(VLOOKUP(P887,数据库!C:M,11,0),"")</f>
        <v/>
      </c>
      <c r="R887" t="str">
        <f t="shared" si="124"/>
        <v/>
      </c>
      <c r="S887">
        <f t="shared" si="125"/>
        <v>0</v>
      </c>
    </row>
    <row r="888" spans="1:19">
      <c r="A888" t="str">
        <f>IF(B888=0,"",发货清单!A888*10^6+COUNTIF($D$2:D888,D888)*10^3+ROW(A887))</f>
        <v/>
      </c>
      <c r="B888">
        <f>IFERROR(LEFT(发货清单!H888,SEARCH("-",发货清单!H888)-1),发货清单!H888)</f>
        <v>0</v>
      </c>
      <c r="C888" t="str">
        <f>IFERROR(VLOOKUP(发货清单!A888,数据库!A:D,4,0),"")</f>
        <v/>
      </c>
      <c r="D888" t="str">
        <f>IFERROR(VLOOKUP(发货清单!A888,数据库!A:C,3,0),"")</f>
        <v/>
      </c>
      <c r="E888">
        <f>发货清单!M888</f>
        <v>0</v>
      </c>
      <c r="F888">
        <f>发货清单!U888</f>
        <v>0</v>
      </c>
      <c r="G888" t="str">
        <f>IFERROR(VLOOKUP(发货清单!A888,数据库!A:B,2,0),"")</f>
        <v/>
      </c>
      <c r="H888">
        <f>发货清单!N888</f>
        <v>0</v>
      </c>
      <c r="I888" t="str">
        <f t="shared" si="117"/>
        <v/>
      </c>
      <c r="J888" t="str">
        <f t="shared" si="118"/>
        <v xml:space="preserve"> </v>
      </c>
      <c r="K888" t="str">
        <f t="shared" si="119"/>
        <v/>
      </c>
      <c r="L888" t="str">
        <f t="shared" si="120"/>
        <v/>
      </c>
      <c r="N888" s="245">
        <f t="shared" si="121"/>
        <v>0</v>
      </c>
      <c r="O888" s="245">
        <f t="shared" si="122"/>
        <v>0</v>
      </c>
      <c r="P888" t="str">
        <f t="shared" si="123"/>
        <v/>
      </c>
      <c r="Q888" t="str">
        <f>IFERROR(VLOOKUP(P888,数据库!C:M,11,0),"")</f>
        <v/>
      </c>
      <c r="R888" t="str">
        <f t="shared" si="124"/>
        <v/>
      </c>
      <c r="S888">
        <f t="shared" si="125"/>
        <v>0</v>
      </c>
    </row>
    <row r="889" spans="1:19">
      <c r="A889" t="str">
        <f>IF(B889=0,"",发货清单!A889*10^6+COUNTIF($D$2:D889,D889)*10^3+ROW(A888))</f>
        <v/>
      </c>
      <c r="B889">
        <f>IFERROR(LEFT(发货清单!H889,SEARCH("-",发货清单!H889)-1),发货清单!H889)</f>
        <v>0</v>
      </c>
      <c r="C889" t="str">
        <f>IFERROR(VLOOKUP(发货清单!A889,数据库!A:D,4,0),"")</f>
        <v/>
      </c>
      <c r="D889" t="str">
        <f>IFERROR(VLOOKUP(发货清单!A889,数据库!A:C,3,0),"")</f>
        <v/>
      </c>
      <c r="E889">
        <f>发货清单!M889</f>
        <v>0</v>
      </c>
      <c r="F889">
        <f>发货清单!U889</f>
        <v>0</v>
      </c>
      <c r="G889" t="str">
        <f>IFERROR(VLOOKUP(发货清单!A889,数据库!A:B,2,0),"")</f>
        <v/>
      </c>
      <c r="H889">
        <f>发货清单!N889</f>
        <v>0</v>
      </c>
      <c r="I889" t="str">
        <f t="shared" si="117"/>
        <v/>
      </c>
      <c r="J889" t="str">
        <f t="shared" si="118"/>
        <v xml:space="preserve"> </v>
      </c>
      <c r="K889" t="str">
        <f t="shared" si="119"/>
        <v/>
      </c>
      <c r="L889" t="str">
        <f t="shared" si="120"/>
        <v/>
      </c>
      <c r="N889" s="245">
        <f t="shared" si="121"/>
        <v>0</v>
      </c>
      <c r="O889" s="245">
        <f t="shared" si="122"/>
        <v>0</v>
      </c>
      <c r="P889" t="str">
        <f t="shared" si="123"/>
        <v/>
      </c>
      <c r="Q889" t="str">
        <f>IFERROR(VLOOKUP(P889,数据库!C:M,11,0),"")</f>
        <v/>
      </c>
      <c r="R889" t="str">
        <f t="shared" si="124"/>
        <v/>
      </c>
      <c r="S889">
        <f t="shared" si="125"/>
        <v>0</v>
      </c>
    </row>
    <row r="890" spans="1:19">
      <c r="A890" t="str">
        <f>IF(B890=0,"",发货清单!A890*10^6+COUNTIF($D$2:D890,D890)*10^3+ROW(A889))</f>
        <v/>
      </c>
      <c r="B890">
        <f>IFERROR(LEFT(发货清单!H890,SEARCH("-",发货清单!H890)-1),发货清单!H890)</f>
        <v>0</v>
      </c>
      <c r="C890" t="str">
        <f>IFERROR(VLOOKUP(发货清单!A890,数据库!A:D,4,0),"")</f>
        <v/>
      </c>
      <c r="D890" t="str">
        <f>IFERROR(VLOOKUP(发货清单!A890,数据库!A:C,3,0),"")</f>
        <v/>
      </c>
      <c r="E890">
        <f>发货清单!M890</f>
        <v>0</v>
      </c>
      <c r="F890">
        <f>发货清单!U890</f>
        <v>0</v>
      </c>
      <c r="G890" t="str">
        <f>IFERROR(VLOOKUP(发货清单!A890,数据库!A:B,2,0),"")</f>
        <v/>
      </c>
      <c r="H890">
        <f>发货清单!N890</f>
        <v>0</v>
      </c>
      <c r="I890" t="str">
        <f t="shared" si="117"/>
        <v/>
      </c>
      <c r="J890" t="str">
        <f t="shared" si="118"/>
        <v xml:space="preserve"> </v>
      </c>
      <c r="K890" t="str">
        <f t="shared" si="119"/>
        <v/>
      </c>
      <c r="L890" t="str">
        <f t="shared" si="120"/>
        <v/>
      </c>
      <c r="N890" s="245">
        <f t="shared" si="121"/>
        <v>0</v>
      </c>
      <c r="O890" s="245">
        <f t="shared" si="122"/>
        <v>0</v>
      </c>
      <c r="P890" t="str">
        <f t="shared" si="123"/>
        <v/>
      </c>
      <c r="Q890" t="str">
        <f>IFERROR(VLOOKUP(P890,数据库!C:M,11,0),"")</f>
        <v/>
      </c>
      <c r="R890" t="str">
        <f t="shared" si="124"/>
        <v/>
      </c>
      <c r="S890">
        <f t="shared" si="125"/>
        <v>0</v>
      </c>
    </row>
    <row r="891" spans="1:19">
      <c r="A891" t="str">
        <f>IF(B891=0,"",发货清单!A891*10^6+COUNTIF($D$2:D891,D891)*10^3+ROW(A890))</f>
        <v/>
      </c>
      <c r="B891">
        <f>IFERROR(LEFT(发货清单!H891,SEARCH("-",发货清单!H891)-1),发货清单!H891)</f>
        <v>0</v>
      </c>
      <c r="C891" t="str">
        <f>IFERROR(VLOOKUP(发货清单!A891,数据库!A:D,4,0),"")</f>
        <v/>
      </c>
      <c r="D891" t="str">
        <f>IFERROR(VLOOKUP(发货清单!A891,数据库!A:C,3,0),"")</f>
        <v/>
      </c>
      <c r="E891">
        <f>发货清单!M891</f>
        <v>0</v>
      </c>
      <c r="F891">
        <f>发货清单!U891</f>
        <v>0</v>
      </c>
      <c r="G891" t="str">
        <f>IFERROR(VLOOKUP(发货清单!A891,数据库!A:B,2,0),"")</f>
        <v/>
      </c>
      <c r="H891">
        <f>发货清单!N891</f>
        <v>0</v>
      </c>
      <c r="I891" t="str">
        <f t="shared" si="117"/>
        <v/>
      </c>
      <c r="J891" t="str">
        <f t="shared" si="118"/>
        <v xml:space="preserve"> </v>
      </c>
      <c r="K891" t="str">
        <f t="shared" si="119"/>
        <v/>
      </c>
      <c r="L891" t="str">
        <f t="shared" si="120"/>
        <v/>
      </c>
      <c r="N891" s="245">
        <f t="shared" si="121"/>
        <v>0</v>
      </c>
      <c r="O891" s="245">
        <f t="shared" si="122"/>
        <v>0</v>
      </c>
      <c r="P891" t="str">
        <f t="shared" si="123"/>
        <v/>
      </c>
      <c r="Q891" t="str">
        <f>IFERROR(VLOOKUP(P891,数据库!C:M,11,0),"")</f>
        <v/>
      </c>
      <c r="R891" t="str">
        <f t="shared" si="124"/>
        <v/>
      </c>
      <c r="S891">
        <f t="shared" si="125"/>
        <v>0</v>
      </c>
    </row>
    <row r="892" spans="1:19">
      <c r="A892" t="str">
        <f>IF(B892=0,"",发货清单!A892*10^6+COUNTIF($D$2:D892,D892)*10^3+ROW(A891))</f>
        <v/>
      </c>
      <c r="B892">
        <f>IFERROR(LEFT(发货清单!H892,SEARCH("-",发货清单!H892)-1),发货清单!H892)</f>
        <v>0</v>
      </c>
      <c r="C892" t="str">
        <f>IFERROR(VLOOKUP(发货清单!A892,数据库!A:D,4,0),"")</f>
        <v/>
      </c>
      <c r="D892" t="str">
        <f>IFERROR(VLOOKUP(发货清单!A892,数据库!A:C,3,0),"")</f>
        <v/>
      </c>
      <c r="E892">
        <f>发货清单!M892</f>
        <v>0</v>
      </c>
      <c r="F892">
        <f>发货清单!U892</f>
        <v>0</v>
      </c>
      <c r="G892" t="str">
        <f>IFERROR(VLOOKUP(发货清单!A892,数据库!A:B,2,0),"")</f>
        <v/>
      </c>
      <c r="H892">
        <f>发货清单!N892</f>
        <v>0</v>
      </c>
      <c r="I892" t="str">
        <f t="shared" si="117"/>
        <v/>
      </c>
      <c r="J892" t="str">
        <f t="shared" si="118"/>
        <v xml:space="preserve"> </v>
      </c>
      <c r="K892" t="str">
        <f t="shared" si="119"/>
        <v/>
      </c>
      <c r="L892" t="str">
        <f t="shared" si="120"/>
        <v/>
      </c>
      <c r="N892" s="245">
        <f t="shared" si="121"/>
        <v>0</v>
      </c>
      <c r="O892" s="245">
        <f t="shared" si="122"/>
        <v>0</v>
      </c>
      <c r="P892" t="str">
        <f t="shared" si="123"/>
        <v/>
      </c>
      <c r="Q892" t="str">
        <f>IFERROR(VLOOKUP(P892,数据库!C:M,11,0),"")</f>
        <v/>
      </c>
      <c r="R892" t="str">
        <f t="shared" si="124"/>
        <v/>
      </c>
      <c r="S892">
        <f t="shared" si="125"/>
        <v>0</v>
      </c>
    </row>
    <row r="893" spans="1:19">
      <c r="A893" t="str">
        <f>IF(B893=0,"",发货清单!A893*10^6+COUNTIF($D$2:D893,D893)*10^3+ROW(A892))</f>
        <v/>
      </c>
      <c r="B893">
        <f>IFERROR(LEFT(发货清单!H893,SEARCH("-",发货清单!H893)-1),发货清单!H893)</f>
        <v>0</v>
      </c>
      <c r="C893" t="str">
        <f>IFERROR(VLOOKUP(发货清单!A893,数据库!A:D,4,0),"")</f>
        <v/>
      </c>
      <c r="D893" t="str">
        <f>IFERROR(VLOOKUP(发货清单!A893,数据库!A:C,3,0),"")</f>
        <v/>
      </c>
      <c r="E893">
        <f>发货清单!M893</f>
        <v>0</v>
      </c>
      <c r="F893">
        <f>发货清单!U893</f>
        <v>0</v>
      </c>
      <c r="G893" t="str">
        <f>IFERROR(VLOOKUP(发货清单!A893,数据库!A:B,2,0),"")</f>
        <v/>
      </c>
      <c r="H893">
        <f>发货清单!N893</f>
        <v>0</v>
      </c>
      <c r="I893" t="str">
        <f t="shared" si="117"/>
        <v/>
      </c>
      <c r="J893" t="str">
        <f t="shared" si="118"/>
        <v xml:space="preserve"> </v>
      </c>
      <c r="K893" t="str">
        <f t="shared" si="119"/>
        <v/>
      </c>
      <c r="L893" t="str">
        <f t="shared" si="120"/>
        <v/>
      </c>
      <c r="N893" s="245">
        <f t="shared" si="121"/>
        <v>0</v>
      </c>
      <c r="O893" s="245">
        <f t="shared" si="122"/>
        <v>0</v>
      </c>
      <c r="P893" t="str">
        <f t="shared" si="123"/>
        <v/>
      </c>
      <c r="Q893" t="str">
        <f>IFERROR(VLOOKUP(P893,数据库!C:M,11,0),"")</f>
        <v/>
      </c>
      <c r="R893" t="str">
        <f t="shared" si="124"/>
        <v/>
      </c>
      <c r="S893">
        <f t="shared" si="125"/>
        <v>0</v>
      </c>
    </row>
    <row r="894" spans="1:19">
      <c r="A894" t="str">
        <f>IF(B894=0,"",发货清单!A894*10^6+COUNTIF($D$2:D894,D894)*10^3+ROW(A893))</f>
        <v/>
      </c>
      <c r="B894">
        <f>IFERROR(LEFT(发货清单!H894,SEARCH("-",发货清单!H894)-1),发货清单!H894)</f>
        <v>0</v>
      </c>
      <c r="C894" t="str">
        <f>IFERROR(VLOOKUP(发货清单!A894,数据库!A:D,4,0),"")</f>
        <v/>
      </c>
      <c r="D894" t="str">
        <f>IFERROR(VLOOKUP(发货清单!A894,数据库!A:C,3,0),"")</f>
        <v/>
      </c>
      <c r="E894">
        <f>发货清单!M894</f>
        <v>0</v>
      </c>
      <c r="F894">
        <f>发货清单!U894</f>
        <v>0</v>
      </c>
      <c r="G894" t="str">
        <f>IFERROR(VLOOKUP(发货清单!A894,数据库!A:B,2,0),"")</f>
        <v/>
      </c>
      <c r="H894">
        <f>发货清单!N894</f>
        <v>0</v>
      </c>
      <c r="I894" t="str">
        <f t="shared" si="117"/>
        <v/>
      </c>
      <c r="J894" t="str">
        <f t="shared" si="118"/>
        <v xml:space="preserve"> </v>
      </c>
      <c r="K894" t="str">
        <f t="shared" si="119"/>
        <v/>
      </c>
      <c r="L894" t="str">
        <f t="shared" si="120"/>
        <v/>
      </c>
      <c r="N894" s="245">
        <f t="shared" si="121"/>
        <v>0</v>
      </c>
      <c r="O894" s="245">
        <f t="shared" si="122"/>
        <v>0</v>
      </c>
      <c r="P894" t="str">
        <f t="shared" si="123"/>
        <v/>
      </c>
      <c r="Q894" t="str">
        <f>IFERROR(VLOOKUP(P894,数据库!C:M,11,0),"")</f>
        <v/>
      </c>
      <c r="R894" t="str">
        <f t="shared" si="124"/>
        <v/>
      </c>
      <c r="S894">
        <f t="shared" si="125"/>
        <v>0</v>
      </c>
    </row>
    <row r="895" spans="1:19">
      <c r="A895" t="str">
        <f>IF(B895=0,"",发货清单!A895*10^6+COUNTIF($D$2:D895,D895)*10^3+ROW(A894))</f>
        <v/>
      </c>
      <c r="B895">
        <f>IFERROR(LEFT(发货清单!H895,SEARCH("-",发货清单!H895)-1),发货清单!H895)</f>
        <v>0</v>
      </c>
      <c r="C895" t="str">
        <f>IFERROR(VLOOKUP(发货清单!A895,数据库!A:D,4,0),"")</f>
        <v/>
      </c>
      <c r="D895" t="str">
        <f>IFERROR(VLOOKUP(发货清单!A895,数据库!A:C,3,0),"")</f>
        <v/>
      </c>
      <c r="E895">
        <f>发货清单!M895</f>
        <v>0</v>
      </c>
      <c r="F895">
        <f>发货清单!U895</f>
        <v>0</v>
      </c>
      <c r="G895" t="str">
        <f>IFERROR(VLOOKUP(发货清单!A895,数据库!A:B,2,0),"")</f>
        <v/>
      </c>
      <c r="H895">
        <f>发货清单!N895</f>
        <v>0</v>
      </c>
      <c r="I895" t="str">
        <f t="shared" si="117"/>
        <v/>
      </c>
      <c r="J895" t="str">
        <f t="shared" si="118"/>
        <v xml:space="preserve"> </v>
      </c>
      <c r="K895" t="str">
        <f t="shared" si="119"/>
        <v/>
      </c>
      <c r="L895" t="str">
        <f t="shared" si="120"/>
        <v/>
      </c>
      <c r="N895" s="245">
        <f t="shared" si="121"/>
        <v>0</v>
      </c>
      <c r="O895" s="245">
        <f t="shared" si="122"/>
        <v>0</v>
      </c>
      <c r="P895" t="str">
        <f t="shared" si="123"/>
        <v/>
      </c>
      <c r="Q895" t="str">
        <f>IFERROR(VLOOKUP(P895,数据库!C:M,11,0),"")</f>
        <v/>
      </c>
      <c r="R895" t="str">
        <f t="shared" si="124"/>
        <v/>
      </c>
      <c r="S895">
        <f t="shared" si="125"/>
        <v>0</v>
      </c>
    </row>
    <row r="896" spans="1:19">
      <c r="A896" t="str">
        <f>IF(B896=0,"",发货清单!A896*10^6+COUNTIF($D$2:D896,D896)*10^3+ROW(A895))</f>
        <v/>
      </c>
      <c r="B896">
        <f>IFERROR(LEFT(发货清单!H896,SEARCH("-",发货清单!H896)-1),发货清单!H896)</f>
        <v>0</v>
      </c>
      <c r="C896" t="str">
        <f>IFERROR(VLOOKUP(发货清单!A896,数据库!A:D,4,0),"")</f>
        <v/>
      </c>
      <c r="D896" t="str">
        <f>IFERROR(VLOOKUP(发货清单!A896,数据库!A:C,3,0),"")</f>
        <v/>
      </c>
      <c r="E896">
        <f>发货清单!M896</f>
        <v>0</v>
      </c>
      <c r="F896">
        <f>发货清单!U896</f>
        <v>0</v>
      </c>
      <c r="G896" t="str">
        <f>IFERROR(VLOOKUP(发货清单!A896,数据库!A:B,2,0),"")</f>
        <v/>
      </c>
      <c r="H896">
        <f>发货清单!N896</f>
        <v>0</v>
      </c>
      <c r="I896" t="str">
        <f t="shared" si="117"/>
        <v/>
      </c>
      <c r="J896" t="str">
        <f t="shared" si="118"/>
        <v xml:space="preserve"> </v>
      </c>
      <c r="K896" t="str">
        <f t="shared" si="119"/>
        <v/>
      </c>
      <c r="L896" t="str">
        <f t="shared" si="120"/>
        <v/>
      </c>
      <c r="N896" s="245">
        <f t="shared" si="121"/>
        <v>0</v>
      </c>
      <c r="O896" s="245">
        <f t="shared" si="122"/>
        <v>0</v>
      </c>
      <c r="P896" t="str">
        <f t="shared" si="123"/>
        <v/>
      </c>
      <c r="Q896" t="str">
        <f>IFERROR(VLOOKUP(P896,数据库!C:M,11,0),"")</f>
        <v/>
      </c>
      <c r="R896" t="str">
        <f t="shared" si="124"/>
        <v/>
      </c>
      <c r="S896">
        <f t="shared" si="125"/>
        <v>0</v>
      </c>
    </row>
    <row r="897" spans="1:19">
      <c r="A897" t="str">
        <f>IF(B897=0,"",发货清单!A897*10^6+COUNTIF($D$2:D897,D897)*10^3+ROW(A896))</f>
        <v/>
      </c>
      <c r="B897">
        <f>IFERROR(LEFT(发货清单!H897,SEARCH("-",发货清单!H897)-1),发货清单!H897)</f>
        <v>0</v>
      </c>
      <c r="C897" t="str">
        <f>IFERROR(VLOOKUP(发货清单!A897,数据库!A:D,4,0),"")</f>
        <v/>
      </c>
      <c r="D897" t="str">
        <f>IFERROR(VLOOKUP(发货清单!A897,数据库!A:C,3,0),"")</f>
        <v/>
      </c>
      <c r="E897">
        <f>发货清单!M897</f>
        <v>0</v>
      </c>
      <c r="F897">
        <f>发货清单!U897</f>
        <v>0</v>
      </c>
      <c r="G897" t="str">
        <f>IFERROR(VLOOKUP(发货清单!A897,数据库!A:B,2,0),"")</f>
        <v/>
      </c>
      <c r="H897">
        <f>发货清单!N897</f>
        <v>0</v>
      </c>
      <c r="I897" t="str">
        <f t="shared" si="117"/>
        <v/>
      </c>
      <c r="J897" t="str">
        <f t="shared" si="118"/>
        <v xml:space="preserve"> </v>
      </c>
      <c r="K897" t="str">
        <f t="shared" si="119"/>
        <v/>
      </c>
      <c r="L897" t="str">
        <f t="shared" si="120"/>
        <v/>
      </c>
      <c r="N897" s="245">
        <f t="shared" si="121"/>
        <v>0</v>
      </c>
      <c r="O897" s="245">
        <f t="shared" si="122"/>
        <v>0</v>
      </c>
      <c r="P897" t="str">
        <f t="shared" si="123"/>
        <v/>
      </c>
      <c r="Q897" t="str">
        <f>IFERROR(VLOOKUP(P897,数据库!C:M,11,0),"")</f>
        <v/>
      </c>
      <c r="R897" t="str">
        <f t="shared" si="124"/>
        <v/>
      </c>
      <c r="S897">
        <f t="shared" si="125"/>
        <v>0</v>
      </c>
    </row>
    <row r="898" spans="1:19">
      <c r="A898" t="str">
        <f>IF(B898=0,"",发货清单!A898*10^6+COUNTIF($D$2:D898,D898)*10^3+ROW(A897))</f>
        <v/>
      </c>
      <c r="B898">
        <f>IFERROR(LEFT(发货清单!H898,SEARCH("-",发货清单!H898)-1),发货清单!H898)</f>
        <v>0</v>
      </c>
      <c r="C898" t="str">
        <f>IFERROR(VLOOKUP(发货清单!A898,数据库!A:D,4,0),"")</f>
        <v/>
      </c>
      <c r="D898" t="str">
        <f>IFERROR(VLOOKUP(发货清单!A898,数据库!A:C,3,0),"")</f>
        <v/>
      </c>
      <c r="E898">
        <f>发货清单!M898</f>
        <v>0</v>
      </c>
      <c r="F898">
        <f>发货清单!U898</f>
        <v>0</v>
      </c>
      <c r="G898" t="str">
        <f>IFERROR(VLOOKUP(发货清单!A898,数据库!A:B,2,0),"")</f>
        <v/>
      </c>
      <c r="H898">
        <f>发货清单!N898</f>
        <v>0</v>
      </c>
      <c r="I898" t="str">
        <f t="shared" si="117"/>
        <v/>
      </c>
      <c r="J898" t="str">
        <f t="shared" si="118"/>
        <v xml:space="preserve"> </v>
      </c>
      <c r="K898" t="str">
        <f t="shared" si="119"/>
        <v/>
      </c>
      <c r="L898" t="str">
        <f t="shared" si="120"/>
        <v/>
      </c>
      <c r="N898" s="245">
        <f t="shared" si="121"/>
        <v>0</v>
      </c>
      <c r="O898" s="245">
        <f t="shared" si="122"/>
        <v>0</v>
      </c>
      <c r="P898" t="str">
        <f t="shared" si="123"/>
        <v/>
      </c>
      <c r="Q898" t="str">
        <f>IFERROR(VLOOKUP(P898,数据库!C:M,11,0),"")</f>
        <v/>
      </c>
      <c r="R898" t="str">
        <f t="shared" si="124"/>
        <v/>
      </c>
      <c r="S898">
        <f t="shared" si="125"/>
        <v>0</v>
      </c>
    </row>
    <row r="899" spans="1:19">
      <c r="A899" t="str">
        <f>IF(B899=0,"",发货清单!A899*10^6+COUNTIF($D$2:D899,D899)*10^3+ROW(A898))</f>
        <v/>
      </c>
      <c r="B899">
        <f>IFERROR(LEFT(发货清单!H899,SEARCH("-",发货清单!H899)-1),发货清单!H899)</f>
        <v>0</v>
      </c>
      <c r="C899" t="str">
        <f>IFERROR(VLOOKUP(发货清单!A899,数据库!A:D,4,0),"")</f>
        <v/>
      </c>
      <c r="D899" t="str">
        <f>IFERROR(VLOOKUP(发货清单!A899,数据库!A:C,3,0),"")</f>
        <v/>
      </c>
      <c r="E899">
        <f>发货清单!M899</f>
        <v>0</v>
      </c>
      <c r="F899">
        <f>发货清单!U899</f>
        <v>0</v>
      </c>
      <c r="G899" t="str">
        <f>IFERROR(VLOOKUP(发货清单!A899,数据库!A:B,2,0),"")</f>
        <v/>
      </c>
      <c r="H899">
        <f>发货清单!N899</f>
        <v>0</v>
      </c>
      <c r="I899" t="str">
        <f t="shared" ref="I899:I962" si="126">IFERROR(SMALL(A:A,ROW(A898)),"")</f>
        <v/>
      </c>
      <c r="J899" t="str">
        <f t="shared" ref="J899:J962" si="127">IFERROR(IF(RIGHT(I899,6)-2000&gt;0," ",I899)," ")</f>
        <v xml:space="preserve"> </v>
      </c>
      <c r="K899" t="str">
        <f t="shared" ref="K899:K962" si="128">IFERROR(SMALL(J:J,ROW(A898)),"")</f>
        <v/>
      </c>
      <c r="L899" t="str">
        <f t="shared" ref="L899:L962" si="129">IFERROR(VLOOKUP(K899,A:G,7,0)," ")</f>
        <v/>
      </c>
      <c r="N899" s="245">
        <f t="shared" ref="N899:N962" si="130">IF(P899=" ",0,SUMIF(D:D,P899,E:E))</f>
        <v>0</v>
      </c>
      <c r="O899" s="245">
        <f t="shared" ref="O899:O962" si="131">SUMIF(D:D,P899,F:F)</f>
        <v>0</v>
      </c>
      <c r="P899" t="str">
        <f t="shared" ref="P899:P962" si="132">IFERROR(VLOOKUP(K899,A:D,4,0)," ")</f>
        <v/>
      </c>
      <c r="Q899" t="str">
        <f>IFERROR(VLOOKUP(P899,数据库!C:M,11,0),"")</f>
        <v/>
      </c>
      <c r="R899" t="str">
        <f t="shared" ref="R899:R962" si="133">IFERROR(VLOOKUP(K899,A:C,3,0)," ")</f>
        <v/>
      </c>
      <c r="S899">
        <f t="shared" ref="S899:S962" si="134">IFERROR(VLOOKUP(K899,A:H,8,0)," ")</f>
        <v>0</v>
      </c>
    </row>
    <row r="900" spans="1:19">
      <c r="A900" t="str">
        <f>IF(B900=0,"",发货清单!A900*10^6+COUNTIF($D$2:D900,D900)*10^3+ROW(A899))</f>
        <v/>
      </c>
      <c r="B900">
        <f>IFERROR(LEFT(发货清单!H900,SEARCH("-",发货清单!H900)-1),发货清单!H900)</f>
        <v>0</v>
      </c>
      <c r="C900" t="str">
        <f>IFERROR(VLOOKUP(发货清单!A900,数据库!A:D,4,0),"")</f>
        <v/>
      </c>
      <c r="D900" t="str">
        <f>IFERROR(VLOOKUP(发货清单!A900,数据库!A:C,3,0),"")</f>
        <v/>
      </c>
      <c r="E900">
        <f>发货清单!M900</f>
        <v>0</v>
      </c>
      <c r="F900">
        <f>发货清单!U900</f>
        <v>0</v>
      </c>
      <c r="G900" t="str">
        <f>IFERROR(VLOOKUP(发货清单!A900,数据库!A:B,2,0),"")</f>
        <v/>
      </c>
      <c r="H900">
        <f>发货清单!N900</f>
        <v>0</v>
      </c>
      <c r="I900" t="str">
        <f t="shared" si="126"/>
        <v/>
      </c>
      <c r="J900" t="str">
        <f t="shared" si="127"/>
        <v xml:space="preserve"> </v>
      </c>
      <c r="K900" t="str">
        <f t="shared" si="128"/>
        <v/>
      </c>
      <c r="L900" t="str">
        <f t="shared" si="129"/>
        <v/>
      </c>
      <c r="N900" s="245">
        <f t="shared" si="130"/>
        <v>0</v>
      </c>
      <c r="O900" s="245">
        <f t="shared" si="131"/>
        <v>0</v>
      </c>
      <c r="P900" t="str">
        <f t="shared" si="132"/>
        <v/>
      </c>
      <c r="Q900" t="str">
        <f>IFERROR(VLOOKUP(P900,数据库!C:M,11,0),"")</f>
        <v/>
      </c>
      <c r="R900" t="str">
        <f t="shared" si="133"/>
        <v/>
      </c>
      <c r="S900">
        <f t="shared" si="134"/>
        <v>0</v>
      </c>
    </row>
    <row r="901" spans="1:19">
      <c r="A901" t="str">
        <f>IF(B901=0,"",发货清单!A901*10^6+COUNTIF($D$2:D901,D901)*10^3+ROW(A900))</f>
        <v/>
      </c>
      <c r="B901">
        <f>IFERROR(LEFT(发货清单!H901,SEARCH("-",发货清单!H901)-1),发货清单!H901)</f>
        <v>0</v>
      </c>
      <c r="C901" t="str">
        <f>IFERROR(VLOOKUP(发货清单!A901,数据库!A:D,4,0),"")</f>
        <v/>
      </c>
      <c r="D901" t="str">
        <f>IFERROR(VLOOKUP(发货清单!A901,数据库!A:C,3,0),"")</f>
        <v/>
      </c>
      <c r="E901">
        <f>发货清单!M901</f>
        <v>0</v>
      </c>
      <c r="F901">
        <f>发货清单!U901</f>
        <v>0</v>
      </c>
      <c r="G901" t="str">
        <f>IFERROR(VLOOKUP(发货清单!A901,数据库!A:B,2,0),"")</f>
        <v/>
      </c>
      <c r="H901">
        <f>发货清单!N901</f>
        <v>0</v>
      </c>
      <c r="I901" t="str">
        <f t="shared" si="126"/>
        <v/>
      </c>
      <c r="J901" t="str">
        <f t="shared" si="127"/>
        <v xml:space="preserve"> </v>
      </c>
      <c r="K901" t="str">
        <f t="shared" si="128"/>
        <v/>
      </c>
      <c r="L901" t="str">
        <f t="shared" si="129"/>
        <v/>
      </c>
      <c r="N901" s="245">
        <f t="shared" si="130"/>
        <v>0</v>
      </c>
      <c r="O901" s="245">
        <f t="shared" si="131"/>
        <v>0</v>
      </c>
      <c r="P901" t="str">
        <f t="shared" si="132"/>
        <v/>
      </c>
      <c r="Q901" t="str">
        <f>IFERROR(VLOOKUP(P901,数据库!C:M,11,0),"")</f>
        <v/>
      </c>
      <c r="R901" t="str">
        <f t="shared" si="133"/>
        <v/>
      </c>
      <c r="S901">
        <f t="shared" si="134"/>
        <v>0</v>
      </c>
    </row>
    <row r="902" spans="1:19">
      <c r="A902" t="str">
        <f>IF(B902=0,"",发货清单!A902*10^6+COUNTIF($D$2:D902,D902)*10^3+ROW(A901))</f>
        <v/>
      </c>
      <c r="B902">
        <f>IFERROR(LEFT(发货清单!H902,SEARCH("-",发货清单!H902)-1),发货清单!H902)</f>
        <v>0</v>
      </c>
      <c r="C902" t="str">
        <f>IFERROR(VLOOKUP(发货清单!A902,数据库!A:D,4,0),"")</f>
        <v/>
      </c>
      <c r="D902" t="str">
        <f>IFERROR(VLOOKUP(发货清单!A902,数据库!A:C,3,0),"")</f>
        <v/>
      </c>
      <c r="E902">
        <f>发货清单!M902</f>
        <v>0</v>
      </c>
      <c r="F902">
        <f>发货清单!U902</f>
        <v>0</v>
      </c>
      <c r="G902" t="str">
        <f>IFERROR(VLOOKUP(发货清单!A902,数据库!A:B,2,0),"")</f>
        <v/>
      </c>
      <c r="H902">
        <f>发货清单!N902</f>
        <v>0</v>
      </c>
      <c r="I902" t="str">
        <f t="shared" si="126"/>
        <v/>
      </c>
      <c r="J902" t="str">
        <f t="shared" si="127"/>
        <v xml:space="preserve"> </v>
      </c>
      <c r="K902" t="str">
        <f t="shared" si="128"/>
        <v/>
      </c>
      <c r="L902" t="str">
        <f t="shared" si="129"/>
        <v/>
      </c>
      <c r="N902" s="245">
        <f t="shared" si="130"/>
        <v>0</v>
      </c>
      <c r="O902" s="245">
        <f t="shared" si="131"/>
        <v>0</v>
      </c>
      <c r="P902" t="str">
        <f t="shared" si="132"/>
        <v/>
      </c>
      <c r="Q902" t="str">
        <f>IFERROR(VLOOKUP(P902,数据库!C:M,11,0),"")</f>
        <v/>
      </c>
      <c r="R902" t="str">
        <f t="shared" si="133"/>
        <v/>
      </c>
      <c r="S902">
        <f t="shared" si="134"/>
        <v>0</v>
      </c>
    </row>
    <row r="903" spans="1:19">
      <c r="A903" t="str">
        <f>IF(B903=0,"",发货清单!A903*10^6+COUNTIF($D$2:D903,D903)*10^3+ROW(A902))</f>
        <v/>
      </c>
      <c r="B903">
        <f>IFERROR(LEFT(发货清单!H903,SEARCH("-",发货清单!H903)-1),发货清单!H903)</f>
        <v>0</v>
      </c>
      <c r="C903" t="str">
        <f>IFERROR(VLOOKUP(发货清单!A903,数据库!A:D,4,0),"")</f>
        <v/>
      </c>
      <c r="D903" t="str">
        <f>IFERROR(VLOOKUP(发货清单!A903,数据库!A:C,3,0),"")</f>
        <v/>
      </c>
      <c r="E903">
        <f>发货清单!M903</f>
        <v>0</v>
      </c>
      <c r="F903">
        <f>发货清单!U903</f>
        <v>0</v>
      </c>
      <c r="G903" t="str">
        <f>IFERROR(VLOOKUP(发货清单!A903,数据库!A:B,2,0),"")</f>
        <v/>
      </c>
      <c r="H903">
        <f>发货清单!N903</f>
        <v>0</v>
      </c>
      <c r="I903" t="str">
        <f t="shared" si="126"/>
        <v/>
      </c>
      <c r="J903" t="str">
        <f t="shared" si="127"/>
        <v xml:space="preserve"> </v>
      </c>
      <c r="K903" t="str">
        <f t="shared" si="128"/>
        <v/>
      </c>
      <c r="L903" t="str">
        <f t="shared" si="129"/>
        <v/>
      </c>
      <c r="N903" s="245">
        <f t="shared" si="130"/>
        <v>0</v>
      </c>
      <c r="O903" s="245">
        <f t="shared" si="131"/>
        <v>0</v>
      </c>
      <c r="P903" t="str">
        <f t="shared" si="132"/>
        <v/>
      </c>
      <c r="Q903" t="str">
        <f>IFERROR(VLOOKUP(P903,数据库!C:M,11,0),"")</f>
        <v/>
      </c>
      <c r="R903" t="str">
        <f t="shared" si="133"/>
        <v/>
      </c>
      <c r="S903">
        <f t="shared" si="134"/>
        <v>0</v>
      </c>
    </row>
    <row r="904" spans="1:19">
      <c r="A904" t="str">
        <f>IF(B904=0,"",发货清单!A904*10^6+COUNTIF($D$2:D904,D904)*10^3+ROW(A903))</f>
        <v/>
      </c>
      <c r="B904">
        <f>IFERROR(LEFT(发货清单!H904,SEARCH("-",发货清单!H904)-1),发货清单!H904)</f>
        <v>0</v>
      </c>
      <c r="C904" t="str">
        <f>IFERROR(VLOOKUP(发货清单!A904,数据库!A:D,4,0),"")</f>
        <v/>
      </c>
      <c r="D904" t="str">
        <f>IFERROR(VLOOKUP(发货清单!A904,数据库!A:C,3,0),"")</f>
        <v/>
      </c>
      <c r="E904">
        <f>发货清单!M904</f>
        <v>0</v>
      </c>
      <c r="F904">
        <f>发货清单!U904</f>
        <v>0</v>
      </c>
      <c r="G904" t="str">
        <f>IFERROR(VLOOKUP(发货清单!A904,数据库!A:B,2,0),"")</f>
        <v/>
      </c>
      <c r="H904">
        <f>发货清单!N904</f>
        <v>0</v>
      </c>
      <c r="I904" t="str">
        <f t="shared" si="126"/>
        <v/>
      </c>
      <c r="J904" t="str">
        <f t="shared" si="127"/>
        <v xml:space="preserve"> </v>
      </c>
      <c r="K904" t="str">
        <f t="shared" si="128"/>
        <v/>
      </c>
      <c r="L904" t="str">
        <f t="shared" si="129"/>
        <v/>
      </c>
      <c r="N904" s="245">
        <f t="shared" si="130"/>
        <v>0</v>
      </c>
      <c r="O904" s="245">
        <f t="shared" si="131"/>
        <v>0</v>
      </c>
      <c r="P904" t="str">
        <f t="shared" si="132"/>
        <v/>
      </c>
      <c r="Q904" t="str">
        <f>IFERROR(VLOOKUP(P904,数据库!C:M,11,0),"")</f>
        <v/>
      </c>
      <c r="R904" t="str">
        <f t="shared" si="133"/>
        <v/>
      </c>
      <c r="S904">
        <f t="shared" si="134"/>
        <v>0</v>
      </c>
    </row>
    <row r="905" spans="1:19">
      <c r="A905" t="str">
        <f>IF(B905=0,"",发货清单!A905*10^6+COUNTIF($D$2:D905,D905)*10^3+ROW(A904))</f>
        <v/>
      </c>
      <c r="B905">
        <f>IFERROR(LEFT(发货清单!H905,SEARCH("-",发货清单!H905)-1),发货清单!H905)</f>
        <v>0</v>
      </c>
      <c r="C905" t="str">
        <f>IFERROR(VLOOKUP(发货清单!A905,数据库!A:D,4,0),"")</f>
        <v/>
      </c>
      <c r="D905" t="str">
        <f>IFERROR(VLOOKUP(发货清单!A905,数据库!A:C,3,0),"")</f>
        <v/>
      </c>
      <c r="E905">
        <f>发货清单!M905</f>
        <v>0</v>
      </c>
      <c r="F905">
        <f>发货清单!U905</f>
        <v>0</v>
      </c>
      <c r="G905" t="str">
        <f>IFERROR(VLOOKUP(发货清单!A905,数据库!A:B,2,0),"")</f>
        <v/>
      </c>
      <c r="H905">
        <f>发货清单!N905</f>
        <v>0</v>
      </c>
      <c r="I905" t="str">
        <f t="shared" si="126"/>
        <v/>
      </c>
      <c r="J905" t="str">
        <f t="shared" si="127"/>
        <v xml:space="preserve"> </v>
      </c>
      <c r="K905" t="str">
        <f t="shared" si="128"/>
        <v/>
      </c>
      <c r="L905" t="str">
        <f t="shared" si="129"/>
        <v/>
      </c>
      <c r="N905" s="245">
        <f t="shared" si="130"/>
        <v>0</v>
      </c>
      <c r="O905" s="245">
        <f t="shared" si="131"/>
        <v>0</v>
      </c>
      <c r="P905" t="str">
        <f t="shared" si="132"/>
        <v/>
      </c>
      <c r="Q905" t="str">
        <f>IFERROR(VLOOKUP(P905,数据库!C:M,11,0),"")</f>
        <v/>
      </c>
      <c r="R905" t="str">
        <f t="shared" si="133"/>
        <v/>
      </c>
      <c r="S905">
        <f t="shared" si="134"/>
        <v>0</v>
      </c>
    </row>
    <row r="906" spans="1:19">
      <c r="A906" t="str">
        <f>IF(B906=0,"",发货清单!A906*10^6+COUNTIF($D$2:D906,D906)*10^3+ROW(A905))</f>
        <v/>
      </c>
      <c r="B906">
        <f>IFERROR(LEFT(发货清单!H906,SEARCH("-",发货清单!H906)-1),发货清单!H906)</f>
        <v>0</v>
      </c>
      <c r="C906" t="str">
        <f>IFERROR(VLOOKUP(发货清单!A906,数据库!A:D,4,0),"")</f>
        <v/>
      </c>
      <c r="D906" t="str">
        <f>IFERROR(VLOOKUP(发货清单!A906,数据库!A:C,3,0),"")</f>
        <v/>
      </c>
      <c r="E906">
        <f>发货清单!M906</f>
        <v>0</v>
      </c>
      <c r="F906">
        <f>发货清单!U906</f>
        <v>0</v>
      </c>
      <c r="G906" t="str">
        <f>IFERROR(VLOOKUP(发货清单!A906,数据库!A:B,2,0),"")</f>
        <v/>
      </c>
      <c r="H906">
        <f>发货清单!N906</f>
        <v>0</v>
      </c>
      <c r="I906" t="str">
        <f t="shared" si="126"/>
        <v/>
      </c>
      <c r="J906" t="str">
        <f t="shared" si="127"/>
        <v xml:space="preserve"> </v>
      </c>
      <c r="K906" t="str">
        <f t="shared" si="128"/>
        <v/>
      </c>
      <c r="L906" t="str">
        <f t="shared" si="129"/>
        <v/>
      </c>
      <c r="N906" s="245">
        <f t="shared" si="130"/>
        <v>0</v>
      </c>
      <c r="O906" s="245">
        <f t="shared" si="131"/>
        <v>0</v>
      </c>
      <c r="P906" t="str">
        <f t="shared" si="132"/>
        <v/>
      </c>
      <c r="Q906" t="str">
        <f>IFERROR(VLOOKUP(P906,数据库!C:M,11,0),"")</f>
        <v/>
      </c>
      <c r="R906" t="str">
        <f t="shared" si="133"/>
        <v/>
      </c>
      <c r="S906">
        <f t="shared" si="134"/>
        <v>0</v>
      </c>
    </row>
    <row r="907" spans="1:19">
      <c r="A907" t="str">
        <f>IF(B907=0,"",发货清单!A907*10^6+COUNTIF($D$2:D907,D907)*10^3+ROW(A906))</f>
        <v/>
      </c>
      <c r="B907">
        <f>IFERROR(LEFT(发货清单!H907,SEARCH("-",发货清单!H907)-1),发货清单!H907)</f>
        <v>0</v>
      </c>
      <c r="C907" t="str">
        <f>IFERROR(VLOOKUP(发货清单!A907,数据库!A:D,4,0),"")</f>
        <v/>
      </c>
      <c r="D907" t="str">
        <f>IFERROR(VLOOKUP(发货清单!A907,数据库!A:C,3,0),"")</f>
        <v/>
      </c>
      <c r="E907">
        <f>发货清单!M907</f>
        <v>0</v>
      </c>
      <c r="F907">
        <f>发货清单!U907</f>
        <v>0</v>
      </c>
      <c r="G907" t="str">
        <f>IFERROR(VLOOKUP(发货清单!A907,数据库!A:B,2,0),"")</f>
        <v/>
      </c>
      <c r="H907">
        <f>发货清单!N907</f>
        <v>0</v>
      </c>
      <c r="I907" t="str">
        <f t="shared" si="126"/>
        <v/>
      </c>
      <c r="J907" t="str">
        <f t="shared" si="127"/>
        <v xml:space="preserve"> </v>
      </c>
      <c r="K907" t="str">
        <f t="shared" si="128"/>
        <v/>
      </c>
      <c r="L907" t="str">
        <f t="shared" si="129"/>
        <v/>
      </c>
      <c r="N907" s="245">
        <f t="shared" si="130"/>
        <v>0</v>
      </c>
      <c r="O907" s="245">
        <f t="shared" si="131"/>
        <v>0</v>
      </c>
      <c r="P907" t="str">
        <f t="shared" si="132"/>
        <v/>
      </c>
      <c r="Q907" t="str">
        <f>IFERROR(VLOOKUP(P907,数据库!C:M,11,0),"")</f>
        <v/>
      </c>
      <c r="R907" t="str">
        <f t="shared" si="133"/>
        <v/>
      </c>
      <c r="S907">
        <f t="shared" si="134"/>
        <v>0</v>
      </c>
    </row>
    <row r="908" spans="1:19">
      <c r="A908" t="str">
        <f>IF(B908=0,"",发货清单!A908*10^6+COUNTIF($D$2:D908,D908)*10^3+ROW(A907))</f>
        <v/>
      </c>
      <c r="B908">
        <f>IFERROR(LEFT(发货清单!H908,SEARCH("-",发货清单!H908)-1),发货清单!H908)</f>
        <v>0</v>
      </c>
      <c r="C908" t="str">
        <f>IFERROR(VLOOKUP(发货清单!A908,数据库!A:D,4,0),"")</f>
        <v/>
      </c>
      <c r="D908" t="str">
        <f>IFERROR(VLOOKUP(发货清单!A908,数据库!A:C,3,0),"")</f>
        <v/>
      </c>
      <c r="E908">
        <f>发货清单!M908</f>
        <v>0</v>
      </c>
      <c r="F908">
        <f>发货清单!U908</f>
        <v>0</v>
      </c>
      <c r="G908" t="str">
        <f>IFERROR(VLOOKUP(发货清单!A908,数据库!A:B,2,0),"")</f>
        <v/>
      </c>
      <c r="H908">
        <f>发货清单!N908</f>
        <v>0</v>
      </c>
      <c r="I908" t="str">
        <f t="shared" si="126"/>
        <v/>
      </c>
      <c r="J908" t="str">
        <f t="shared" si="127"/>
        <v xml:space="preserve"> </v>
      </c>
      <c r="K908" t="str">
        <f t="shared" si="128"/>
        <v/>
      </c>
      <c r="L908" t="str">
        <f t="shared" si="129"/>
        <v/>
      </c>
      <c r="N908" s="245">
        <f t="shared" si="130"/>
        <v>0</v>
      </c>
      <c r="O908" s="245">
        <f t="shared" si="131"/>
        <v>0</v>
      </c>
      <c r="P908" t="str">
        <f t="shared" si="132"/>
        <v/>
      </c>
      <c r="Q908" t="str">
        <f>IFERROR(VLOOKUP(P908,数据库!C:M,11,0),"")</f>
        <v/>
      </c>
      <c r="R908" t="str">
        <f t="shared" si="133"/>
        <v/>
      </c>
      <c r="S908">
        <f t="shared" si="134"/>
        <v>0</v>
      </c>
    </row>
    <row r="909" spans="1:19">
      <c r="A909" t="str">
        <f>IF(B909=0,"",发货清单!A909*10^6+COUNTIF($D$2:D909,D909)*10^3+ROW(A908))</f>
        <v/>
      </c>
      <c r="B909">
        <f>IFERROR(LEFT(发货清单!H909,SEARCH("-",发货清单!H909)-1),发货清单!H909)</f>
        <v>0</v>
      </c>
      <c r="C909" t="str">
        <f>IFERROR(VLOOKUP(发货清单!A909,数据库!A:D,4,0),"")</f>
        <v/>
      </c>
      <c r="D909" t="str">
        <f>IFERROR(VLOOKUP(发货清单!A909,数据库!A:C,3,0),"")</f>
        <v/>
      </c>
      <c r="E909">
        <f>发货清单!M909</f>
        <v>0</v>
      </c>
      <c r="F909">
        <f>发货清单!U909</f>
        <v>0</v>
      </c>
      <c r="G909" t="str">
        <f>IFERROR(VLOOKUP(发货清单!A909,数据库!A:B,2,0),"")</f>
        <v/>
      </c>
      <c r="H909">
        <f>发货清单!N909</f>
        <v>0</v>
      </c>
      <c r="I909" t="str">
        <f t="shared" si="126"/>
        <v/>
      </c>
      <c r="J909" t="str">
        <f t="shared" si="127"/>
        <v xml:space="preserve"> </v>
      </c>
      <c r="K909" t="str">
        <f t="shared" si="128"/>
        <v/>
      </c>
      <c r="L909" t="str">
        <f t="shared" si="129"/>
        <v/>
      </c>
      <c r="N909" s="245">
        <f t="shared" si="130"/>
        <v>0</v>
      </c>
      <c r="O909" s="245">
        <f t="shared" si="131"/>
        <v>0</v>
      </c>
      <c r="P909" t="str">
        <f t="shared" si="132"/>
        <v/>
      </c>
      <c r="Q909" t="str">
        <f>IFERROR(VLOOKUP(P909,数据库!C:M,11,0),"")</f>
        <v/>
      </c>
      <c r="R909" t="str">
        <f t="shared" si="133"/>
        <v/>
      </c>
      <c r="S909">
        <f t="shared" si="134"/>
        <v>0</v>
      </c>
    </row>
    <row r="910" spans="1:19">
      <c r="A910" t="str">
        <f>IF(B910=0,"",发货清单!A910*10^6+COUNTIF($D$2:D910,D910)*10^3+ROW(A909))</f>
        <v/>
      </c>
      <c r="B910">
        <f>IFERROR(LEFT(发货清单!H910,SEARCH("-",发货清单!H910)-1),发货清单!H910)</f>
        <v>0</v>
      </c>
      <c r="C910" t="str">
        <f>IFERROR(VLOOKUP(发货清单!A910,数据库!A:D,4,0),"")</f>
        <v/>
      </c>
      <c r="D910" t="str">
        <f>IFERROR(VLOOKUP(发货清单!A910,数据库!A:C,3,0),"")</f>
        <v/>
      </c>
      <c r="E910">
        <f>发货清单!M910</f>
        <v>0</v>
      </c>
      <c r="F910">
        <f>发货清单!U910</f>
        <v>0</v>
      </c>
      <c r="G910" t="str">
        <f>IFERROR(VLOOKUP(发货清单!A910,数据库!A:B,2,0),"")</f>
        <v/>
      </c>
      <c r="H910">
        <f>发货清单!N910</f>
        <v>0</v>
      </c>
      <c r="I910" t="str">
        <f t="shared" si="126"/>
        <v/>
      </c>
      <c r="J910" t="str">
        <f t="shared" si="127"/>
        <v xml:space="preserve"> </v>
      </c>
      <c r="K910" t="str">
        <f t="shared" si="128"/>
        <v/>
      </c>
      <c r="L910" t="str">
        <f t="shared" si="129"/>
        <v/>
      </c>
      <c r="N910" s="245">
        <f t="shared" si="130"/>
        <v>0</v>
      </c>
      <c r="O910" s="245">
        <f t="shared" si="131"/>
        <v>0</v>
      </c>
      <c r="P910" t="str">
        <f t="shared" si="132"/>
        <v/>
      </c>
      <c r="Q910" t="str">
        <f>IFERROR(VLOOKUP(P910,数据库!C:M,11,0),"")</f>
        <v/>
      </c>
      <c r="R910" t="str">
        <f t="shared" si="133"/>
        <v/>
      </c>
      <c r="S910">
        <f t="shared" si="134"/>
        <v>0</v>
      </c>
    </row>
    <row r="911" spans="1:19">
      <c r="A911" t="str">
        <f>IF(B911=0,"",发货清单!A911*10^6+COUNTIF($D$2:D911,D911)*10^3+ROW(A910))</f>
        <v/>
      </c>
      <c r="B911">
        <f>IFERROR(LEFT(发货清单!H911,SEARCH("-",发货清单!H911)-1),发货清单!H911)</f>
        <v>0</v>
      </c>
      <c r="C911" t="str">
        <f>IFERROR(VLOOKUP(发货清单!A911,数据库!A:D,4,0),"")</f>
        <v/>
      </c>
      <c r="D911" t="str">
        <f>IFERROR(VLOOKUP(发货清单!A911,数据库!A:C,3,0),"")</f>
        <v/>
      </c>
      <c r="E911">
        <f>发货清单!M911</f>
        <v>0</v>
      </c>
      <c r="F911">
        <f>发货清单!U911</f>
        <v>0</v>
      </c>
      <c r="G911" t="str">
        <f>IFERROR(VLOOKUP(发货清单!A911,数据库!A:B,2,0),"")</f>
        <v/>
      </c>
      <c r="H911">
        <f>发货清单!N911</f>
        <v>0</v>
      </c>
      <c r="I911" t="str">
        <f t="shared" si="126"/>
        <v/>
      </c>
      <c r="J911" t="str">
        <f t="shared" si="127"/>
        <v xml:space="preserve"> </v>
      </c>
      <c r="K911" t="str">
        <f t="shared" si="128"/>
        <v/>
      </c>
      <c r="L911" t="str">
        <f t="shared" si="129"/>
        <v/>
      </c>
      <c r="N911" s="245">
        <f t="shared" si="130"/>
        <v>0</v>
      </c>
      <c r="O911" s="245">
        <f t="shared" si="131"/>
        <v>0</v>
      </c>
      <c r="P911" t="str">
        <f t="shared" si="132"/>
        <v/>
      </c>
      <c r="Q911" t="str">
        <f>IFERROR(VLOOKUP(P911,数据库!C:M,11,0),"")</f>
        <v/>
      </c>
      <c r="R911" t="str">
        <f t="shared" si="133"/>
        <v/>
      </c>
      <c r="S911">
        <f t="shared" si="134"/>
        <v>0</v>
      </c>
    </row>
    <row r="912" spans="1:19">
      <c r="A912" t="str">
        <f>IF(B912=0,"",发货清单!A912*10^6+COUNTIF($D$2:D912,D912)*10^3+ROW(A911))</f>
        <v/>
      </c>
      <c r="B912">
        <f>IFERROR(LEFT(发货清单!H912,SEARCH("-",发货清单!H912)-1),发货清单!H912)</f>
        <v>0</v>
      </c>
      <c r="C912" t="str">
        <f>IFERROR(VLOOKUP(发货清单!A912,数据库!A:D,4,0),"")</f>
        <v/>
      </c>
      <c r="D912" t="str">
        <f>IFERROR(VLOOKUP(发货清单!A912,数据库!A:C,3,0),"")</f>
        <v/>
      </c>
      <c r="E912">
        <f>发货清单!M912</f>
        <v>0</v>
      </c>
      <c r="F912">
        <f>发货清单!U912</f>
        <v>0</v>
      </c>
      <c r="G912" t="str">
        <f>IFERROR(VLOOKUP(发货清单!A912,数据库!A:B,2,0),"")</f>
        <v/>
      </c>
      <c r="H912">
        <f>发货清单!N912</f>
        <v>0</v>
      </c>
      <c r="I912" t="str">
        <f t="shared" si="126"/>
        <v/>
      </c>
      <c r="J912" t="str">
        <f t="shared" si="127"/>
        <v xml:space="preserve"> </v>
      </c>
      <c r="K912" t="str">
        <f t="shared" si="128"/>
        <v/>
      </c>
      <c r="L912" t="str">
        <f t="shared" si="129"/>
        <v/>
      </c>
      <c r="N912" s="245">
        <f t="shared" si="130"/>
        <v>0</v>
      </c>
      <c r="O912" s="245">
        <f t="shared" si="131"/>
        <v>0</v>
      </c>
      <c r="P912" t="str">
        <f t="shared" si="132"/>
        <v/>
      </c>
      <c r="Q912" t="str">
        <f>IFERROR(VLOOKUP(P912,数据库!C:M,11,0),"")</f>
        <v/>
      </c>
      <c r="R912" t="str">
        <f t="shared" si="133"/>
        <v/>
      </c>
      <c r="S912">
        <f t="shared" si="134"/>
        <v>0</v>
      </c>
    </row>
    <row r="913" spans="1:19">
      <c r="A913" t="str">
        <f>IF(B913=0,"",发货清单!A913*10^6+COUNTIF($D$2:D913,D913)*10^3+ROW(A912))</f>
        <v/>
      </c>
      <c r="B913">
        <f>IFERROR(LEFT(发货清单!H913,SEARCH("-",发货清单!H913)-1),发货清单!H913)</f>
        <v>0</v>
      </c>
      <c r="C913" t="str">
        <f>IFERROR(VLOOKUP(发货清单!A913,数据库!A:D,4,0),"")</f>
        <v/>
      </c>
      <c r="D913" t="str">
        <f>IFERROR(VLOOKUP(发货清单!A913,数据库!A:C,3,0),"")</f>
        <v/>
      </c>
      <c r="E913">
        <f>发货清单!M913</f>
        <v>0</v>
      </c>
      <c r="F913">
        <f>发货清单!U913</f>
        <v>0</v>
      </c>
      <c r="G913" t="str">
        <f>IFERROR(VLOOKUP(发货清单!A913,数据库!A:B,2,0),"")</f>
        <v/>
      </c>
      <c r="H913">
        <f>发货清单!N913</f>
        <v>0</v>
      </c>
      <c r="I913" t="str">
        <f t="shared" si="126"/>
        <v/>
      </c>
      <c r="J913" t="str">
        <f t="shared" si="127"/>
        <v xml:space="preserve"> </v>
      </c>
      <c r="K913" t="str">
        <f t="shared" si="128"/>
        <v/>
      </c>
      <c r="L913" t="str">
        <f t="shared" si="129"/>
        <v/>
      </c>
      <c r="N913" s="245">
        <f t="shared" si="130"/>
        <v>0</v>
      </c>
      <c r="O913" s="245">
        <f t="shared" si="131"/>
        <v>0</v>
      </c>
      <c r="P913" t="str">
        <f t="shared" si="132"/>
        <v/>
      </c>
      <c r="Q913" t="str">
        <f>IFERROR(VLOOKUP(P913,数据库!C:M,11,0),"")</f>
        <v/>
      </c>
      <c r="R913" t="str">
        <f t="shared" si="133"/>
        <v/>
      </c>
      <c r="S913">
        <f t="shared" si="134"/>
        <v>0</v>
      </c>
    </row>
    <row r="914" spans="1:19">
      <c r="A914" t="str">
        <f>IF(B914=0,"",发货清单!A914*10^6+COUNTIF($D$2:D914,D914)*10^3+ROW(A913))</f>
        <v/>
      </c>
      <c r="B914">
        <f>IFERROR(LEFT(发货清单!H914,SEARCH("-",发货清单!H914)-1),发货清单!H914)</f>
        <v>0</v>
      </c>
      <c r="C914" t="str">
        <f>IFERROR(VLOOKUP(发货清单!A914,数据库!A:D,4,0),"")</f>
        <v/>
      </c>
      <c r="D914" t="str">
        <f>IFERROR(VLOOKUP(发货清单!A914,数据库!A:C,3,0),"")</f>
        <v/>
      </c>
      <c r="E914">
        <f>发货清单!M914</f>
        <v>0</v>
      </c>
      <c r="F914">
        <f>发货清单!U914</f>
        <v>0</v>
      </c>
      <c r="G914" t="str">
        <f>IFERROR(VLOOKUP(发货清单!A914,数据库!A:B,2,0),"")</f>
        <v/>
      </c>
      <c r="H914">
        <f>发货清单!N914</f>
        <v>0</v>
      </c>
      <c r="I914" t="str">
        <f t="shared" si="126"/>
        <v/>
      </c>
      <c r="J914" t="str">
        <f t="shared" si="127"/>
        <v xml:space="preserve"> </v>
      </c>
      <c r="K914" t="str">
        <f t="shared" si="128"/>
        <v/>
      </c>
      <c r="L914" t="str">
        <f t="shared" si="129"/>
        <v/>
      </c>
      <c r="N914" s="245">
        <f t="shared" si="130"/>
        <v>0</v>
      </c>
      <c r="O914" s="245">
        <f t="shared" si="131"/>
        <v>0</v>
      </c>
      <c r="P914" t="str">
        <f t="shared" si="132"/>
        <v/>
      </c>
      <c r="Q914" t="str">
        <f>IFERROR(VLOOKUP(P914,数据库!C:M,11,0),"")</f>
        <v/>
      </c>
      <c r="R914" t="str">
        <f t="shared" si="133"/>
        <v/>
      </c>
      <c r="S914">
        <f t="shared" si="134"/>
        <v>0</v>
      </c>
    </row>
    <row r="915" spans="1:19">
      <c r="A915" t="str">
        <f>IF(B915=0,"",发货清单!A915*10^6+COUNTIF($D$2:D915,D915)*10^3+ROW(A914))</f>
        <v/>
      </c>
      <c r="B915">
        <f>IFERROR(LEFT(发货清单!H915,SEARCH("-",发货清单!H915)-1),发货清单!H915)</f>
        <v>0</v>
      </c>
      <c r="C915" t="str">
        <f>IFERROR(VLOOKUP(发货清单!A915,数据库!A:D,4,0),"")</f>
        <v/>
      </c>
      <c r="D915" t="str">
        <f>IFERROR(VLOOKUP(发货清单!A915,数据库!A:C,3,0),"")</f>
        <v/>
      </c>
      <c r="E915">
        <f>发货清单!M915</f>
        <v>0</v>
      </c>
      <c r="F915">
        <f>发货清单!U915</f>
        <v>0</v>
      </c>
      <c r="G915" t="str">
        <f>IFERROR(VLOOKUP(发货清单!A915,数据库!A:B,2,0),"")</f>
        <v/>
      </c>
      <c r="H915">
        <f>发货清单!N915</f>
        <v>0</v>
      </c>
      <c r="I915" t="str">
        <f t="shared" si="126"/>
        <v/>
      </c>
      <c r="J915" t="str">
        <f t="shared" si="127"/>
        <v xml:space="preserve"> </v>
      </c>
      <c r="K915" t="str">
        <f t="shared" si="128"/>
        <v/>
      </c>
      <c r="L915" t="str">
        <f t="shared" si="129"/>
        <v/>
      </c>
      <c r="N915" s="245">
        <f t="shared" si="130"/>
        <v>0</v>
      </c>
      <c r="O915" s="245">
        <f t="shared" si="131"/>
        <v>0</v>
      </c>
      <c r="P915" t="str">
        <f t="shared" si="132"/>
        <v/>
      </c>
      <c r="Q915" t="str">
        <f>IFERROR(VLOOKUP(P915,数据库!C:M,11,0),"")</f>
        <v/>
      </c>
      <c r="R915" t="str">
        <f t="shared" si="133"/>
        <v/>
      </c>
      <c r="S915">
        <f t="shared" si="134"/>
        <v>0</v>
      </c>
    </row>
    <row r="916" spans="1:19">
      <c r="A916" t="str">
        <f>IF(B916=0,"",发货清单!A916*10^6+COUNTIF($D$2:D916,D916)*10^3+ROW(A915))</f>
        <v/>
      </c>
      <c r="B916">
        <f>IFERROR(LEFT(发货清单!H916,SEARCH("-",发货清单!H916)-1),发货清单!H916)</f>
        <v>0</v>
      </c>
      <c r="C916" t="str">
        <f>IFERROR(VLOOKUP(发货清单!A916,数据库!A:D,4,0),"")</f>
        <v/>
      </c>
      <c r="D916" t="str">
        <f>IFERROR(VLOOKUP(发货清单!A916,数据库!A:C,3,0),"")</f>
        <v/>
      </c>
      <c r="E916">
        <f>发货清单!M916</f>
        <v>0</v>
      </c>
      <c r="F916">
        <f>发货清单!U916</f>
        <v>0</v>
      </c>
      <c r="G916" t="str">
        <f>IFERROR(VLOOKUP(发货清单!A916,数据库!A:B,2,0),"")</f>
        <v/>
      </c>
      <c r="H916">
        <f>发货清单!N916</f>
        <v>0</v>
      </c>
      <c r="I916" t="str">
        <f t="shared" si="126"/>
        <v/>
      </c>
      <c r="J916" t="str">
        <f t="shared" si="127"/>
        <v xml:space="preserve"> </v>
      </c>
      <c r="K916" t="str">
        <f t="shared" si="128"/>
        <v/>
      </c>
      <c r="L916" t="str">
        <f t="shared" si="129"/>
        <v/>
      </c>
      <c r="N916" s="245">
        <f t="shared" si="130"/>
        <v>0</v>
      </c>
      <c r="O916" s="245">
        <f t="shared" si="131"/>
        <v>0</v>
      </c>
      <c r="P916" t="str">
        <f t="shared" si="132"/>
        <v/>
      </c>
      <c r="Q916" t="str">
        <f>IFERROR(VLOOKUP(P916,数据库!C:M,11,0),"")</f>
        <v/>
      </c>
      <c r="R916" t="str">
        <f t="shared" si="133"/>
        <v/>
      </c>
      <c r="S916">
        <f t="shared" si="134"/>
        <v>0</v>
      </c>
    </row>
    <row r="917" spans="1:19">
      <c r="A917" t="str">
        <f>IF(B917=0,"",发货清单!A917*10^6+COUNTIF($D$2:D917,D917)*10^3+ROW(A916))</f>
        <v/>
      </c>
      <c r="B917">
        <f>IFERROR(LEFT(发货清单!H917,SEARCH("-",发货清单!H917)-1),发货清单!H917)</f>
        <v>0</v>
      </c>
      <c r="C917" t="str">
        <f>IFERROR(VLOOKUP(发货清单!A917,数据库!A:D,4,0),"")</f>
        <v/>
      </c>
      <c r="D917" t="str">
        <f>IFERROR(VLOOKUP(发货清单!A917,数据库!A:C,3,0),"")</f>
        <v/>
      </c>
      <c r="E917">
        <f>发货清单!M917</f>
        <v>0</v>
      </c>
      <c r="F917">
        <f>发货清单!U917</f>
        <v>0</v>
      </c>
      <c r="G917" t="str">
        <f>IFERROR(VLOOKUP(发货清单!A917,数据库!A:B,2,0),"")</f>
        <v/>
      </c>
      <c r="H917">
        <f>发货清单!N917</f>
        <v>0</v>
      </c>
      <c r="I917" t="str">
        <f t="shared" si="126"/>
        <v/>
      </c>
      <c r="J917" t="str">
        <f t="shared" si="127"/>
        <v xml:space="preserve"> </v>
      </c>
      <c r="K917" t="str">
        <f t="shared" si="128"/>
        <v/>
      </c>
      <c r="L917" t="str">
        <f t="shared" si="129"/>
        <v/>
      </c>
      <c r="N917" s="245">
        <f t="shared" si="130"/>
        <v>0</v>
      </c>
      <c r="O917" s="245">
        <f t="shared" si="131"/>
        <v>0</v>
      </c>
      <c r="P917" t="str">
        <f t="shared" si="132"/>
        <v/>
      </c>
      <c r="Q917" t="str">
        <f>IFERROR(VLOOKUP(P917,数据库!C:M,11,0),"")</f>
        <v/>
      </c>
      <c r="R917" t="str">
        <f t="shared" si="133"/>
        <v/>
      </c>
      <c r="S917">
        <f t="shared" si="134"/>
        <v>0</v>
      </c>
    </row>
    <row r="918" spans="1:19">
      <c r="A918" t="str">
        <f>IF(B918=0,"",发货清单!A918*10^6+COUNTIF($D$2:D918,D918)*10^3+ROW(A917))</f>
        <v/>
      </c>
      <c r="B918">
        <f>IFERROR(LEFT(发货清单!H918,SEARCH("-",发货清单!H918)-1),发货清单!H918)</f>
        <v>0</v>
      </c>
      <c r="C918" t="str">
        <f>IFERROR(VLOOKUP(发货清单!A918,数据库!A:D,4,0),"")</f>
        <v/>
      </c>
      <c r="D918" t="str">
        <f>IFERROR(VLOOKUP(发货清单!A918,数据库!A:C,3,0),"")</f>
        <v/>
      </c>
      <c r="E918">
        <f>发货清单!M918</f>
        <v>0</v>
      </c>
      <c r="F918">
        <f>发货清单!U918</f>
        <v>0</v>
      </c>
      <c r="G918" t="str">
        <f>IFERROR(VLOOKUP(发货清单!A918,数据库!A:B,2,0),"")</f>
        <v/>
      </c>
      <c r="H918">
        <f>发货清单!N918</f>
        <v>0</v>
      </c>
      <c r="I918" t="str">
        <f t="shared" si="126"/>
        <v/>
      </c>
      <c r="J918" t="str">
        <f t="shared" si="127"/>
        <v xml:space="preserve"> </v>
      </c>
      <c r="K918" t="str">
        <f t="shared" si="128"/>
        <v/>
      </c>
      <c r="L918" t="str">
        <f t="shared" si="129"/>
        <v/>
      </c>
      <c r="N918" s="245">
        <f t="shared" si="130"/>
        <v>0</v>
      </c>
      <c r="O918" s="245">
        <f t="shared" si="131"/>
        <v>0</v>
      </c>
      <c r="P918" t="str">
        <f t="shared" si="132"/>
        <v/>
      </c>
      <c r="Q918" t="str">
        <f>IFERROR(VLOOKUP(P918,数据库!C:M,11,0),"")</f>
        <v/>
      </c>
      <c r="R918" t="str">
        <f t="shared" si="133"/>
        <v/>
      </c>
      <c r="S918">
        <f t="shared" si="134"/>
        <v>0</v>
      </c>
    </row>
    <row r="919" spans="1:19">
      <c r="A919" t="str">
        <f>IF(B919=0,"",发货清单!A919*10^6+COUNTIF($D$2:D919,D919)*10^3+ROW(A918))</f>
        <v/>
      </c>
      <c r="B919">
        <f>IFERROR(LEFT(发货清单!H919,SEARCH("-",发货清单!H919)-1),发货清单!H919)</f>
        <v>0</v>
      </c>
      <c r="C919" t="str">
        <f>IFERROR(VLOOKUP(发货清单!A919,数据库!A:D,4,0),"")</f>
        <v/>
      </c>
      <c r="D919" t="str">
        <f>IFERROR(VLOOKUP(发货清单!A919,数据库!A:C,3,0),"")</f>
        <v/>
      </c>
      <c r="E919">
        <f>发货清单!M919</f>
        <v>0</v>
      </c>
      <c r="F919">
        <f>发货清单!U919</f>
        <v>0</v>
      </c>
      <c r="G919" t="str">
        <f>IFERROR(VLOOKUP(发货清单!A919,数据库!A:B,2,0),"")</f>
        <v/>
      </c>
      <c r="H919">
        <f>发货清单!N919</f>
        <v>0</v>
      </c>
      <c r="I919" t="str">
        <f t="shared" si="126"/>
        <v/>
      </c>
      <c r="J919" t="str">
        <f t="shared" si="127"/>
        <v xml:space="preserve"> </v>
      </c>
      <c r="K919" t="str">
        <f t="shared" si="128"/>
        <v/>
      </c>
      <c r="L919" t="str">
        <f t="shared" si="129"/>
        <v/>
      </c>
      <c r="N919" s="245">
        <f t="shared" si="130"/>
        <v>0</v>
      </c>
      <c r="O919" s="245">
        <f t="shared" si="131"/>
        <v>0</v>
      </c>
      <c r="P919" t="str">
        <f t="shared" si="132"/>
        <v/>
      </c>
      <c r="Q919" t="str">
        <f>IFERROR(VLOOKUP(P919,数据库!C:M,11,0),"")</f>
        <v/>
      </c>
      <c r="R919" t="str">
        <f t="shared" si="133"/>
        <v/>
      </c>
      <c r="S919">
        <f t="shared" si="134"/>
        <v>0</v>
      </c>
    </row>
    <row r="920" spans="1:19">
      <c r="A920" t="str">
        <f>IF(B920=0,"",发货清单!A920*10^6+COUNTIF($D$2:D920,D920)*10^3+ROW(A919))</f>
        <v/>
      </c>
      <c r="B920">
        <f>IFERROR(LEFT(发货清单!H920,SEARCH("-",发货清单!H920)-1),发货清单!H920)</f>
        <v>0</v>
      </c>
      <c r="C920" t="str">
        <f>IFERROR(VLOOKUP(发货清单!A920,数据库!A:D,4,0),"")</f>
        <v/>
      </c>
      <c r="D920" t="str">
        <f>IFERROR(VLOOKUP(发货清单!A920,数据库!A:C,3,0),"")</f>
        <v/>
      </c>
      <c r="E920">
        <f>发货清单!M920</f>
        <v>0</v>
      </c>
      <c r="F920">
        <f>发货清单!U920</f>
        <v>0</v>
      </c>
      <c r="G920" t="str">
        <f>IFERROR(VLOOKUP(发货清单!A920,数据库!A:B,2,0),"")</f>
        <v/>
      </c>
      <c r="H920">
        <f>发货清单!N920</f>
        <v>0</v>
      </c>
      <c r="I920" t="str">
        <f t="shared" si="126"/>
        <v/>
      </c>
      <c r="J920" t="str">
        <f t="shared" si="127"/>
        <v xml:space="preserve"> </v>
      </c>
      <c r="K920" t="str">
        <f t="shared" si="128"/>
        <v/>
      </c>
      <c r="L920" t="str">
        <f t="shared" si="129"/>
        <v/>
      </c>
      <c r="N920" s="245">
        <f t="shared" si="130"/>
        <v>0</v>
      </c>
      <c r="O920" s="245">
        <f t="shared" si="131"/>
        <v>0</v>
      </c>
      <c r="P920" t="str">
        <f t="shared" si="132"/>
        <v/>
      </c>
      <c r="Q920" t="str">
        <f>IFERROR(VLOOKUP(P920,数据库!C:M,11,0),"")</f>
        <v/>
      </c>
      <c r="R920" t="str">
        <f t="shared" si="133"/>
        <v/>
      </c>
      <c r="S920">
        <f t="shared" si="134"/>
        <v>0</v>
      </c>
    </row>
    <row r="921" spans="1:19">
      <c r="A921" t="str">
        <f>IF(B921=0,"",发货清单!A921*10^6+COUNTIF($D$2:D921,D921)*10^3+ROW(A920))</f>
        <v/>
      </c>
      <c r="B921">
        <f>IFERROR(LEFT(发货清单!H921,SEARCH("-",发货清单!H921)-1),发货清单!H921)</f>
        <v>0</v>
      </c>
      <c r="C921" t="str">
        <f>IFERROR(VLOOKUP(发货清单!A921,数据库!A:D,4,0),"")</f>
        <v/>
      </c>
      <c r="D921" t="str">
        <f>IFERROR(VLOOKUP(发货清单!A921,数据库!A:C,3,0),"")</f>
        <v/>
      </c>
      <c r="E921">
        <f>发货清单!M921</f>
        <v>0</v>
      </c>
      <c r="F921">
        <f>发货清单!U921</f>
        <v>0</v>
      </c>
      <c r="G921" t="str">
        <f>IFERROR(VLOOKUP(发货清单!A921,数据库!A:B,2,0),"")</f>
        <v/>
      </c>
      <c r="H921">
        <f>发货清单!N921</f>
        <v>0</v>
      </c>
      <c r="I921" t="str">
        <f t="shared" si="126"/>
        <v/>
      </c>
      <c r="J921" t="str">
        <f t="shared" si="127"/>
        <v xml:space="preserve"> </v>
      </c>
      <c r="K921" t="str">
        <f t="shared" si="128"/>
        <v/>
      </c>
      <c r="L921" t="str">
        <f t="shared" si="129"/>
        <v/>
      </c>
      <c r="N921" s="245">
        <f t="shared" si="130"/>
        <v>0</v>
      </c>
      <c r="O921" s="245">
        <f t="shared" si="131"/>
        <v>0</v>
      </c>
      <c r="P921" t="str">
        <f t="shared" si="132"/>
        <v/>
      </c>
      <c r="Q921" t="str">
        <f>IFERROR(VLOOKUP(P921,数据库!C:M,11,0),"")</f>
        <v/>
      </c>
      <c r="R921" t="str">
        <f t="shared" si="133"/>
        <v/>
      </c>
      <c r="S921">
        <f t="shared" si="134"/>
        <v>0</v>
      </c>
    </row>
    <row r="922" spans="1:19">
      <c r="A922" t="str">
        <f>IF(B922=0,"",发货清单!A922*10^6+COUNTIF($D$2:D922,D922)*10^3+ROW(A921))</f>
        <v/>
      </c>
      <c r="B922">
        <f>IFERROR(LEFT(发货清单!H922,SEARCH("-",发货清单!H922)-1),发货清单!H922)</f>
        <v>0</v>
      </c>
      <c r="C922" t="str">
        <f>IFERROR(VLOOKUP(发货清单!A922,数据库!A:D,4,0),"")</f>
        <v/>
      </c>
      <c r="D922" t="str">
        <f>IFERROR(VLOOKUP(发货清单!A922,数据库!A:C,3,0),"")</f>
        <v/>
      </c>
      <c r="E922">
        <f>发货清单!M922</f>
        <v>0</v>
      </c>
      <c r="F922">
        <f>发货清单!U922</f>
        <v>0</v>
      </c>
      <c r="G922" t="str">
        <f>IFERROR(VLOOKUP(发货清单!A922,数据库!A:B,2,0),"")</f>
        <v/>
      </c>
      <c r="H922">
        <f>发货清单!N922</f>
        <v>0</v>
      </c>
      <c r="I922" t="str">
        <f t="shared" si="126"/>
        <v/>
      </c>
      <c r="J922" t="str">
        <f t="shared" si="127"/>
        <v xml:space="preserve"> </v>
      </c>
      <c r="K922" t="str">
        <f t="shared" si="128"/>
        <v/>
      </c>
      <c r="L922" t="str">
        <f t="shared" si="129"/>
        <v/>
      </c>
      <c r="N922" s="245">
        <f t="shared" si="130"/>
        <v>0</v>
      </c>
      <c r="O922" s="245">
        <f t="shared" si="131"/>
        <v>0</v>
      </c>
      <c r="P922" t="str">
        <f t="shared" si="132"/>
        <v/>
      </c>
      <c r="Q922" t="str">
        <f>IFERROR(VLOOKUP(P922,数据库!C:M,11,0),"")</f>
        <v/>
      </c>
      <c r="R922" t="str">
        <f t="shared" si="133"/>
        <v/>
      </c>
      <c r="S922">
        <f t="shared" si="134"/>
        <v>0</v>
      </c>
    </row>
    <row r="923" spans="1:19">
      <c r="A923" t="str">
        <f>IF(B923=0,"",发货清单!A923*10^6+COUNTIF($D$2:D923,D923)*10^3+ROW(A922))</f>
        <v/>
      </c>
      <c r="B923">
        <f>IFERROR(LEFT(发货清单!H923,SEARCH("-",发货清单!H923)-1),发货清单!H923)</f>
        <v>0</v>
      </c>
      <c r="C923" t="str">
        <f>IFERROR(VLOOKUP(发货清单!A923,数据库!A:D,4,0),"")</f>
        <v/>
      </c>
      <c r="D923" t="str">
        <f>IFERROR(VLOOKUP(发货清单!A923,数据库!A:C,3,0),"")</f>
        <v/>
      </c>
      <c r="E923">
        <f>发货清单!M923</f>
        <v>0</v>
      </c>
      <c r="F923">
        <f>发货清单!U923</f>
        <v>0</v>
      </c>
      <c r="G923" t="str">
        <f>IFERROR(VLOOKUP(发货清单!A923,数据库!A:B,2,0),"")</f>
        <v/>
      </c>
      <c r="H923">
        <f>发货清单!N923</f>
        <v>0</v>
      </c>
      <c r="I923" t="str">
        <f t="shared" si="126"/>
        <v/>
      </c>
      <c r="J923" t="str">
        <f t="shared" si="127"/>
        <v xml:space="preserve"> </v>
      </c>
      <c r="K923" t="str">
        <f t="shared" si="128"/>
        <v/>
      </c>
      <c r="L923" t="str">
        <f t="shared" si="129"/>
        <v/>
      </c>
      <c r="N923" s="245">
        <f t="shared" si="130"/>
        <v>0</v>
      </c>
      <c r="O923" s="245">
        <f t="shared" si="131"/>
        <v>0</v>
      </c>
      <c r="P923" t="str">
        <f t="shared" si="132"/>
        <v/>
      </c>
      <c r="Q923" t="str">
        <f>IFERROR(VLOOKUP(P923,数据库!C:M,11,0),"")</f>
        <v/>
      </c>
      <c r="R923" t="str">
        <f t="shared" si="133"/>
        <v/>
      </c>
      <c r="S923">
        <f t="shared" si="134"/>
        <v>0</v>
      </c>
    </row>
    <row r="924" spans="1:19">
      <c r="A924" t="str">
        <f>IF(B924=0,"",发货清单!A924*10^6+COUNTIF($D$2:D924,D924)*10^3+ROW(A923))</f>
        <v/>
      </c>
      <c r="B924">
        <f>IFERROR(LEFT(发货清单!H924,SEARCH("-",发货清单!H924)-1),发货清单!H924)</f>
        <v>0</v>
      </c>
      <c r="C924" t="str">
        <f>IFERROR(VLOOKUP(发货清单!A924,数据库!A:D,4,0),"")</f>
        <v/>
      </c>
      <c r="D924" t="str">
        <f>IFERROR(VLOOKUP(发货清单!A924,数据库!A:C,3,0),"")</f>
        <v/>
      </c>
      <c r="E924">
        <f>发货清单!M924</f>
        <v>0</v>
      </c>
      <c r="F924">
        <f>发货清单!U924</f>
        <v>0</v>
      </c>
      <c r="G924" t="str">
        <f>IFERROR(VLOOKUP(发货清单!A924,数据库!A:B,2,0),"")</f>
        <v/>
      </c>
      <c r="H924">
        <f>发货清单!N924</f>
        <v>0</v>
      </c>
      <c r="I924" t="str">
        <f t="shared" si="126"/>
        <v/>
      </c>
      <c r="J924" t="str">
        <f t="shared" si="127"/>
        <v xml:space="preserve"> </v>
      </c>
      <c r="K924" t="str">
        <f t="shared" si="128"/>
        <v/>
      </c>
      <c r="L924" t="str">
        <f t="shared" si="129"/>
        <v/>
      </c>
      <c r="N924" s="245">
        <f t="shared" si="130"/>
        <v>0</v>
      </c>
      <c r="O924" s="245">
        <f t="shared" si="131"/>
        <v>0</v>
      </c>
      <c r="P924" t="str">
        <f t="shared" si="132"/>
        <v/>
      </c>
      <c r="Q924" t="str">
        <f>IFERROR(VLOOKUP(P924,数据库!C:M,11,0),"")</f>
        <v/>
      </c>
      <c r="R924" t="str">
        <f t="shared" si="133"/>
        <v/>
      </c>
      <c r="S924">
        <f t="shared" si="134"/>
        <v>0</v>
      </c>
    </row>
    <row r="925" spans="1:19">
      <c r="A925" t="str">
        <f>IF(B925=0,"",发货清单!A925*10^6+COUNTIF($D$2:D925,D925)*10^3+ROW(A924))</f>
        <v/>
      </c>
      <c r="B925">
        <f>IFERROR(LEFT(发货清单!H925,SEARCH("-",发货清单!H925)-1),发货清单!H925)</f>
        <v>0</v>
      </c>
      <c r="C925" t="str">
        <f>IFERROR(VLOOKUP(发货清单!A925,数据库!A:D,4,0),"")</f>
        <v/>
      </c>
      <c r="D925" t="str">
        <f>IFERROR(VLOOKUP(发货清单!A925,数据库!A:C,3,0),"")</f>
        <v/>
      </c>
      <c r="E925">
        <f>发货清单!M925</f>
        <v>0</v>
      </c>
      <c r="F925">
        <f>发货清单!U925</f>
        <v>0</v>
      </c>
      <c r="G925" t="str">
        <f>IFERROR(VLOOKUP(发货清单!A925,数据库!A:B,2,0),"")</f>
        <v/>
      </c>
      <c r="H925">
        <f>发货清单!N925</f>
        <v>0</v>
      </c>
      <c r="I925" t="str">
        <f t="shared" si="126"/>
        <v/>
      </c>
      <c r="J925" t="str">
        <f t="shared" si="127"/>
        <v xml:space="preserve"> </v>
      </c>
      <c r="K925" t="str">
        <f t="shared" si="128"/>
        <v/>
      </c>
      <c r="L925" t="str">
        <f t="shared" si="129"/>
        <v/>
      </c>
      <c r="N925" s="245">
        <f t="shared" si="130"/>
        <v>0</v>
      </c>
      <c r="O925" s="245">
        <f t="shared" si="131"/>
        <v>0</v>
      </c>
      <c r="P925" t="str">
        <f t="shared" si="132"/>
        <v/>
      </c>
      <c r="Q925" t="str">
        <f>IFERROR(VLOOKUP(P925,数据库!C:M,11,0),"")</f>
        <v/>
      </c>
      <c r="R925" t="str">
        <f t="shared" si="133"/>
        <v/>
      </c>
      <c r="S925">
        <f t="shared" si="134"/>
        <v>0</v>
      </c>
    </row>
    <row r="926" spans="1:19">
      <c r="A926" t="str">
        <f>IF(B926=0,"",发货清单!A926*10^6+COUNTIF($D$2:D926,D926)*10^3+ROW(A925))</f>
        <v/>
      </c>
      <c r="B926">
        <f>IFERROR(LEFT(发货清单!H926,SEARCH("-",发货清单!H926)-1),发货清单!H926)</f>
        <v>0</v>
      </c>
      <c r="C926" t="str">
        <f>IFERROR(VLOOKUP(发货清单!A926,数据库!A:D,4,0),"")</f>
        <v/>
      </c>
      <c r="D926" t="str">
        <f>IFERROR(VLOOKUP(发货清单!A926,数据库!A:C,3,0),"")</f>
        <v/>
      </c>
      <c r="E926">
        <f>发货清单!M926</f>
        <v>0</v>
      </c>
      <c r="F926">
        <f>发货清单!U926</f>
        <v>0</v>
      </c>
      <c r="G926" t="str">
        <f>IFERROR(VLOOKUP(发货清单!A926,数据库!A:B,2,0),"")</f>
        <v/>
      </c>
      <c r="H926">
        <f>发货清单!N926</f>
        <v>0</v>
      </c>
      <c r="I926" t="str">
        <f t="shared" si="126"/>
        <v/>
      </c>
      <c r="J926" t="str">
        <f t="shared" si="127"/>
        <v xml:space="preserve"> </v>
      </c>
      <c r="K926" t="str">
        <f t="shared" si="128"/>
        <v/>
      </c>
      <c r="L926" t="str">
        <f t="shared" si="129"/>
        <v/>
      </c>
      <c r="N926" s="245">
        <f t="shared" si="130"/>
        <v>0</v>
      </c>
      <c r="O926" s="245">
        <f t="shared" si="131"/>
        <v>0</v>
      </c>
      <c r="P926" t="str">
        <f t="shared" si="132"/>
        <v/>
      </c>
      <c r="Q926" t="str">
        <f>IFERROR(VLOOKUP(P926,数据库!C:M,11,0),"")</f>
        <v/>
      </c>
      <c r="R926" t="str">
        <f t="shared" si="133"/>
        <v/>
      </c>
      <c r="S926">
        <f t="shared" si="134"/>
        <v>0</v>
      </c>
    </row>
    <row r="927" spans="1:19">
      <c r="A927" t="str">
        <f>IF(B927=0,"",发货清单!A927*10^6+COUNTIF($D$2:D927,D927)*10^3+ROW(A926))</f>
        <v/>
      </c>
      <c r="B927">
        <f>IFERROR(LEFT(发货清单!H927,SEARCH("-",发货清单!H927)-1),发货清单!H927)</f>
        <v>0</v>
      </c>
      <c r="C927" t="str">
        <f>IFERROR(VLOOKUP(发货清单!A927,数据库!A:D,4,0),"")</f>
        <v/>
      </c>
      <c r="D927" t="str">
        <f>IFERROR(VLOOKUP(发货清单!A927,数据库!A:C,3,0),"")</f>
        <v/>
      </c>
      <c r="E927">
        <f>发货清单!M927</f>
        <v>0</v>
      </c>
      <c r="F927">
        <f>发货清单!U927</f>
        <v>0</v>
      </c>
      <c r="G927" t="str">
        <f>IFERROR(VLOOKUP(发货清单!A927,数据库!A:B,2,0),"")</f>
        <v/>
      </c>
      <c r="H927">
        <f>发货清单!N927</f>
        <v>0</v>
      </c>
      <c r="I927" t="str">
        <f t="shared" si="126"/>
        <v/>
      </c>
      <c r="J927" t="str">
        <f t="shared" si="127"/>
        <v xml:space="preserve"> </v>
      </c>
      <c r="K927" t="str">
        <f t="shared" si="128"/>
        <v/>
      </c>
      <c r="L927" t="str">
        <f t="shared" si="129"/>
        <v/>
      </c>
      <c r="N927" s="245">
        <f t="shared" si="130"/>
        <v>0</v>
      </c>
      <c r="O927" s="245">
        <f t="shared" si="131"/>
        <v>0</v>
      </c>
      <c r="P927" t="str">
        <f t="shared" si="132"/>
        <v/>
      </c>
      <c r="Q927" t="str">
        <f>IFERROR(VLOOKUP(P927,数据库!C:M,11,0),"")</f>
        <v/>
      </c>
      <c r="R927" t="str">
        <f t="shared" si="133"/>
        <v/>
      </c>
      <c r="S927">
        <f t="shared" si="134"/>
        <v>0</v>
      </c>
    </row>
    <row r="928" spans="1:19">
      <c r="A928" t="str">
        <f>IF(B928=0,"",发货清单!A928*10^6+COUNTIF($D$2:D928,D928)*10^3+ROW(A927))</f>
        <v/>
      </c>
      <c r="B928">
        <f>IFERROR(LEFT(发货清单!H928,SEARCH("-",发货清单!H928)-1),发货清单!H928)</f>
        <v>0</v>
      </c>
      <c r="C928" t="str">
        <f>IFERROR(VLOOKUP(发货清单!A928,数据库!A:D,4,0),"")</f>
        <v/>
      </c>
      <c r="D928" t="str">
        <f>IFERROR(VLOOKUP(发货清单!A928,数据库!A:C,3,0),"")</f>
        <v/>
      </c>
      <c r="E928">
        <f>发货清单!M928</f>
        <v>0</v>
      </c>
      <c r="F928">
        <f>发货清单!U928</f>
        <v>0</v>
      </c>
      <c r="G928" t="str">
        <f>IFERROR(VLOOKUP(发货清单!A928,数据库!A:B,2,0),"")</f>
        <v/>
      </c>
      <c r="H928">
        <f>发货清单!N928</f>
        <v>0</v>
      </c>
      <c r="I928" t="str">
        <f t="shared" si="126"/>
        <v/>
      </c>
      <c r="J928" t="str">
        <f t="shared" si="127"/>
        <v xml:space="preserve"> </v>
      </c>
      <c r="K928" t="str">
        <f t="shared" si="128"/>
        <v/>
      </c>
      <c r="L928" t="str">
        <f t="shared" si="129"/>
        <v/>
      </c>
      <c r="N928" s="245">
        <f t="shared" si="130"/>
        <v>0</v>
      </c>
      <c r="O928" s="245">
        <f t="shared" si="131"/>
        <v>0</v>
      </c>
      <c r="P928" t="str">
        <f t="shared" si="132"/>
        <v/>
      </c>
      <c r="Q928" t="str">
        <f>IFERROR(VLOOKUP(P928,数据库!C:M,11,0),"")</f>
        <v/>
      </c>
      <c r="R928" t="str">
        <f t="shared" si="133"/>
        <v/>
      </c>
      <c r="S928">
        <f t="shared" si="134"/>
        <v>0</v>
      </c>
    </row>
    <row r="929" spans="1:19">
      <c r="A929" t="str">
        <f>IF(B929=0,"",发货清单!A929*10^6+COUNTIF($D$2:D929,D929)*10^3+ROW(A928))</f>
        <v/>
      </c>
      <c r="B929">
        <f>IFERROR(LEFT(发货清单!H929,SEARCH("-",发货清单!H929)-1),发货清单!H929)</f>
        <v>0</v>
      </c>
      <c r="C929" t="str">
        <f>IFERROR(VLOOKUP(发货清单!A929,数据库!A:D,4,0),"")</f>
        <v/>
      </c>
      <c r="D929" t="str">
        <f>IFERROR(VLOOKUP(发货清单!A929,数据库!A:C,3,0),"")</f>
        <v/>
      </c>
      <c r="E929">
        <f>发货清单!M929</f>
        <v>0</v>
      </c>
      <c r="F929">
        <f>发货清单!U929</f>
        <v>0</v>
      </c>
      <c r="G929" t="str">
        <f>IFERROR(VLOOKUP(发货清单!A929,数据库!A:B,2,0),"")</f>
        <v/>
      </c>
      <c r="H929">
        <f>发货清单!N929</f>
        <v>0</v>
      </c>
      <c r="I929" t="str">
        <f t="shared" si="126"/>
        <v/>
      </c>
      <c r="J929" t="str">
        <f t="shared" si="127"/>
        <v xml:space="preserve"> </v>
      </c>
      <c r="K929" t="str">
        <f t="shared" si="128"/>
        <v/>
      </c>
      <c r="L929" t="str">
        <f t="shared" si="129"/>
        <v/>
      </c>
      <c r="N929" s="245">
        <f t="shared" si="130"/>
        <v>0</v>
      </c>
      <c r="O929" s="245">
        <f t="shared" si="131"/>
        <v>0</v>
      </c>
      <c r="P929" t="str">
        <f t="shared" si="132"/>
        <v/>
      </c>
      <c r="Q929" t="str">
        <f>IFERROR(VLOOKUP(P929,数据库!C:M,11,0),"")</f>
        <v/>
      </c>
      <c r="R929" t="str">
        <f t="shared" si="133"/>
        <v/>
      </c>
      <c r="S929">
        <f t="shared" si="134"/>
        <v>0</v>
      </c>
    </row>
    <row r="930" spans="1:19">
      <c r="A930" t="str">
        <f>IF(B930=0,"",发货清单!A930*10^6+COUNTIF($D$2:D930,D930)*10^3+ROW(A929))</f>
        <v/>
      </c>
      <c r="B930">
        <f>IFERROR(LEFT(发货清单!H930,SEARCH("-",发货清单!H930)-1),发货清单!H930)</f>
        <v>0</v>
      </c>
      <c r="C930" t="str">
        <f>IFERROR(VLOOKUP(发货清单!A930,数据库!A:D,4,0),"")</f>
        <v/>
      </c>
      <c r="D930" t="str">
        <f>IFERROR(VLOOKUP(发货清单!A930,数据库!A:C,3,0),"")</f>
        <v/>
      </c>
      <c r="E930">
        <f>发货清单!M930</f>
        <v>0</v>
      </c>
      <c r="F930">
        <f>发货清单!U930</f>
        <v>0</v>
      </c>
      <c r="G930" t="str">
        <f>IFERROR(VLOOKUP(发货清单!A930,数据库!A:B,2,0),"")</f>
        <v/>
      </c>
      <c r="H930">
        <f>发货清单!N930</f>
        <v>0</v>
      </c>
      <c r="I930" t="str">
        <f t="shared" si="126"/>
        <v/>
      </c>
      <c r="J930" t="str">
        <f t="shared" si="127"/>
        <v xml:space="preserve"> </v>
      </c>
      <c r="K930" t="str">
        <f t="shared" si="128"/>
        <v/>
      </c>
      <c r="L930" t="str">
        <f t="shared" si="129"/>
        <v/>
      </c>
      <c r="N930" s="245">
        <f t="shared" si="130"/>
        <v>0</v>
      </c>
      <c r="O930" s="245">
        <f t="shared" si="131"/>
        <v>0</v>
      </c>
      <c r="P930" t="str">
        <f t="shared" si="132"/>
        <v/>
      </c>
      <c r="Q930" t="str">
        <f>IFERROR(VLOOKUP(P930,数据库!C:M,11,0),"")</f>
        <v/>
      </c>
      <c r="R930" t="str">
        <f t="shared" si="133"/>
        <v/>
      </c>
      <c r="S930">
        <f t="shared" si="134"/>
        <v>0</v>
      </c>
    </row>
    <row r="931" spans="1:19">
      <c r="A931" t="str">
        <f>IF(B931=0,"",发货清单!A931*10^6+COUNTIF($D$2:D931,D931)*10^3+ROW(A930))</f>
        <v/>
      </c>
      <c r="B931">
        <f>IFERROR(LEFT(发货清单!H931,SEARCH("-",发货清单!H931)-1),发货清单!H931)</f>
        <v>0</v>
      </c>
      <c r="C931" t="str">
        <f>IFERROR(VLOOKUP(发货清单!A931,数据库!A:D,4,0),"")</f>
        <v/>
      </c>
      <c r="D931" t="str">
        <f>IFERROR(VLOOKUP(发货清单!A931,数据库!A:C,3,0),"")</f>
        <v/>
      </c>
      <c r="E931">
        <f>发货清单!M931</f>
        <v>0</v>
      </c>
      <c r="F931">
        <f>发货清单!U931</f>
        <v>0</v>
      </c>
      <c r="G931" t="str">
        <f>IFERROR(VLOOKUP(发货清单!A931,数据库!A:B,2,0),"")</f>
        <v/>
      </c>
      <c r="H931">
        <f>发货清单!N931</f>
        <v>0</v>
      </c>
      <c r="I931" t="str">
        <f t="shared" si="126"/>
        <v/>
      </c>
      <c r="J931" t="str">
        <f t="shared" si="127"/>
        <v xml:space="preserve"> </v>
      </c>
      <c r="K931" t="str">
        <f t="shared" si="128"/>
        <v/>
      </c>
      <c r="L931" t="str">
        <f t="shared" si="129"/>
        <v/>
      </c>
      <c r="N931" s="245">
        <f t="shared" si="130"/>
        <v>0</v>
      </c>
      <c r="O931" s="245">
        <f t="shared" si="131"/>
        <v>0</v>
      </c>
      <c r="P931" t="str">
        <f t="shared" si="132"/>
        <v/>
      </c>
      <c r="Q931" t="str">
        <f>IFERROR(VLOOKUP(P931,数据库!C:M,11,0),"")</f>
        <v/>
      </c>
      <c r="R931" t="str">
        <f t="shared" si="133"/>
        <v/>
      </c>
      <c r="S931">
        <f t="shared" si="134"/>
        <v>0</v>
      </c>
    </row>
    <row r="932" spans="1:19">
      <c r="A932" t="str">
        <f>IF(B932=0,"",发货清单!A932*10^6+COUNTIF($D$2:D932,D932)*10^3+ROW(A931))</f>
        <v/>
      </c>
      <c r="B932">
        <f>IFERROR(LEFT(发货清单!H932,SEARCH("-",发货清单!H932)-1),发货清单!H932)</f>
        <v>0</v>
      </c>
      <c r="C932" t="str">
        <f>IFERROR(VLOOKUP(发货清单!A932,数据库!A:D,4,0),"")</f>
        <v/>
      </c>
      <c r="D932" t="str">
        <f>IFERROR(VLOOKUP(发货清单!A932,数据库!A:C,3,0),"")</f>
        <v/>
      </c>
      <c r="E932">
        <f>发货清单!M932</f>
        <v>0</v>
      </c>
      <c r="F932">
        <f>发货清单!U932</f>
        <v>0</v>
      </c>
      <c r="G932" t="str">
        <f>IFERROR(VLOOKUP(发货清单!A932,数据库!A:B,2,0),"")</f>
        <v/>
      </c>
      <c r="H932">
        <f>发货清单!N932</f>
        <v>0</v>
      </c>
      <c r="I932" t="str">
        <f t="shared" si="126"/>
        <v/>
      </c>
      <c r="J932" t="str">
        <f t="shared" si="127"/>
        <v xml:space="preserve"> </v>
      </c>
      <c r="K932" t="str">
        <f t="shared" si="128"/>
        <v/>
      </c>
      <c r="L932" t="str">
        <f t="shared" si="129"/>
        <v/>
      </c>
      <c r="N932" s="245">
        <f t="shared" si="130"/>
        <v>0</v>
      </c>
      <c r="O932" s="245">
        <f t="shared" si="131"/>
        <v>0</v>
      </c>
      <c r="P932" t="str">
        <f t="shared" si="132"/>
        <v/>
      </c>
      <c r="Q932" t="str">
        <f>IFERROR(VLOOKUP(P932,数据库!C:M,11,0),"")</f>
        <v/>
      </c>
      <c r="R932" t="str">
        <f t="shared" si="133"/>
        <v/>
      </c>
      <c r="S932">
        <f t="shared" si="134"/>
        <v>0</v>
      </c>
    </row>
    <row r="933" spans="1:19">
      <c r="A933" t="str">
        <f>IF(B933=0,"",发货清单!A933*10^6+COUNTIF($D$2:D933,D933)*10^3+ROW(A932))</f>
        <v/>
      </c>
      <c r="B933">
        <f>IFERROR(LEFT(发货清单!H933,SEARCH("-",发货清单!H933)-1),发货清单!H933)</f>
        <v>0</v>
      </c>
      <c r="C933" t="str">
        <f>IFERROR(VLOOKUP(发货清单!A933,数据库!A:D,4,0),"")</f>
        <v/>
      </c>
      <c r="D933" t="str">
        <f>IFERROR(VLOOKUP(发货清单!A933,数据库!A:C,3,0),"")</f>
        <v/>
      </c>
      <c r="E933">
        <f>发货清单!M933</f>
        <v>0</v>
      </c>
      <c r="F933">
        <f>发货清单!U933</f>
        <v>0</v>
      </c>
      <c r="G933" t="str">
        <f>IFERROR(VLOOKUP(发货清单!A933,数据库!A:B,2,0),"")</f>
        <v/>
      </c>
      <c r="H933">
        <f>发货清单!N933</f>
        <v>0</v>
      </c>
      <c r="I933" t="str">
        <f t="shared" si="126"/>
        <v/>
      </c>
      <c r="J933" t="str">
        <f t="shared" si="127"/>
        <v xml:space="preserve"> </v>
      </c>
      <c r="K933" t="str">
        <f t="shared" si="128"/>
        <v/>
      </c>
      <c r="L933" t="str">
        <f t="shared" si="129"/>
        <v/>
      </c>
      <c r="N933" s="245">
        <f t="shared" si="130"/>
        <v>0</v>
      </c>
      <c r="O933" s="245">
        <f t="shared" si="131"/>
        <v>0</v>
      </c>
      <c r="P933" t="str">
        <f t="shared" si="132"/>
        <v/>
      </c>
      <c r="Q933" t="str">
        <f>IFERROR(VLOOKUP(P933,数据库!C:M,11,0),"")</f>
        <v/>
      </c>
      <c r="R933" t="str">
        <f t="shared" si="133"/>
        <v/>
      </c>
      <c r="S933">
        <f t="shared" si="134"/>
        <v>0</v>
      </c>
    </row>
    <row r="934" spans="1:19">
      <c r="A934" t="str">
        <f>IF(B934=0,"",发货清单!A934*10^6+COUNTIF($D$2:D934,D934)*10^3+ROW(A933))</f>
        <v/>
      </c>
      <c r="B934">
        <f>IFERROR(LEFT(发货清单!H934,SEARCH("-",发货清单!H934)-1),发货清单!H934)</f>
        <v>0</v>
      </c>
      <c r="C934" t="str">
        <f>IFERROR(VLOOKUP(发货清单!A934,数据库!A:D,4,0),"")</f>
        <v/>
      </c>
      <c r="D934" t="str">
        <f>IFERROR(VLOOKUP(发货清单!A934,数据库!A:C,3,0),"")</f>
        <v/>
      </c>
      <c r="E934">
        <f>发货清单!M934</f>
        <v>0</v>
      </c>
      <c r="F934">
        <f>发货清单!U934</f>
        <v>0</v>
      </c>
      <c r="G934" t="str">
        <f>IFERROR(VLOOKUP(发货清单!A934,数据库!A:B,2,0),"")</f>
        <v/>
      </c>
      <c r="H934">
        <f>发货清单!N934</f>
        <v>0</v>
      </c>
      <c r="I934" t="str">
        <f t="shared" si="126"/>
        <v/>
      </c>
      <c r="J934" t="str">
        <f t="shared" si="127"/>
        <v xml:space="preserve"> </v>
      </c>
      <c r="K934" t="str">
        <f t="shared" si="128"/>
        <v/>
      </c>
      <c r="L934" t="str">
        <f t="shared" si="129"/>
        <v/>
      </c>
      <c r="N934" s="245">
        <f t="shared" si="130"/>
        <v>0</v>
      </c>
      <c r="O934" s="245">
        <f t="shared" si="131"/>
        <v>0</v>
      </c>
      <c r="P934" t="str">
        <f t="shared" si="132"/>
        <v/>
      </c>
      <c r="Q934" t="str">
        <f>IFERROR(VLOOKUP(P934,数据库!C:M,11,0),"")</f>
        <v/>
      </c>
      <c r="R934" t="str">
        <f t="shared" si="133"/>
        <v/>
      </c>
      <c r="S934">
        <f t="shared" si="134"/>
        <v>0</v>
      </c>
    </row>
    <row r="935" spans="1:19">
      <c r="A935" t="str">
        <f>IF(B935=0,"",发货清单!A935*10^6+COUNTIF($D$2:D935,D935)*10^3+ROW(A934))</f>
        <v/>
      </c>
      <c r="B935">
        <f>IFERROR(LEFT(发货清单!H935,SEARCH("-",发货清单!H935)-1),发货清单!H935)</f>
        <v>0</v>
      </c>
      <c r="C935" t="str">
        <f>IFERROR(VLOOKUP(发货清单!A935,数据库!A:D,4,0),"")</f>
        <v/>
      </c>
      <c r="D935" t="str">
        <f>IFERROR(VLOOKUP(发货清单!A935,数据库!A:C,3,0),"")</f>
        <v/>
      </c>
      <c r="E935">
        <f>发货清单!M935</f>
        <v>0</v>
      </c>
      <c r="F935">
        <f>发货清单!U935</f>
        <v>0</v>
      </c>
      <c r="G935" t="str">
        <f>IFERROR(VLOOKUP(发货清单!A935,数据库!A:B,2,0),"")</f>
        <v/>
      </c>
      <c r="H935">
        <f>发货清单!N935</f>
        <v>0</v>
      </c>
      <c r="I935" t="str">
        <f t="shared" si="126"/>
        <v/>
      </c>
      <c r="J935" t="str">
        <f t="shared" si="127"/>
        <v xml:space="preserve"> </v>
      </c>
      <c r="K935" t="str">
        <f t="shared" si="128"/>
        <v/>
      </c>
      <c r="L935" t="str">
        <f t="shared" si="129"/>
        <v/>
      </c>
      <c r="N935" s="245">
        <f t="shared" si="130"/>
        <v>0</v>
      </c>
      <c r="O935" s="245">
        <f t="shared" si="131"/>
        <v>0</v>
      </c>
      <c r="P935" t="str">
        <f t="shared" si="132"/>
        <v/>
      </c>
      <c r="Q935" t="str">
        <f>IFERROR(VLOOKUP(P935,数据库!C:M,11,0),"")</f>
        <v/>
      </c>
      <c r="R935" t="str">
        <f t="shared" si="133"/>
        <v/>
      </c>
      <c r="S935">
        <f t="shared" si="134"/>
        <v>0</v>
      </c>
    </row>
    <row r="936" spans="1:19">
      <c r="A936" t="str">
        <f>IF(B936=0,"",发货清单!A936*10^6+COUNTIF($D$2:D936,D936)*10^3+ROW(A935))</f>
        <v/>
      </c>
      <c r="B936">
        <f>IFERROR(LEFT(发货清单!H936,SEARCH("-",发货清单!H936)-1),发货清单!H936)</f>
        <v>0</v>
      </c>
      <c r="C936" t="str">
        <f>IFERROR(VLOOKUP(发货清单!A936,数据库!A:D,4,0),"")</f>
        <v/>
      </c>
      <c r="D936" t="str">
        <f>IFERROR(VLOOKUP(发货清单!A936,数据库!A:C,3,0),"")</f>
        <v/>
      </c>
      <c r="E936">
        <f>发货清单!M936</f>
        <v>0</v>
      </c>
      <c r="F936">
        <f>发货清单!U936</f>
        <v>0</v>
      </c>
      <c r="G936" t="str">
        <f>IFERROR(VLOOKUP(发货清单!A936,数据库!A:B,2,0),"")</f>
        <v/>
      </c>
      <c r="H936">
        <f>发货清单!N936</f>
        <v>0</v>
      </c>
      <c r="I936" t="str">
        <f t="shared" si="126"/>
        <v/>
      </c>
      <c r="J936" t="str">
        <f t="shared" si="127"/>
        <v xml:space="preserve"> </v>
      </c>
      <c r="K936" t="str">
        <f t="shared" si="128"/>
        <v/>
      </c>
      <c r="L936" t="str">
        <f t="shared" si="129"/>
        <v/>
      </c>
      <c r="N936" s="245">
        <f t="shared" si="130"/>
        <v>0</v>
      </c>
      <c r="O936" s="245">
        <f t="shared" si="131"/>
        <v>0</v>
      </c>
      <c r="P936" t="str">
        <f t="shared" si="132"/>
        <v/>
      </c>
      <c r="Q936" t="str">
        <f>IFERROR(VLOOKUP(P936,数据库!C:M,11,0),"")</f>
        <v/>
      </c>
      <c r="R936" t="str">
        <f t="shared" si="133"/>
        <v/>
      </c>
      <c r="S936">
        <f t="shared" si="134"/>
        <v>0</v>
      </c>
    </row>
    <row r="937" spans="1:19">
      <c r="A937" t="str">
        <f>IF(B937=0,"",发货清单!A937*10^6+COUNTIF($D$2:D937,D937)*10^3+ROW(A936))</f>
        <v/>
      </c>
      <c r="B937">
        <f>IFERROR(LEFT(发货清单!H937,SEARCH("-",发货清单!H937)-1),发货清单!H937)</f>
        <v>0</v>
      </c>
      <c r="C937" t="str">
        <f>IFERROR(VLOOKUP(发货清单!A937,数据库!A:D,4,0),"")</f>
        <v/>
      </c>
      <c r="D937" t="str">
        <f>IFERROR(VLOOKUP(发货清单!A937,数据库!A:C,3,0),"")</f>
        <v/>
      </c>
      <c r="E937">
        <f>发货清单!M937</f>
        <v>0</v>
      </c>
      <c r="F937">
        <f>发货清单!U937</f>
        <v>0</v>
      </c>
      <c r="G937" t="str">
        <f>IFERROR(VLOOKUP(发货清单!A937,数据库!A:B,2,0),"")</f>
        <v/>
      </c>
      <c r="H937">
        <f>发货清单!N937</f>
        <v>0</v>
      </c>
      <c r="I937" t="str">
        <f t="shared" si="126"/>
        <v/>
      </c>
      <c r="J937" t="str">
        <f t="shared" si="127"/>
        <v xml:space="preserve"> </v>
      </c>
      <c r="K937" t="str">
        <f t="shared" si="128"/>
        <v/>
      </c>
      <c r="L937" t="str">
        <f t="shared" si="129"/>
        <v/>
      </c>
      <c r="N937" s="245">
        <f t="shared" si="130"/>
        <v>0</v>
      </c>
      <c r="O937" s="245">
        <f t="shared" si="131"/>
        <v>0</v>
      </c>
      <c r="P937" t="str">
        <f t="shared" si="132"/>
        <v/>
      </c>
      <c r="Q937" t="str">
        <f>IFERROR(VLOOKUP(P937,数据库!C:M,11,0),"")</f>
        <v/>
      </c>
      <c r="R937" t="str">
        <f t="shared" si="133"/>
        <v/>
      </c>
      <c r="S937">
        <f t="shared" si="134"/>
        <v>0</v>
      </c>
    </row>
    <row r="938" spans="1:19">
      <c r="A938" t="str">
        <f>IF(B938=0,"",发货清单!A938*10^6+COUNTIF($D$2:D938,D938)*10^3+ROW(A937))</f>
        <v/>
      </c>
      <c r="B938">
        <f>IFERROR(LEFT(发货清单!H938,SEARCH("-",发货清单!H938)-1),发货清单!H938)</f>
        <v>0</v>
      </c>
      <c r="C938" t="str">
        <f>IFERROR(VLOOKUP(发货清单!A938,数据库!A:D,4,0),"")</f>
        <v/>
      </c>
      <c r="D938" t="str">
        <f>IFERROR(VLOOKUP(发货清单!A938,数据库!A:C,3,0),"")</f>
        <v/>
      </c>
      <c r="E938">
        <f>发货清单!M938</f>
        <v>0</v>
      </c>
      <c r="F938">
        <f>发货清单!U938</f>
        <v>0</v>
      </c>
      <c r="G938" t="str">
        <f>IFERROR(VLOOKUP(发货清单!A938,数据库!A:B,2,0),"")</f>
        <v/>
      </c>
      <c r="H938">
        <f>发货清单!N938</f>
        <v>0</v>
      </c>
      <c r="I938" t="str">
        <f t="shared" si="126"/>
        <v/>
      </c>
      <c r="J938" t="str">
        <f t="shared" si="127"/>
        <v xml:space="preserve"> </v>
      </c>
      <c r="K938" t="str">
        <f t="shared" si="128"/>
        <v/>
      </c>
      <c r="L938" t="str">
        <f t="shared" si="129"/>
        <v/>
      </c>
      <c r="N938" s="245">
        <f t="shared" si="130"/>
        <v>0</v>
      </c>
      <c r="O938" s="245">
        <f t="shared" si="131"/>
        <v>0</v>
      </c>
      <c r="P938" t="str">
        <f t="shared" si="132"/>
        <v/>
      </c>
      <c r="Q938" t="str">
        <f>IFERROR(VLOOKUP(P938,数据库!C:M,11,0),"")</f>
        <v/>
      </c>
      <c r="R938" t="str">
        <f t="shared" si="133"/>
        <v/>
      </c>
      <c r="S938">
        <f t="shared" si="134"/>
        <v>0</v>
      </c>
    </row>
    <row r="939" spans="1:19">
      <c r="A939" t="str">
        <f>IF(B939=0,"",发货清单!A939*10^6+COUNTIF($D$2:D939,D939)*10^3+ROW(A938))</f>
        <v/>
      </c>
      <c r="B939">
        <f>IFERROR(LEFT(发货清单!H939,SEARCH("-",发货清单!H939)-1),发货清单!H939)</f>
        <v>0</v>
      </c>
      <c r="C939" t="str">
        <f>IFERROR(VLOOKUP(发货清单!A939,数据库!A:D,4,0),"")</f>
        <v/>
      </c>
      <c r="D939" t="str">
        <f>IFERROR(VLOOKUP(发货清单!A939,数据库!A:C,3,0),"")</f>
        <v/>
      </c>
      <c r="E939">
        <f>发货清单!M939</f>
        <v>0</v>
      </c>
      <c r="F939">
        <f>发货清单!U939</f>
        <v>0</v>
      </c>
      <c r="G939" t="str">
        <f>IFERROR(VLOOKUP(发货清单!A939,数据库!A:B,2,0),"")</f>
        <v/>
      </c>
      <c r="H939">
        <f>发货清单!N939</f>
        <v>0</v>
      </c>
      <c r="I939" t="str">
        <f t="shared" si="126"/>
        <v/>
      </c>
      <c r="J939" t="str">
        <f t="shared" si="127"/>
        <v xml:space="preserve"> </v>
      </c>
      <c r="K939" t="str">
        <f t="shared" si="128"/>
        <v/>
      </c>
      <c r="L939" t="str">
        <f t="shared" si="129"/>
        <v/>
      </c>
      <c r="N939" s="245">
        <f t="shared" si="130"/>
        <v>0</v>
      </c>
      <c r="O939" s="245">
        <f t="shared" si="131"/>
        <v>0</v>
      </c>
      <c r="P939" t="str">
        <f t="shared" si="132"/>
        <v/>
      </c>
      <c r="Q939" t="str">
        <f>IFERROR(VLOOKUP(P939,数据库!C:M,11,0),"")</f>
        <v/>
      </c>
      <c r="R939" t="str">
        <f t="shared" si="133"/>
        <v/>
      </c>
      <c r="S939">
        <f t="shared" si="134"/>
        <v>0</v>
      </c>
    </row>
    <row r="940" spans="1:19">
      <c r="A940" t="str">
        <f>IF(B940=0,"",发货清单!A940*10^6+COUNTIF($D$2:D940,D940)*10^3+ROW(A939))</f>
        <v/>
      </c>
      <c r="B940">
        <f>IFERROR(LEFT(发货清单!H940,SEARCH("-",发货清单!H940)-1),发货清单!H940)</f>
        <v>0</v>
      </c>
      <c r="C940" t="str">
        <f>IFERROR(VLOOKUP(发货清单!A940,数据库!A:D,4,0),"")</f>
        <v/>
      </c>
      <c r="D940" t="str">
        <f>IFERROR(VLOOKUP(发货清单!A940,数据库!A:C,3,0),"")</f>
        <v/>
      </c>
      <c r="E940">
        <f>发货清单!M940</f>
        <v>0</v>
      </c>
      <c r="F940">
        <f>发货清单!U940</f>
        <v>0</v>
      </c>
      <c r="G940" t="str">
        <f>IFERROR(VLOOKUP(发货清单!A940,数据库!A:B,2,0),"")</f>
        <v/>
      </c>
      <c r="H940">
        <f>发货清单!N940</f>
        <v>0</v>
      </c>
      <c r="I940" t="str">
        <f t="shared" si="126"/>
        <v/>
      </c>
      <c r="J940" t="str">
        <f t="shared" si="127"/>
        <v xml:space="preserve"> </v>
      </c>
      <c r="K940" t="str">
        <f t="shared" si="128"/>
        <v/>
      </c>
      <c r="L940" t="str">
        <f t="shared" si="129"/>
        <v/>
      </c>
      <c r="N940" s="245">
        <f t="shared" si="130"/>
        <v>0</v>
      </c>
      <c r="O940" s="245">
        <f t="shared" si="131"/>
        <v>0</v>
      </c>
      <c r="P940" t="str">
        <f t="shared" si="132"/>
        <v/>
      </c>
      <c r="Q940" t="str">
        <f>IFERROR(VLOOKUP(P940,数据库!C:M,11,0),"")</f>
        <v/>
      </c>
      <c r="R940" t="str">
        <f t="shared" si="133"/>
        <v/>
      </c>
      <c r="S940">
        <f t="shared" si="134"/>
        <v>0</v>
      </c>
    </row>
    <row r="941" spans="1:19">
      <c r="A941" t="str">
        <f>IF(B941=0,"",发货清单!A941*10^6+COUNTIF($D$2:D941,D941)*10^3+ROW(A940))</f>
        <v/>
      </c>
      <c r="B941">
        <f>IFERROR(LEFT(发货清单!H941,SEARCH("-",发货清单!H941)-1),发货清单!H941)</f>
        <v>0</v>
      </c>
      <c r="C941" t="str">
        <f>IFERROR(VLOOKUP(发货清单!A941,数据库!A:D,4,0),"")</f>
        <v/>
      </c>
      <c r="D941" t="str">
        <f>IFERROR(VLOOKUP(发货清单!A941,数据库!A:C,3,0),"")</f>
        <v/>
      </c>
      <c r="E941">
        <f>发货清单!M941</f>
        <v>0</v>
      </c>
      <c r="F941">
        <f>发货清单!U941</f>
        <v>0</v>
      </c>
      <c r="G941" t="str">
        <f>IFERROR(VLOOKUP(发货清单!A941,数据库!A:B,2,0),"")</f>
        <v/>
      </c>
      <c r="H941">
        <f>发货清单!N941</f>
        <v>0</v>
      </c>
      <c r="I941" t="str">
        <f t="shared" si="126"/>
        <v/>
      </c>
      <c r="J941" t="str">
        <f t="shared" si="127"/>
        <v xml:space="preserve"> </v>
      </c>
      <c r="K941" t="str">
        <f t="shared" si="128"/>
        <v/>
      </c>
      <c r="L941" t="str">
        <f t="shared" si="129"/>
        <v/>
      </c>
      <c r="N941" s="245">
        <f t="shared" si="130"/>
        <v>0</v>
      </c>
      <c r="O941" s="245">
        <f t="shared" si="131"/>
        <v>0</v>
      </c>
      <c r="P941" t="str">
        <f t="shared" si="132"/>
        <v/>
      </c>
      <c r="Q941" t="str">
        <f>IFERROR(VLOOKUP(P941,数据库!C:M,11,0),"")</f>
        <v/>
      </c>
      <c r="R941" t="str">
        <f t="shared" si="133"/>
        <v/>
      </c>
      <c r="S941">
        <f t="shared" si="134"/>
        <v>0</v>
      </c>
    </row>
    <row r="942" spans="1:19">
      <c r="A942" t="str">
        <f>IF(B942=0,"",发货清单!A942*10^6+COUNTIF($D$2:D942,D942)*10^3+ROW(A941))</f>
        <v/>
      </c>
      <c r="B942">
        <f>IFERROR(LEFT(发货清单!H942,SEARCH("-",发货清单!H942)-1),发货清单!H942)</f>
        <v>0</v>
      </c>
      <c r="C942" t="str">
        <f>IFERROR(VLOOKUP(发货清单!A942,数据库!A:D,4,0),"")</f>
        <v/>
      </c>
      <c r="D942" t="str">
        <f>IFERROR(VLOOKUP(发货清单!A942,数据库!A:C,3,0),"")</f>
        <v/>
      </c>
      <c r="E942">
        <f>发货清单!M942</f>
        <v>0</v>
      </c>
      <c r="F942">
        <f>发货清单!U942</f>
        <v>0</v>
      </c>
      <c r="G942" t="str">
        <f>IFERROR(VLOOKUP(发货清单!A942,数据库!A:B,2,0),"")</f>
        <v/>
      </c>
      <c r="H942">
        <f>发货清单!N942</f>
        <v>0</v>
      </c>
      <c r="I942" t="str">
        <f t="shared" si="126"/>
        <v/>
      </c>
      <c r="J942" t="str">
        <f t="shared" si="127"/>
        <v xml:space="preserve"> </v>
      </c>
      <c r="K942" t="str">
        <f t="shared" si="128"/>
        <v/>
      </c>
      <c r="L942" t="str">
        <f t="shared" si="129"/>
        <v/>
      </c>
      <c r="N942" s="245">
        <f t="shared" si="130"/>
        <v>0</v>
      </c>
      <c r="O942" s="245">
        <f t="shared" si="131"/>
        <v>0</v>
      </c>
      <c r="P942" t="str">
        <f t="shared" si="132"/>
        <v/>
      </c>
      <c r="Q942" t="str">
        <f>IFERROR(VLOOKUP(P942,数据库!C:M,11,0),"")</f>
        <v/>
      </c>
      <c r="R942" t="str">
        <f t="shared" si="133"/>
        <v/>
      </c>
      <c r="S942">
        <f t="shared" si="134"/>
        <v>0</v>
      </c>
    </row>
    <row r="943" spans="1:19">
      <c r="A943" t="str">
        <f>IF(B943=0,"",发货清单!A943*10^6+COUNTIF($D$2:D943,D943)*10^3+ROW(A942))</f>
        <v/>
      </c>
      <c r="B943">
        <f>IFERROR(LEFT(发货清单!H943,SEARCH("-",发货清单!H943)-1),发货清单!H943)</f>
        <v>0</v>
      </c>
      <c r="C943" t="str">
        <f>IFERROR(VLOOKUP(发货清单!A943,数据库!A:D,4,0),"")</f>
        <v/>
      </c>
      <c r="D943" t="str">
        <f>IFERROR(VLOOKUP(发货清单!A943,数据库!A:C,3,0),"")</f>
        <v/>
      </c>
      <c r="E943">
        <f>发货清单!M943</f>
        <v>0</v>
      </c>
      <c r="F943">
        <f>发货清单!U943</f>
        <v>0</v>
      </c>
      <c r="G943" t="str">
        <f>IFERROR(VLOOKUP(发货清单!A943,数据库!A:B,2,0),"")</f>
        <v/>
      </c>
      <c r="H943">
        <f>发货清单!N943</f>
        <v>0</v>
      </c>
      <c r="I943" t="str">
        <f t="shared" si="126"/>
        <v/>
      </c>
      <c r="J943" t="str">
        <f t="shared" si="127"/>
        <v xml:space="preserve"> </v>
      </c>
      <c r="K943" t="str">
        <f t="shared" si="128"/>
        <v/>
      </c>
      <c r="L943" t="str">
        <f t="shared" si="129"/>
        <v/>
      </c>
      <c r="N943" s="245">
        <f t="shared" si="130"/>
        <v>0</v>
      </c>
      <c r="O943" s="245">
        <f t="shared" si="131"/>
        <v>0</v>
      </c>
      <c r="P943" t="str">
        <f t="shared" si="132"/>
        <v/>
      </c>
      <c r="Q943" t="str">
        <f>IFERROR(VLOOKUP(P943,数据库!C:M,11,0),"")</f>
        <v/>
      </c>
      <c r="R943" t="str">
        <f t="shared" si="133"/>
        <v/>
      </c>
      <c r="S943">
        <f t="shared" si="134"/>
        <v>0</v>
      </c>
    </row>
    <row r="944" spans="1:19">
      <c r="A944" t="str">
        <f>IF(B944=0,"",发货清单!A944*10^6+COUNTIF($D$2:D944,D944)*10^3+ROW(A943))</f>
        <v/>
      </c>
      <c r="B944">
        <f>IFERROR(LEFT(发货清单!H944,SEARCH("-",发货清单!H944)-1),发货清单!H944)</f>
        <v>0</v>
      </c>
      <c r="C944" t="str">
        <f>IFERROR(VLOOKUP(发货清单!A944,数据库!A:D,4,0),"")</f>
        <v/>
      </c>
      <c r="D944" t="str">
        <f>IFERROR(VLOOKUP(发货清单!A944,数据库!A:C,3,0),"")</f>
        <v/>
      </c>
      <c r="E944">
        <f>发货清单!M944</f>
        <v>0</v>
      </c>
      <c r="F944">
        <f>发货清单!U944</f>
        <v>0</v>
      </c>
      <c r="G944" t="str">
        <f>IFERROR(VLOOKUP(发货清单!A944,数据库!A:B,2,0),"")</f>
        <v/>
      </c>
      <c r="H944">
        <f>发货清单!N944</f>
        <v>0</v>
      </c>
      <c r="I944" t="str">
        <f t="shared" si="126"/>
        <v/>
      </c>
      <c r="J944" t="str">
        <f t="shared" si="127"/>
        <v xml:space="preserve"> </v>
      </c>
      <c r="K944" t="str">
        <f t="shared" si="128"/>
        <v/>
      </c>
      <c r="L944" t="str">
        <f t="shared" si="129"/>
        <v/>
      </c>
      <c r="N944" s="245">
        <f t="shared" si="130"/>
        <v>0</v>
      </c>
      <c r="O944" s="245">
        <f t="shared" si="131"/>
        <v>0</v>
      </c>
      <c r="P944" t="str">
        <f t="shared" si="132"/>
        <v/>
      </c>
      <c r="Q944" t="str">
        <f>IFERROR(VLOOKUP(P944,数据库!C:M,11,0),"")</f>
        <v/>
      </c>
      <c r="R944" t="str">
        <f t="shared" si="133"/>
        <v/>
      </c>
      <c r="S944">
        <f t="shared" si="134"/>
        <v>0</v>
      </c>
    </row>
    <row r="945" spans="1:19">
      <c r="A945" t="str">
        <f>IF(B945=0,"",发货清单!A945*10^6+COUNTIF($D$2:D945,D945)*10^3+ROW(A944))</f>
        <v/>
      </c>
      <c r="B945">
        <f>IFERROR(LEFT(发货清单!H945,SEARCH("-",发货清单!H945)-1),发货清单!H945)</f>
        <v>0</v>
      </c>
      <c r="C945" t="str">
        <f>IFERROR(VLOOKUP(发货清单!A945,数据库!A:D,4,0),"")</f>
        <v/>
      </c>
      <c r="D945" t="str">
        <f>IFERROR(VLOOKUP(发货清单!A945,数据库!A:C,3,0),"")</f>
        <v/>
      </c>
      <c r="E945">
        <f>发货清单!M945</f>
        <v>0</v>
      </c>
      <c r="F945">
        <f>发货清单!U945</f>
        <v>0</v>
      </c>
      <c r="G945" t="str">
        <f>IFERROR(VLOOKUP(发货清单!A945,数据库!A:B,2,0),"")</f>
        <v/>
      </c>
      <c r="H945">
        <f>发货清单!N945</f>
        <v>0</v>
      </c>
      <c r="I945" t="str">
        <f t="shared" si="126"/>
        <v/>
      </c>
      <c r="J945" t="str">
        <f t="shared" si="127"/>
        <v xml:space="preserve"> </v>
      </c>
      <c r="K945" t="str">
        <f t="shared" si="128"/>
        <v/>
      </c>
      <c r="L945" t="str">
        <f t="shared" si="129"/>
        <v/>
      </c>
      <c r="N945" s="245">
        <f t="shared" si="130"/>
        <v>0</v>
      </c>
      <c r="O945" s="245">
        <f t="shared" si="131"/>
        <v>0</v>
      </c>
      <c r="P945" t="str">
        <f t="shared" si="132"/>
        <v/>
      </c>
      <c r="Q945" t="str">
        <f>IFERROR(VLOOKUP(P945,数据库!C:M,11,0),"")</f>
        <v/>
      </c>
      <c r="R945" t="str">
        <f t="shared" si="133"/>
        <v/>
      </c>
      <c r="S945">
        <f t="shared" si="134"/>
        <v>0</v>
      </c>
    </row>
    <row r="946" spans="1:19">
      <c r="A946" t="str">
        <f>IF(B946=0,"",发货清单!A946*10^6+COUNTIF($D$2:D946,D946)*10^3+ROW(A945))</f>
        <v/>
      </c>
      <c r="B946">
        <f>IFERROR(LEFT(发货清单!H946,SEARCH("-",发货清单!H946)-1),发货清单!H946)</f>
        <v>0</v>
      </c>
      <c r="C946" t="str">
        <f>IFERROR(VLOOKUP(发货清单!A946,数据库!A:D,4,0),"")</f>
        <v/>
      </c>
      <c r="D946" t="str">
        <f>IFERROR(VLOOKUP(发货清单!A946,数据库!A:C,3,0),"")</f>
        <v/>
      </c>
      <c r="E946">
        <f>发货清单!M946</f>
        <v>0</v>
      </c>
      <c r="F946">
        <f>发货清单!U946</f>
        <v>0</v>
      </c>
      <c r="G946" t="str">
        <f>IFERROR(VLOOKUP(发货清单!A946,数据库!A:B,2,0),"")</f>
        <v/>
      </c>
      <c r="H946">
        <f>发货清单!N946</f>
        <v>0</v>
      </c>
      <c r="I946" t="str">
        <f t="shared" si="126"/>
        <v/>
      </c>
      <c r="J946" t="str">
        <f t="shared" si="127"/>
        <v xml:space="preserve"> </v>
      </c>
      <c r="K946" t="str">
        <f t="shared" si="128"/>
        <v/>
      </c>
      <c r="L946" t="str">
        <f t="shared" si="129"/>
        <v/>
      </c>
      <c r="N946" s="245">
        <f t="shared" si="130"/>
        <v>0</v>
      </c>
      <c r="O946" s="245">
        <f t="shared" si="131"/>
        <v>0</v>
      </c>
      <c r="P946" t="str">
        <f t="shared" si="132"/>
        <v/>
      </c>
      <c r="Q946" t="str">
        <f>IFERROR(VLOOKUP(P946,数据库!C:M,11,0),"")</f>
        <v/>
      </c>
      <c r="R946" t="str">
        <f t="shared" si="133"/>
        <v/>
      </c>
      <c r="S946">
        <f t="shared" si="134"/>
        <v>0</v>
      </c>
    </row>
    <row r="947" spans="1:19">
      <c r="A947" t="str">
        <f>IF(B947=0,"",发货清单!A947*10^6+COUNTIF($D$2:D947,D947)*10^3+ROW(A946))</f>
        <v/>
      </c>
      <c r="B947">
        <f>IFERROR(LEFT(发货清单!H947,SEARCH("-",发货清单!H947)-1),发货清单!H947)</f>
        <v>0</v>
      </c>
      <c r="C947" t="str">
        <f>IFERROR(VLOOKUP(发货清单!A947,数据库!A:D,4,0),"")</f>
        <v/>
      </c>
      <c r="D947" t="str">
        <f>IFERROR(VLOOKUP(发货清单!A947,数据库!A:C,3,0),"")</f>
        <v/>
      </c>
      <c r="E947">
        <f>发货清单!M947</f>
        <v>0</v>
      </c>
      <c r="F947">
        <f>发货清单!U947</f>
        <v>0</v>
      </c>
      <c r="G947" t="str">
        <f>IFERROR(VLOOKUP(发货清单!A947,数据库!A:B,2,0),"")</f>
        <v/>
      </c>
      <c r="H947">
        <f>发货清单!N947</f>
        <v>0</v>
      </c>
      <c r="I947" t="str">
        <f t="shared" si="126"/>
        <v/>
      </c>
      <c r="J947" t="str">
        <f t="shared" si="127"/>
        <v xml:space="preserve"> </v>
      </c>
      <c r="K947" t="str">
        <f t="shared" si="128"/>
        <v/>
      </c>
      <c r="L947" t="str">
        <f t="shared" si="129"/>
        <v/>
      </c>
      <c r="N947" s="245">
        <f t="shared" si="130"/>
        <v>0</v>
      </c>
      <c r="O947" s="245">
        <f t="shared" si="131"/>
        <v>0</v>
      </c>
      <c r="P947" t="str">
        <f t="shared" si="132"/>
        <v/>
      </c>
      <c r="Q947" t="str">
        <f>IFERROR(VLOOKUP(P947,数据库!C:M,11,0),"")</f>
        <v/>
      </c>
      <c r="R947" t="str">
        <f t="shared" si="133"/>
        <v/>
      </c>
      <c r="S947">
        <f t="shared" si="134"/>
        <v>0</v>
      </c>
    </row>
    <row r="948" spans="1:19">
      <c r="A948" t="str">
        <f>IF(B948=0,"",发货清单!A948*10^6+COUNTIF($D$2:D948,D948)*10^3+ROW(A947))</f>
        <v/>
      </c>
      <c r="B948">
        <f>IFERROR(LEFT(发货清单!H948,SEARCH("-",发货清单!H948)-1),发货清单!H948)</f>
        <v>0</v>
      </c>
      <c r="C948" t="str">
        <f>IFERROR(VLOOKUP(发货清单!A948,数据库!A:D,4,0),"")</f>
        <v/>
      </c>
      <c r="D948" t="str">
        <f>IFERROR(VLOOKUP(发货清单!A948,数据库!A:C,3,0),"")</f>
        <v/>
      </c>
      <c r="E948">
        <f>发货清单!M948</f>
        <v>0</v>
      </c>
      <c r="F948">
        <f>发货清单!U948</f>
        <v>0</v>
      </c>
      <c r="G948" t="str">
        <f>IFERROR(VLOOKUP(发货清单!A948,数据库!A:B,2,0),"")</f>
        <v/>
      </c>
      <c r="H948">
        <f>发货清单!N948</f>
        <v>0</v>
      </c>
      <c r="I948" t="str">
        <f t="shared" si="126"/>
        <v/>
      </c>
      <c r="J948" t="str">
        <f t="shared" si="127"/>
        <v xml:space="preserve"> </v>
      </c>
      <c r="K948" t="str">
        <f t="shared" si="128"/>
        <v/>
      </c>
      <c r="L948" t="str">
        <f t="shared" si="129"/>
        <v/>
      </c>
      <c r="N948" s="245">
        <f t="shared" si="130"/>
        <v>0</v>
      </c>
      <c r="O948" s="245">
        <f t="shared" si="131"/>
        <v>0</v>
      </c>
      <c r="P948" t="str">
        <f t="shared" si="132"/>
        <v/>
      </c>
      <c r="Q948" t="str">
        <f>IFERROR(VLOOKUP(P948,数据库!C:M,11,0),"")</f>
        <v/>
      </c>
      <c r="R948" t="str">
        <f t="shared" si="133"/>
        <v/>
      </c>
      <c r="S948">
        <f t="shared" si="134"/>
        <v>0</v>
      </c>
    </row>
    <row r="949" spans="1:19">
      <c r="A949" t="str">
        <f>IF(B949=0,"",发货清单!A949*10^6+COUNTIF($D$2:D949,D949)*10^3+ROW(A948))</f>
        <v/>
      </c>
      <c r="B949">
        <f>IFERROR(LEFT(发货清单!H949,SEARCH("-",发货清单!H949)-1),发货清单!H949)</f>
        <v>0</v>
      </c>
      <c r="C949" t="str">
        <f>IFERROR(VLOOKUP(发货清单!A949,数据库!A:D,4,0),"")</f>
        <v/>
      </c>
      <c r="D949" t="str">
        <f>IFERROR(VLOOKUP(发货清单!A949,数据库!A:C,3,0),"")</f>
        <v/>
      </c>
      <c r="E949">
        <f>发货清单!M949</f>
        <v>0</v>
      </c>
      <c r="F949">
        <f>发货清单!U949</f>
        <v>0</v>
      </c>
      <c r="G949" t="str">
        <f>IFERROR(VLOOKUP(发货清单!A949,数据库!A:B,2,0),"")</f>
        <v/>
      </c>
      <c r="H949">
        <f>发货清单!N949</f>
        <v>0</v>
      </c>
      <c r="I949" t="str">
        <f t="shared" si="126"/>
        <v/>
      </c>
      <c r="J949" t="str">
        <f t="shared" si="127"/>
        <v xml:space="preserve"> </v>
      </c>
      <c r="K949" t="str">
        <f t="shared" si="128"/>
        <v/>
      </c>
      <c r="L949" t="str">
        <f t="shared" si="129"/>
        <v/>
      </c>
      <c r="N949" s="245">
        <f t="shared" si="130"/>
        <v>0</v>
      </c>
      <c r="O949" s="245">
        <f t="shared" si="131"/>
        <v>0</v>
      </c>
      <c r="P949" t="str">
        <f t="shared" si="132"/>
        <v/>
      </c>
      <c r="Q949" t="str">
        <f>IFERROR(VLOOKUP(P949,数据库!C:M,11,0),"")</f>
        <v/>
      </c>
      <c r="R949" t="str">
        <f t="shared" si="133"/>
        <v/>
      </c>
      <c r="S949">
        <f t="shared" si="134"/>
        <v>0</v>
      </c>
    </row>
    <row r="950" spans="1:19">
      <c r="A950" t="str">
        <f>IF(B950=0,"",发货清单!A950*10^6+COUNTIF($D$2:D950,D950)*10^3+ROW(A949))</f>
        <v/>
      </c>
      <c r="B950">
        <f>IFERROR(LEFT(发货清单!H950,SEARCH("-",发货清单!H950)-1),发货清单!H950)</f>
        <v>0</v>
      </c>
      <c r="C950" t="str">
        <f>IFERROR(VLOOKUP(发货清单!A950,数据库!A:D,4,0),"")</f>
        <v/>
      </c>
      <c r="D950" t="str">
        <f>IFERROR(VLOOKUP(发货清单!A950,数据库!A:C,3,0),"")</f>
        <v/>
      </c>
      <c r="E950">
        <f>发货清单!M950</f>
        <v>0</v>
      </c>
      <c r="F950">
        <f>发货清单!U950</f>
        <v>0</v>
      </c>
      <c r="G950" t="str">
        <f>IFERROR(VLOOKUP(发货清单!A950,数据库!A:B,2,0),"")</f>
        <v/>
      </c>
      <c r="H950">
        <f>发货清单!N950</f>
        <v>0</v>
      </c>
      <c r="I950" t="str">
        <f t="shared" si="126"/>
        <v/>
      </c>
      <c r="J950" t="str">
        <f t="shared" si="127"/>
        <v xml:space="preserve"> </v>
      </c>
      <c r="K950" t="str">
        <f t="shared" si="128"/>
        <v/>
      </c>
      <c r="L950" t="str">
        <f t="shared" si="129"/>
        <v/>
      </c>
      <c r="N950" s="245">
        <f t="shared" si="130"/>
        <v>0</v>
      </c>
      <c r="O950" s="245">
        <f t="shared" si="131"/>
        <v>0</v>
      </c>
      <c r="P950" t="str">
        <f t="shared" si="132"/>
        <v/>
      </c>
      <c r="Q950" t="str">
        <f>IFERROR(VLOOKUP(P950,数据库!C:M,11,0),"")</f>
        <v/>
      </c>
      <c r="R950" t="str">
        <f t="shared" si="133"/>
        <v/>
      </c>
      <c r="S950">
        <f t="shared" si="134"/>
        <v>0</v>
      </c>
    </row>
    <row r="951" spans="1:19">
      <c r="A951" t="str">
        <f>IF(B951=0,"",发货清单!A951*10^6+COUNTIF($D$2:D951,D951)*10^3+ROW(A950))</f>
        <v/>
      </c>
      <c r="B951">
        <f>IFERROR(LEFT(发货清单!H951,SEARCH("-",发货清单!H951)-1),发货清单!H951)</f>
        <v>0</v>
      </c>
      <c r="C951" t="str">
        <f>IFERROR(VLOOKUP(发货清单!A951,数据库!A:D,4,0),"")</f>
        <v/>
      </c>
      <c r="D951" t="str">
        <f>IFERROR(VLOOKUP(发货清单!A951,数据库!A:C,3,0),"")</f>
        <v/>
      </c>
      <c r="E951">
        <f>发货清单!M951</f>
        <v>0</v>
      </c>
      <c r="F951">
        <f>发货清单!U951</f>
        <v>0</v>
      </c>
      <c r="G951" t="str">
        <f>IFERROR(VLOOKUP(发货清单!A951,数据库!A:B,2,0),"")</f>
        <v/>
      </c>
      <c r="H951">
        <f>发货清单!N951</f>
        <v>0</v>
      </c>
      <c r="I951" t="str">
        <f t="shared" si="126"/>
        <v/>
      </c>
      <c r="J951" t="str">
        <f t="shared" si="127"/>
        <v xml:space="preserve"> </v>
      </c>
      <c r="K951" t="str">
        <f t="shared" si="128"/>
        <v/>
      </c>
      <c r="L951" t="str">
        <f t="shared" si="129"/>
        <v/>
      </c>
      <c r="N951" s="245">
        <f t="shared" si="130"/>
        <v>0</v>
      </c>
      <c r="O951" s="245">
        <f t="shared" si="131"/>
        <v>0</v>
      </c>
      <c r="P951" t="str">
        <f t="shared" si="132"/>
        <v/>
      </c>
      <c r="Q951" t="str">
        <f>IFERROR(VLOOKUP(P951,数据库!C:M,11,0),"")</f>
        <v/>
      </c>
      <c r="R951" t="str">
        <f t="shared" si="133"/>
        <v/>
      </c>
      <c r="S951">
        <f t="shared" si="134"/>
        <v>0</v>
      </c>
    </row>
    <row r="952" spans="1:19">
      <c r="A952" t="str">
        <f>IF(B952=0,"",发货清单!A952*10^6+COUNTIF($D$2:D952,D952)*10^3+ROW(A951))</f>
        <v/>
      </c>
      <c r="B952">
        <f>IFERROR(LEFT(发货清单!H952,SEARCH("-",发货清单!H952)-1),发货清单!H952)</f>
        <v>0</v>
      </c>
      <c r="C952" t="str">
        <f>IFERROR(VLOOKUP(发货清单!A952,数据库!A:D,4,0),"")</f>
        <v/>
      </c>
      <c r="D952" t="str">
        <f>IFERROR(VLOOKUP(发货清单!A952,数据库!A:C,3,0),"")</f>
        <v/>
      </c>
      <c r="E952">
        <f>发货清单!M952</f>
        <v>0</v>
      </c>
      <c r="F952">
        <f>发货清单!U952</f>
        <v>0</v>
      </c>
      <c r="G952" t="str">
        <f>IFERROR(VLOOKUP(发货清单!A952,数据库!A:B,2,0),"")</f>
        <v/>
      </c>
      <c r="H952">
        <f>发货清单!N952</f>
        <v>0</v>
      </c>
      <c r="I952" t="str">
        <f t="shared" si="126"/>
        <v/>
      </c>
      <c r="J952" t="str">
        <f t="shared" si="127"/>
        <v xml:space="preserve"> </v>
      </c>
      <c r="K952" t="str">
        <f t="shared" si="128"/>
        <v/>
      </c>
      <c r="L952" t="str">
        <f t="shared" si="129"/>
        <v/>
      </c>
      <c r="N952" s="245">
        <f t="shared" si="130"/>
        <v>0</v>
      </c>
      <c r="O952" s="245">
        <f t="shared" si="131"/>
        <v>0</v>
      </c>
      <c r="P952" t="str">
        <f t="shared" si="132"/>
        <v/>
      </c>
      <c r="Q952" t="str">
        <f>IFERROR(VLOOKUP(P952,数据库!C:M,11,0),"")</f>
        <v/>
      </c>
      <c r="R952" t="str">
        <f t="shared" si="133"/>
        <v/>
      </c>
      <c r="S952">
        <f t="shared" si="134"/>
        <v>0</v>
      </c>
    </row>
    <row r="953" spans="1:19">
      <c r="A953" t="str">
        <f>IF(B953=0,"",发货清单!A953*10^6+COUNTIF($D$2:D953,D953)*10^3+ROW(A952))</f>
        <v/>
      </c>
      <c r="B953">
        <f>IFERROR(LEFT(发货清单!H953,SEARCH("-",发货清单!H953)-1),发货清单!H953)</f>
        <v>0</v>
      </c>
      <c r="C953" t="str">
        <f>IFERROR(VLOOKUP(发货清单!A953,数据库!A:D,4,0),"")</f>
        <v/>
      </c>
      <c r="D953" t="str">
        <f>IFERROR(VLOOKUP(发货清单!A953,数据库!A:C,3,0),"")</f>
        <v/>
      </c>
      <c r="E953">
        <f>发货清单!M953</f>
        <v>0</v>
      </c>
      <c r="F953">
        <f>发货清单!U953</f>
        <v>0</v>
      </c>
      <c r="G953" t="str">
        <f>IFERROR(VLOOKUP(发货清单!A953,数据库!A:B,2,0),"")</f>
        <v/>
      </c>
      <c r="H953">
        <f>发货清单!N953</f>
        <v>0</v>
      </c>
      <c r="I953" t="str">
        <f t="shared" si="126"/>
        <v/>
      </c>
      <c r="J953" t="str">
        <f t="shared" si="127"/>
        <v xml:space="preserve"> </v>
      </c>
      <c r="K953" t="str">
        <f t="shared" si="128"/>
        <v/>
      </c>
      <c r="L953" t="str">
        <f t="shared" si="129"/>
        <v/>
      </c>
      <c r="N953" s="245">
        <f t="shared" si="130"/>
        <v>0</v>
      </c>
      <c r="O953" s="245">
        <f t="shared" si="131"/>
        <v>0</v>
      </c>
      <c r="P953" t="str">
        <f t="shared" si="132"/>
        <v/>
      </c>
      <c r="Q953" t="str">
        <f>IFERROR(VLOOKUP(P953,数据库!C:M,11,0),"")</f>
        <v/>
      </c>
      <c r="R953" t="str">
        <f t="shared" si="133"/>
        <v/>
      </c>
      <c r="S953">
        <f t="shared" si="134"/>
        <v>0</v>
      </c>
    </row>
    <row r="954" spans="1:19">
      <c r="A954" t="str">
        <f>IF(B954=0,"",发货清单!A954*10^6+COUNTIF($D$2:D954,D954)*10^3+ROW(A953))</f>
        <v/>
      </c>
      <c r="B954">
        <f>IFERROR(LEFT(发货清单!H954,SEARCH("-",发货清单!H954)-1),发货清单!H954)</f>
        <v>0</v>
      </c>
      <c r="C954" t="str">
        <f>IFERROR(VLOOKUP(发货清单!A954,数据库!A:D,4,0),"")</f>
        <v/>
      </c>
      <c r="D954" t="str">
        <f>IFERROR(VLOOKUP(发货清单!A954,数据库!A:C,3,0),"")</f>
        <v/>
      </c>
      <c r="E954">
        <f>发货清单!M954</f>
        <v>0</v>
      </c>
      <c r="F954">
        <f>发货清单!U954</f>
        <v>0</v>
      </c>
      <c r="G954" t="str">
        <f>IFERROR(VLOOKUP(发货清单!A954,数据库!A:B,2,0),"")</f>
        <v/>
      </c>
      <c r="H954">
        <f>发货清单!N954</f>
        <v>0</v>
      </c>
      <c r="I954" t="str">
        <f t="shared" si="126"/>
        <v/>
      </c>
      <c r="J954" t="str">
        <f t="shared" si="127"/>
        <v xml:space="preserve"> </v>
      </c>
      <c r="K954" t="str">
        <f t="shared" si="128"/>
        <v/>
      </c>
      <c r="L954" t="str">
        <f t="shared" si="129"/>
        <v/>
      </c>
      <c r="N954" s="245">
        <f t="shared" si="130"/>
        <v>0</v>
      </c>
      <c r="O954" s="245">
        <f t="shared" si="131"/>
        <v>0</v>
      </c>
      <c r="P954" t="str">
        <f t="shared" si="132"/>
        <v/>
      </c>
      <c r="Q954" t="str">
        <f>IFERROR(VLOOKUP(P954,数据库!C:M,11,0),"")</f>
        <v/>
      </c>
      <c r="R954" t="str">
        <f t="shared" si="133"/>
        <v/>
      </c>
      <c r="S954">
        <f t="shared" si="134"/>
        <v>0</v>
      </c>
    </row>
    <row r="955" spans="1:19">
      <c r="A955" t="str">
        <f>IF(B955=0,"",发货清单!A955*10^6+COUNTIF($D$2:D955,D955)*10^3+ROW(A954))</f>
        <v/>
      </c>
      <c r="B955">
        <f>IFERROR(LEFT(发货清单!H955,SEARCH("-",发货清单!H955)-1),发货清单!H955)</f>
        <v>0</v>
      </c>
      <c r="C955" t="str">
        <f>IFERROR(VLOOKUP(发货清单!A955,数据库!A:D,4,0),"")</f>
        <v/>
      </c>
      <c r="D955" t="str">
        <f>IFERROR(VLOOKUP(发货清单!A955,数据库!A:C,3,0),"")</f>
        <v/>
      </c>
      <c r="E955">
        <f>发货清单!M955</f>
        <v>0</v>
      </c>
      <c r="F955">
        <f>发货清单!U955</f>
        <v>0</v>
      </c>
      <c r="G955" t="str">
        <f>IFERROR(VLOOKUP(发货清单!A955,数据库!A:B,2,0),"")</f>
        <v/>
      </c>
      <c r="H955">
        <f>发货清单!N955</f>
        <v>0</v>
      </c>
      <c r="I955" t="str">
        <f t="shared" si="126"/>
        <v/>
      </c>
      <c r="J955" t="str">
        <f t="shared" si="127"/>
        <v xml:space="preserve"> </v>
      </c>
      <c r="K955" t="str">
        <f t="shared" si="128"/>
        <v/>
      </c>
      <c r="L955" t="str">
        <f t="shared" si="129"/>
        <v/>
      </c>
      <c r="N955" s="245">
        <f t="shared" si="130"/>
        <v>0</v>
      </c>
      <c r="O955" s="245">
        <f t="shared" si="131"/>
        <v>0</v>
      </c>
      <c r="P955" t="str">
        <f t="shared" si="132"/>
        <v/>
      </c>
      <c r="Q955" t="str">
        <f>IFERROR(VLOOKUP(P955,数据库!C:M,11,0),"")</f>
        <v/>
      </c>
      <c r="R955" t="str">
        <f t="shared" si="133"/>
        <v/>
      </c>
      <c r="S955">
        <f t="shared" si="134"/>
        <v>0</v>
      </c>
    </row>
    <row r="956" spans="1:19">
      <c r="A956" t="str">
        <f>IF(B956=0,"",发货清单!A956*10^6+COUNTIF($D$2:D956,D956)*10^3+ROW(A955))</f>
        <v/>
      </c>
      <c r="B956">
        <f>IFERROR(LEFT(发货清单!H956,SEARCH("-",发货清单!H956)-1),发货清单!H956)</f>
        <v>0</v>
      </c>
      <c r="C956" t="str">
        <f>IFERROR(VLOOKUP(发货清单!A956,数据库!A:D,4,0),"")</f>
        <v/>
      </c>
      <c r="D956" t="str">
        <f>IFERROR(VLOOKUP(发货清单!A956,数据库!A:C,3,0),"")</f>
        <v/>
      </c>
      <c r="E956">
        <f>发货清单!M956</f>
        <v>0</v>
      </c>
      <c r="F956">
        <f>发货清单!U956</f>
        <v>0</v>
      </c>
      <c r="G956" t="str">
        <f>IFERROR(VLOOKUP(发货清单!A956,数据库!A:B,2,0),"")</f>
        <v/>
      </c>
      <c r="H956">
        <f>发货清单!N956</f>
        <v>0</v>
      </c>
      <c r="I956" t="str">
        <f t="shared" si="126"/>
        <v/>
      </c>
      <c r="J956" t="str">
        <f t="shared" si="127"/>
        <v xml:space="preserve"> </v>
      </c>
      <c r="K956" t="str">
        <f t="shared" si="128"/>
        <v/>
      </c>
      <c r="L956" t="str">
        <f t="shared" si="129"/>
        <v/>
      </c>
      <c r="N956" s="245">
        <f t="shared" si="130"/>
        <v>0</v>
      </c>
      <c r="O956" s="245">
        <f t="shared" si="131"/>
        <v>0</v>
      </c>
      <c r="P956" t="str">
        <f t="shared" si="132"/>
        <v/>
      </c>
      <c r="Q956" t="str">
        <f>IFERROR(VLOOKUP(P956,数据库!C:M,11,0),"")</f>
        <v/>
      </c>
      <c r="R956" t="str">
        <f t="shared" si="133"/>
        <v/>
      </c>
      <c r="S956">
        <f t="shared" si="134"/>
        <v>0</v>
      </c>
    </row>
    <row r="957" spans="1:19">
      <c r="A957" t="str">
        <f>IF(B957=0,"",发货清单!A957*10^6+COUNTIF($D$2:D957,D957)*10^3+ROW(A956))</f>
        <v/>
      </c>
      <c r="B957">
        <f>IFERROR(LEFT(发货清单!H957,SEARCH("-",发货清单!H957)-1),发货清单!H957)</f>
        <v>0</v>
      </c>
      <c r="C957" t="str">
        <f>IFERROR(VLOOKUP(发货清单!A957,数据库!A:D,4,0),"")</f>
        <v/>
      </c>
      <c r="D957" t="str">
        <f>IFERROR(VLOOKUP(发货清单!A957,数据库!A:C,3,0),"")</f>
        <v/>
      </c>
      <c r="E957">
        <f>发货清单!M957</f>
        <v>0</v>
      </c>
      <c r="F957">
        <f>发货清单!U957</f>
        <v>0</v>
      </c>
      <c r="G957" t="str">
        <f>IFERROR(VLOOKUP(发货清单!A957,数据库!A:B,2,0),"")</f>
        <v/>
      </c>
      <c r="H957">
        <f>发货清单!N957</f>
        <v>0</v>
      </c>
      <c r="I957" t="str">
        <f t="shared" si="126"/>
        <v/>
      </c>
      <c r="J957" t="str">
        <f t="shared" si="127"/>
        <v xml:space="preserve"> </v>
      </c>
      <c r="K957" t="str">
        <f t="shared" si="128"/>
        <v/>
      </c>
      <c r="L957" t="str">
        <f t="shared" si="129"/>
        <v/>
      </c>
      <c r="N957" s="245">
        <f t="shared" si="130"/>
        <v>0</v>
      </c>
      <c r="O957" s="245">
        <f t="shared" si="131"/>
        <v>0</v>
      </c>
      <c r="P957" t="str">
        <f t="shared" si="132"/>
        <v/>
      </c>
      <c r="Q957" t="str">
        <f>IFERROR(VLOOKUP(P957,数据库!C:M,11,0),"")</f>
        <v/>
      </c>
      <c r="R957" t="str">
        <f t="shared" si="133"/>
        <v/>
      </c>
      <c r="S957">
        <f t="shared" si="134"/>
        <v>0</v>
      </c>
    </row>
    <row r="958" spans="1:19">
      <c r="A958" t="str">
        <f>IF(B958=0,"",发货清单!A958*10^6+COUNTIF($D$2:D958,D958)*10^3+ROW(A957))</f>
        <v/>
      </c>
      <c r="B958">
        <f>IFERROR(LEFT(发货清单!H958,SEARCH("-",发货清单!H958)-1),发货清单!H958)</f>
        <v>0</v>
      </c>
      <c r="C958" t="str">
        <f>IFERROR(VLOOKUP(发货清单!A958,数据库!A:D,4,0),"")</f>
        <v/>
      </c>
      <c r="D958" t="str">
        <f>IFERROR(VLOOKUP(发货清单!A958,数据库!A:C,3,0),"")</f>
        <v/>
      </c>
      <c r="E958">
        <f>发货清单!M958</f>
        <v>0</v>
      </c>
      <c r="F958">
        <f>发货清单!U958</f>
        <v>0</v>
      </c>
      <c r="G958" t="str">
        <f>IFERROR(VLOOKUP(发货清单!A958,数据库!A:B,2,0),"")</f>
        <v/>
      </c>
      <c r="H958">
        <f>发货清单!N958</f>
        <v>0</v>
      </c>
      <c r="I958" t="str">
        <f t="shared" si="126"/>
        <v/>
      </c>
      <c r="J958" t="str">
        <f t="shared" si="127"/>
        <v xml:space="preserve"> </v>
      </c>
      <c r="K958" t="str">
        <f t="shared" si="128"/>
        <v/>
      </c>
      <c r="L958" t="str">
        <f t="shared" si="129"/>
        <v/>
      </c>
      <c r="N958" s="245">
        <f t="shared" si="130"/>
        <v>0</v>
      </c>
      <c r="O958" s="245">
        <f t="shared" si="131"/>
        <v>0</v>
      </c>
      <c r="P958" t="str">
        <f t="shared" si="132"/>
        <v/>
      </c>
      <c r="Q958" t="str">
        <f>IFERROR(VLOOKUP(P958,数据库!C:M,11,0),"")</f>
        <v/>
      </c>
      <c r="R958" t="str">
        <f t="shared" si="133"/>
        <v/>
      </c>
      <c r="S958">
        <f t="shared" si="134"/>
        <v>0</v>
      </c>
    </row>
    <row r="959" spans="1:19">
      <c r="A959" t="str">
        <f>IF(B959=0,"",发货清单!A959*10^6+COUNTIF($D$2:D959,D959)*10^3+ROW(A958))</f>
        <v/>
      </c>
      <c r="B959">
        <f>IFERROR(LEFT(发货清单!H959,SEARCH("-",发货清单!H959)-1),发货清单!H959)</f>
        <v>0</v>
      </c>
      <c r="C959" t="str">
        <f>IFERROR(VLOOKUP(发货清单!A959,数据库!A:D,4,0),"")</f>
        <v/>
      </c>
      <c r="D959" t="str">
        <f>IFERROR(VLOOKUP(发货清单!A959,数据库!A:C,3,0),"")</f>
        <v/>
      </c>
      <c r="E959">
        <f>发货清单!M959</f>
        <v>0</v>
      </c>
      <c r="F959">
        <f>发货清单!U959</f>
        <v>0</v>
      </c>
      <c r="G959" t="str">
        <f>IFERROR(VLOOKUP(发货清单!A959,数据库!A:B,2,0),"")</f>
        <v/>
      </c>
      <c r="H959">
        <f>发货清单!N959</f>
        <v>0</v>
      </c>
      <c r="I959" t="str">
        <f t="shared" si="126"/>
        <v/>
      </c>
      <c r="J959" t="str">
        <f t="shared" si="127"/>
        <v xml:space="preserve"> </v>
      </c>
      <c r="K959" t="str">
        <f t="shared" si="128"/>
        <v/>
      </c>
      <c r="L959" t="str">
        <f t="shared" si="129"/>
        <v/>
      </c>
      <c r="N959" s="245">
        <f t="shared" si="130"/>
        <v>0</v>
      </c>
      <c r="O959" s="245">
        <f t="shared" si="131"/>
        <v>0</v>
      </c>
      <c r="P959" t="str">
        <f t="shared" si="132"/>
        <v/>
      </c>
      <c r="Q959" t="str">
        <f>IFERROR(VLOOKUP(P959,数据库!C:M,11,0),"")</f>
        <v/>
      </c>
      <c r="R959" t="str">
        <f t="shared" si="133"/>
        <v/>
      </c>
      <c r="S959">
        <f t="shared" si="134"/>
        <v>0</v>
      </c>
    </row>
    <row r="960" spans="1:19">
      <c r="A960" t="str">
        <f>IF(B960=0,"",发货清单!A960*10^6+COUNTIF($D$2:D960,D960)*10^3+ROW(A959))</f>
        <v/>
      </c>
      <c r="B960">
        <f>IFERROR(LEFT(发货清单!H960,SEARCH("-",发货清单!H960)-1),发货清单!H960)</f>
        <v>0</v>
      </c>
      <c r="C960" t="str">
        <f>IFERROR(VLOOKUP(发货清单!A960,数据库!A:D,4,0),"")</f>
        <v/>
      </c>
      <c r="D960" t="str">
        <f>IFERROR(VLOOKUP(发货清单!A960,数据库!A:C,3,0),"")</f>
        <v/>
      </c>
      <c r="E960">
        <f>发货清单!M960</f>
        <v>0</v>
      </c>
      <c r="F960">
        <f>发货清单!U960</f>
        <v>0</v>
      </c>
      <c r="G960" t="str">
        <f>IFERROR(VLOOKUP(发货清单!A960,数据库!A:B,2,0),"")</f>
        <v/>
      </c>
      <c r="H960">
        <f>发货清单!N960</f>
        <v>0</v>
      </c>
      <c r="I960" t="str">
        <f t="shared" si="126"/>
        <v/>
      </c>
      <c r="J960" t="str">
        <f t="shared" si="127"/>
        <v xml:space="preserve"> </v>
      </c>
      <c r="K960" t="str">
        <f t="shared" si="128"/>
        <v/>
      </c>
      <c r="L960" t="str">
        <f t="shared" si="129"/>
        <v/>
      </c>
      <c r="N960" s="245">
        <f t="shared" si="130"/>
        <v>0</v>
      </c>
      <c r="O960" s="245">
        <f t="shared" si="131"/>
        <v>0</v>
      </c>
      <c r="P960" t="str">
        <f t="shared" si="132"/>
        <v/>
      </c>
      <c r="Q960" t="str">
        <f>IFERROR(VLOOKUP(P960,数据库!C:M,11,0),"")</f>
        <v/>
      </c>
      <c r="R960" t="str">
        <f t="shared" si="133"/>
        <v/>
      </c>
      <c r="S960">
        <f t="shared" si="134"/>
        <v>0</v>
      </c>
    </row>
    <row r="961" spans="1:19">
      <c r="A961" t="str">
        <f>IF(B961=0,"",发货清单!A961*10^6+COUNTIF($D$2:D961,D961)*10^3+ROW(A960))</f>
        <v/>
      </c>
      <c r="B961">
        <f>IFERROR(LEFT(发货清单!H961,SEARCH("-",发货清单!H961)-1),发货清单!H961)</f>
        <v>0</v>
      </c>
      <c r="C961" t="str">
        <f>IFERROR(VLOOKUP(发货清单!A961,数据库!A:D,4,0),"")</f>
        <v/>
      </c>
      <c r="D961" t="str">
        <f>IFERROR(VLOOKUP(发货清单!A961,数据库!A:C,3,0),"")</f>
        <v/>
      </c>
      <c r="E961">
        <f>发货清单!M961</f>
        <v>0</v>
      </c>
      <c r="F961">
        <f>发货清单!U961</f>
        <v>0</v>
      </c>
      <c r="G961" t="str">
        <f>IFERROR(VLOOKUP(发货清单!A961,数据库!A:B,2,0),"")</f>
        <v/>
      </c>
      <c r="H961">
        <f>发货清单!N961</f>
        <v>0</v>
      </c>
      <c r="I961" t="str">
        <f t="shared" si="126"/>
        <v/>
      </c>
      <c r="J961" t="str">
        <f t="shared" si="127"/>
        <v xml:space="preserve"> </v>
      </c>
      <c r="K961" t="str">
        <f t="shared" si="128"/>
        <v/>
      </c>
      <c r="L961" t="str">
        <f t="shared" si="129"/>
        <v/>
      </c>
      <c r="N961" s="245">
        <f t="shared" si="130"/>
        <v>0</v>
      </c>
      <c r="O961" s="245">
        <f t="shared" si="131"/>
        <v>0</v>
      </c>
      <c r="P961" t="str">
        <f t="shared" si="132"/>
        <v/>
      </c>
      <c r="Q961" t="str">
        <f>IFERROR(VLOOKUP(P961,数据库!C:M,11,0),"")</f>
        <v/>
      </c>
      <c r="R961" t="str">
        <f t="shared" si="133"/>
        <v/>
      </c>
      <c r="S961">
        <f t="shared" si="134"/>
        <v>0</v>
      </c>
    </row>
    <row r="962" spans="1:19">
      <c r="A962" t="str">
        <f>IF(B962=0,"",发货清单!A962*10^6+COUNTIF($D$2:D962,D962)*10^3+ROW(A961))</f>
        <v/>
      </c>
      <c r="B962">
        <f>IFERROR(LEFT(发货清单!H962,SEARCH("-",发货清单!H962)-1),发货清单!H962)</f>
        <v>0</v>
      </c>
      <c r="C962" t="str">
        <f>IFERROR(VLOOKUP(发货清单!A962,数据库!A:D,4,0),"")</f>
        <v/>
      </c>
      <c r="D962" t="str">
        <f>IFERROR(VLOOKUP(发货清单!A962,数据库!A:C,3,0),"")</f>
        <v/>
      </c>
      <c r="E962">
        <f>发货清单!M962</f>
        <v>0</v>
      </c>
      <c r="F962">
        <f>发货清单!U962</f>
        <v>0</v>
      </c>
      <c r="G962" t="str">
        <f>IFERROR(VLOOKUP(发货清单!A962,数据库!A:B,2,0),"")</f>
        <v/>
      </c>
      <c r="H962">
        <f>发货清单!N962</f>
        <v>0</v>
      </c>
      <c r="I962" t="str">
        <f t="shared" si="126"/>
        <v/>
      </c>
      <c r="J962" t="str">
        <f t="shared" si="127"/>
        <v xml:space="preserve"> </v>
      </c>
      <c r="K962" t="str">
        <f t="shared" si="128"/>
        <v/>
      </c>
      <c r="L962" t="str">
        <f t="shared" si="129"/>
        <v/>
      </c>
      <c r="N962" s="245">
        <f t="shared" si="130"/>
        <v>0</v>
      </c>
      <c r="O962" s="245">
        <f t="shared" si="131"/>
        <v>0</v>
      </c>
      <c r="P962" t="str">
        <f t="shared" si="132"/>
        <v/>
      </c>
      <c r="Q962" t="str">
        <f>IFERROR(VLOOKUP(P962,数据库!C:M,11,0),"")</f>
        <v/>
      </c>
      <c r="R962" t="str">
        <f t="shared" si="133"/>
        <v/>
      </c>
      <c r="S962">
        <f t="shared" si="134"/>
        <v>0</v>
      </c>
    </row>
    <row r="963" spans="1:19">
      <c r="A963" t="str">
        <f>IF(B963=0,"",发货清单!A963*10^6+COUNTIF($D$2:D963,D963)*10^3+ROW(A962))</f>
        <v/>
      </c>
      <c r="B963">
        <f>IFERROR(LEFT(发货清单!H963,SEARCH("-",发货清单!H963)-1),发货清单!H963)</f>
        <v>0</v>
      </c>
      <c r="C963" t="str">
        <f>IFERROR(VLOOKUP(发货清单!A963,数据库!A:D,4,0),"")</f>
        <v/>
      </c>
      <c r="D963" t="str">
        <f>IFERROR(VLOOKUP(发货清单!A963,数据库!A:C,3,0),"")</f>
        <v/>
      </c>
      <c r="E963">
        <f>发货清单!M963</f>
        <v>0</v>
      </c>
      <c r="F963">
        <f>发货清单!U963</f>
        <v>0</v>
      </c>
      <c r="G963" t="str">
        <f>IFERROR(VLOOKUP(发货清单!A963,数据库!A:B,2,0),"")</f>
        <v/>
      </c>
      <c r="H963">
        <f>发货清单!N963</f>
        <v>0</v>
      </c>
      <c r="I963" t="str">
        <f t="shared" ref="I963:I1001" si="135">IFERROR(SMALL(A:A,ROW(A962)),"")</f>
        <v/>
      </c>
      <c r="J963" t="str">
        <f t="shared" ref="J963:J1001" si="136">IFERROR(IF(RIGHT(I963,6)-2000&gt;0," ",I963)," ")</f>
        <v xml:space="preserve"> </v>
      </c>
      <c r="K963" t="str">
        <f t="shared" ref="K963:K1001" si="137">IFERROR(SMALL(J:J,ROW(A962)),"")</f>
        <v/>
      </c>
      <c r="L963" t="str">
        <f t="shared" ref="L963:L1001" si="138">IFERROR(VLOOKUP(K963,A:G,7,0)," ")</f>
        <v/>
      </c>
      <c r="N963" s="245">
        <f t="shared" ref="N963:N1001" si="139">IF(P963=" ",0,SUMIF(D:D,P963,E:E))</f>
        <v>0</v>
      </c>
      <c r="O963" s="245">
        <f t="shared" ref="O963:O1001" si="140">SUMIF(D:D,P963,F:F)</f>
        <v>0</v>
      </c>
      <c r="P963" t="str">
        <f t="shared" ref="P963:P1001" si="141">IFERROR(VLOOKUP(K963,A:D,4,0)," ")</f>
        <v/>
      </c>
      <c r="Q963" t="str">
        <f>IFERROR(VLOOKUP(P963,数据库!C:M,11,0),"")</f>
        <v/>
      </c>
      <c r="R963" t="str">
        <f t="shared" ref="R963:R1001" si="142">IFERROR(VLOOKUP(K963,A:C,3,0)," ")</f>
        <v/>
      </c>
      <c r="S963">
        <f t="shared" ref="S963:S1001" si="143">IFERROR(VLOOKUP(K963,A:H,8,0)," ")</f>
        <v>0</v>
      </c>
    </row>
    <row r="964" spans="1:19">
      <c r="A964" t="str">
        <f>IF(B964=0,"",发货清单!A964*10^6+COUNTIF($D$2:D964,D964)*10^3+ROW(A963))</f>
        <v/>
      </c>
      <c r="B964">
        <f>IFERROR(LEFT(发货清单!H964,SEARCH("-",发货清单!H964)-1),发货清单!H964)</f>
        <v>0</v>
      </c>
      <c r="C964" t="str">
        <f>IFERROR(VLOOKUP(发货清单!A964,数据库!A:D,4,0),"")</f>
        <v/>
      </c>
      <c r="D964" t="str">
        <f>IFERROR(VLOOKUP(发货清单!A964,数据库!A:C,3,0),"")</f>
        <v/>
      </c>
      <c r="E964">
        <f>发货清单!M964</f>
        <v>0</v>
      </c>
      <c r="F964">
        <f>发货清单!U964</f>
        <v>0</v>
      </c>
      <c r="G964" t="str">
        <f>IFERROR(VLOOKUP(发货清单!A964,数据库!A:B,2,0),"")</f>
        <v/>
      </c>
      <c r="H964">
        <f>发货清单!N964</f>
        <v>0</v>
      </c>
      <c r="I964" t="str">
        <f t="shared" si="135"/>
        <v/>
      </c>
      <c r="J964" t="str">
        <f t="shared" si="136"/>
        <v xml:space="preserve"> </v>
      </c>
      <c r="K964" t="str">
        <f t="shared" si="137"/>
        <v/>
      </c>
      <c r="L964" t="str">
        <f t="shared" si="138"/>
        <v/>
      </c>
      <c r="N964" s="245">
        <f t="shared" si="139"/>
        <v>0</v>
      </c>
      <c r="O964" s="245">
        <f t="shared" si="140"/>
        <v>0</v>
      </c>
      <c r="P964" t="str">
        <f t="shared" si="141"/>
        <v/>
      </c>
      <c r="Q964" t="str">
        <f>IFERROR(VLOOKUP(P964,数据库!C:M,11,0),"")</f>
        <v/>
      </c>
      <c r="R964" t="str">
        <f t="shared" si="142"/>
        <v/>
      </c>
      <c r="S964">
        <f t="shared" si="143"/>
        <v>0</v>
      </c>
    </row>
    <row r="965" spans="1:19">
      <c r="A965" t="str">
        <f>IF(B965=0,"",发货清单!A965*10^6+COUNTIF($D$2:D965,D965)*10^3+ROW(A964))</f>
        <v/>
      </c>
      <c r="B965">
        <f>IFERROR(LEFT(发货清单!H965,SEARCH("-",发货清单!H965)-1),发货清单!H965)</f>
        <v>0</v>
      </c>
      <c r="C965" t="str">
        <f>IFERROR(VLOOKUP(发货清单!A965,数据库!A:D,4,0),"")</f>
        <v/>
      </c>
      <c r="D965" t="str">
        <f>IFERROR(VLOOKUP(发货清单!A965,数据库!A:C,3,0),"")</f>
        <v/>
      </c>
      <c r="E965">
        <f>发货清单!M965</f>
        <v>0</v>
      </c>
      <c r="F965">
        <f>发货清单!U965</f>
        <v>0</v>
      </c>
      <c r="G965" t="str">
        <f>IFERROR(VLOOKUP(发货清单!A965,数据库!A:B,2,0),"")</f>
        <v/>
      </c>
      <c r="H965">
        <f>发货清单!N965</f>
        <v>0</v>
      </c>
      <c r="I965" t="str">
        <f t="shared" si="135"/>
        <v/>
      </c>
      <c r="J965" t="str">
        <f t="shared" si="136"/>
        <v xml:space="preserve"> </v>
      </c>
      <c r="K965" t="str">
        <f t="shared" si="137"/>
        <v/>
      </c>
      <c r="L965" t="str">
        <f t="shared" si="138"/>
        <v/>
      </c>
      <c r="N965" s="245">
        <f t="shared" si="139"/>
        <v>0</v>
      </c>
      <c r="O965" s="245">
        <f t="shared" si="140"/>
        <v>0</v>
      </c>
      <c r="P965" t="str">
        <f t="shared" si="141"/>
        <v/>
      </c>
      <c r="Q965" t="str">
        <f>IFERROR(VLOOKUP(P965,数据库!C:M,11,0),"")</f>
        <v/>
      </c>
      <c r="R965" t="str">
        <f t="shared" si="142"/>
        <v/>
      </c>
      <c r="S965">
        <f t="shared" si="143"/>
        <v>0</v>
      </c>
    </row>
    <row r="966" spans="1:19">
      <c r="A966" t="str">
        <f>IF(B966=0,"",发货清单!A966*10^6+COUNTIF($D$2:D966,D966)*10^3+ROW(A965))</f>
        <v/>
      </c>
      <c r="B966">
        <f>IFERROR(LEFT(发货清单!H966,SEARCH("-",发货清单!H966)-1),发货清单!H966)</f>
        <v>0</v>
      </c>
      <c r="C966" t="str">
        <f>IFERROR(VLOOKUP(发货清单!A966,数据库!A:D,4,0),"")</f>
        <v/>
      </c>
      <c r="D966" t="str">
        <f>IFERROR(VLOOKUP(发货清单!A966,数据库!A:C,3,0),"")</f>
        <v/>
      </c>
      <c r="E966">
        <f>发货清单!M966</f>
        <v>0</v>
      </c>
      <c r="F966">
        <f>发货清单!U966</f>
        <v>0</v>
      </c>
      <c r="G966" t="str">
        <f>IFERROR(VLOOKUP(发货清单!A966,数据库!A:B,2,0),"")</f>
        <v/>
      </c>
      <c r="H966">
        <f>发货清单!N966</f>
        <v>0</v>
      </c>
      <c r="I966" t="str">
        <f t="shared" si="135"/>
        <v/>
      </c>
      <c r="J966" t="str">
        <f t="shared" si="136"/>
        <v xml:space="preserve"> </v>
      </c>
      <c r="K966" t="str">
        <f t="shared" si="137"/>
        <v/>
      </c>
      <c r="L966" t="str">
        <f t="shared" si="138"/>
        <v/>
      </c>
      <c r="N966" s="245">
        <f t="shared" si="139"/>
        <v>0</v>
      </c>
      <c r="O966" s="245">
        <f t="shared" si="140"/>
        <v>0</v>
      </c>
      <c r="P966" t="str">
        <f t="shared" si="141"/>
        <v/>
      </c>
      <c r="Q966" t="str">
        <f>IFERROR(VLOOKUP(P966,数据库!C:M,11,0),"")</f>
        <v/>
      </c>
      <c r="R966" t="str">
        <f t="shared" si="142"/>
        <v/>
      </c>
      <c r="S966">
        <f t="shared" si="143"/>
        <v>0</v>
      </c>
    </row>
    <row r="967" spans="1:19">
      <c r="A967" t="str">
        <f>IF(B967=0,"",发货清单!A967*10^6+COUNTIF($D$2:D967,D967)*10^3+ROW(A966))</f>
        <v/>
      </c>
      <c r="B967">
        <f>IFERROR(LEFT(发货清单!H967,SEARCH("-",发货清单!H967)-1),发货清单!H967)</f>
        <v>0</v>
      </c>
      <c r="C967" t="str">
        <f>IFERROR(VLOOKUP(发货清单!A967,数据库!A:D,4,0),"")</f>
        <v/>
      </c>
      <c r="D967" t="str">
        <f>IFERROR(VLOOKUP(发货清单!A967,数据库!A:C,3,0),"")</f>
        <v/>
      </c>
      <c r="E967">
        <f>发货清单!M967</f>
        <v>0</v>
      </c>
      <c r="F967">
        <f>发货清单!U967</f>
        <v>0</v>
      </c>
      <c r="G967" t="str">
        <f>IFERROR(VLOOKUP(发货清单!A967,数据库!A:B,2,0),"")</f>
        <v/>
      </c>
      <c r="H967">
        <f>发货清单!N967</f>
        <v>0</v>
      </c>
      <c r="I967" t="str">
        <f t="shared" si="135"/>
        <v/>
      </c>
      <c r="J967" t="str">
        <f t="shared" si="136"/>
        <v xml:space="preserve"> </v>
      </c>
      <c r="K967" t="str">
        <f t="shared" si="137"/>
        <v/>
      </c>
      <c r="L967" t="str">
        <f t="shared" si="138"/>
        <v/>
      </c>
      <c r="N967" s="245">
        <f t="shared" si="139"/>
        <v>0</v>
      </c>
      <c r="O967" s="245">
        <f t="shared" si="140"/>
        <v>0</v>
      </c>
      <c r="P967" t="str">
        <f t="shared" si="141"/>
        <v/>
      </c>
      <c r="Q967" t="str">
        <f>IFERROR(VLOOKUP(P967,数据库!C:M,11,0),"")</f>
        <v/>
      </c>
      <c r="R967" t="str">
        <f t="shared" si="142"/>
        <v/>
      </c>
      <c r="S967">
        <f t="shared" si="143"/>
        <v>0</v>
      </c>
    </row>
    <row r="968" spans="1:19">
      <c r="A968" t="str">
        <f>IF(B968=0,"",发货清单!A968*10^6+COUNTIF($D$2:D968,D968)*10^3+ROW(A967))</f>
        <v/>
      </c>
      <c r="B968">
        <f>IFERROR(LEFT(发货清单!H968,SEARCH("-",发货清单!H968)-1),发货清单!H968)</f>
        <v>0</v>
      </c>
      <c r="C968" t="str">
        <f>IFERROR(VLOOKUP(发货清单!A968,数据库!A:D,4,0),"")</f>
        <v/>
      </c>
      <c r="D968" t="str">
        <f>IFERROR(VLOOKUP(发货清单!A968,数据库!A:C,3,0),"")</f>
        <v/>
      </c>
      <c r="E968">
        <f>发货清单!M968</f>
        <v>0</v>
      </c>
      <c r="F968">
        <f>发货清单!U968</f>
        <v>0</v>
      </c>
      <c r="G968" t="str">
        <f>IFERROR(VLOOKUP(发货清单!A968,数据库!A:B,2,0),"")</f>
        <v/>
      </c>
      <c r="H968">
        <f>发货清单!N968</f>
        <v>0</v>
      </c>
      <c r="I968" t="str">
        <f t="shared" si="135"/>
        <v/>
      </c>
      <c r="J968" t="str">
        <f t="shared" si="136"/>
        <v xml:space="preserve"> </v>
      </c>
      <c r="K968" t="str">
        <f t="shared" si="137"/>
        <v/>
      </c>
      <c r="L968" t="str">
        <f t="shared" si="138"/>
        <v/>
      </c>
      <c r="N968" s="245">
        <f t="shared" si="139"/>
        <v>0</v>
      </c>
      <c r="O968" s="245">
        <f t="shared" si="140"/>
        <v>0</v>
      </c>
      <c r="P968" t="str">
        <f t="shared" si="141"/>
        <v/>
      </c>
      <c r="Q968" t="str">
        <f>IFERROR(VLOOKUP(P968,数据库!C:M,11,0),"")</f>
        <v/>
      </c>
      <c r="R968" t="str">
        <f t="shared" si="142"/>
        <v/>
      </c>
      <c r="S968">
        <f t="shared" si="143"/>
        <v>0</v>
      </c>
    </row>
    <row r="969" spans="1:19">
      <c r="A969" t="str">
        <f>IF(B969=0,"",发货清单!A969*10^6+COUNTIF($D$2:D969,D969)*10^3+ROW(A968))</f>
        <v/>
      </c>
      <c r="B969">
        <f>IFERROR(LEFT(发货清单!H969,SEARCH("-",发货清单!H969)-1),发货清单!H969)</f>
        <v>0</v>
      </c>
      <c r="C969" t="str">
        <f>IFERROR(VLOOKUP(发货清单!A969,数据库!A:D,4,0),"")</f>
        <v/>
      </c>
      <c r="D969" t="str">
        <f>IFERROR(VLOOKUP(发货清单!A969,数据库!A:C,3,0),"")</f>
        <v/>
      </c>
      <c r="E969">
        <f>发货清单!M969</f>
        <v>0</v>
      </c>
      <c r="F969">
        <f>发货清单!U969</f>
        <v>0</v>
      </c>
      <c r="G969" t="str">
        <f>IFERROR(VLOOKUP(发货清单!A969,数据库!A:B,2,0),"")</f>
        <v/>
      </c>
      <c r="H969">
        <f>发货清单!N969</f>
        <v>0</v>
      </c>
      <c r="I969" t="str">
        <f t="shared" si="135"/>
        <v/>
      </c>
      <c r="J969" t="str">
        <f t="shared" si="136"/>
        <v xml:space="preserve"> </v>
      </c>
      <c r="K969" t="str">
        <f t="shared" si="137"/>
        <v/>
      </c>
      <c r="L969" t="str">
        <f t="shared" si="138"/>
        <v/>
      </c>
      <c r="N969" s="245">
        <f t="shared" si="139"/>
        <v>0</v>
      </c>
      <c r="O969" s="245">
        <f t="shared" si="140"/>
        <v>0</v>
      </c>
      <c r="P969" t="str">
        <f t="shared" si="141"/>
        <v/>
      </c>
      <c r="Q969" t="str">
        <f>IFERROR(VLOOKUP(P969,数据库!C:M,11,0),"")</f>
        <v/>
      </c>
      <c r="R969" t="str">
        <f t="shared" si="142"/>
        <v/>
      </c>
      <c r="S969">
        <f t="shared" si="143"/>
        <v>0</v>
      </c>
    </row>
    <row r="970" spans="1:19">
      <c r="A970" t="str">
        <f>IF(B970=0,"",发货清单!A970*10^6+COUNTIF($D$2:D970,D970)*10^3+ROW(A969))</f>
        <v/>
      </c>
      <c r="B970">
        <f>IFERROR(LEFT(发货清单!H970,SEARCH("-",发货清单!H970)-1),发货清单!H970)</f>
        <v>0</v>
      </c>
      <c r="C970" t="str">
        <f>IFERROR(VLOOKUP(发货清单!A970,数据库!A:D,4,0),"")</f>
        <v/>
      </c>
      <c r="D970" t="str">
        <f>IFERROR(VLOOKUP(发货清单!A970,数据库!A:C,3,0),"")</f>
        <v/>
      </c>
      <c r="E970">
        <f>发货清单!M970</f>
        <v>0</v>
      </c>
      <c r="F970">
        <f>发货清单!U970</f>
        <v>0</v>
      </c>
      <c r="G970" t="str">
        <f>IFERROR(VLOOKUP(发货清单!A970,数据库!A:B,2,0),"")</f>
        <v/>
      </c>
      <c r="H970">
        <f>发货清单!N970</f>
        <v>0</v>
      </c>
      <c r="I970" t="str">
        <f t="shared" si="135"/>
        <v/>
      </c>
      <c r="J970" t="str">
        <f t="shared" si="136"/>
        <v xml:space="preserve"> </v>
      </c>
      <c r="K970" t="str">
        <f t="shared" si="137"/>
        <v/>
      </c>
      <c r="L970" t="str">
        <f t="shared" si="138"/>
        <v/>
      </c>
      <c r="N970" s="245">
        <f t="shared" si="139"/>
        <v>0</v>
      </c>
      <c r="O970" s="245">
        <f t="shared" si="140"/>
        <v>0</v>
      </c>
      <c r="P970" t="str">
        <f t="shared" si="141"/>
        <v/>
      </c>
      <c r="Q970" t="str">
        <f>IFERROR(VLOOKUP(P970,数据库!C:M,11,0),"")</f>
        <v/>
      </c>
      <c r="R970" t="str">
        <f t="shared" si="142"/>
        <v/>
      </c>
      <c r="S970">
        <f t="shared" si="143"/>
        <v>0</v>
      </c>
    </row>
    <row r="971" spans="1:19">
      <c r="A971" t="str">
        <f>IF(B971=0,"",发货清单!A971*10^6+COUNTIF($D$2:D971,D971)*10^3+ROW(A970))</f>
        <v/>
      </c>
      <c r="B971">
        <f>IFERROR(LEFT(发货清单!H971,SEARCH("-",发货清单!H971)-1),发货清单!H971)</f>
        <v>0</v>
      </c>
      <c r="C971" t="str">
        <f>IFERROR(VLOOKUP(发货清单!A971,数据库!A:D,4,0),"")</f>
        <v/>
      </c>
      <c r="D971" t="str">
        <f>IFERROR(VLOOKUP(发货清单!A971,数据库!A:C,3,0),"")</f>
        <v/>
      </c>
      <c r="E971">
        <f>发货清单!M971</f>
        <v>0</v>
      </c>
      <c r="F971">
        <f>发货清单!U971</f>
        <v>0</v>
      </c>
      <c r="G971" t="str">
        <f>IFERROR(VLOOKUP(发货清单!A971,数据库!A:B,2,0),"")</f>
        <v/>
      </c>
      <c r="H971">
        <f>发货清单!N971</f>
        <v>0</v>
      </c>
      <c r="I971" t="str">
        <f t="shared" si="135"/>
        <v/>
      </c>
      <c r="J971" t="str">
        <f t="shared" si="136"/>
        <v xml:space="preserve"> </v>
      </c>
      <c r="K971" t="str">
        <f t="shared" si="137"/>
        <v/>
      </c>
      <c r="L971" t="str">
        <f t="shared" si="138"/>
        <v/>
      </c>
      <c r="N971" s="245">
        <f t="shared" si="139"/>
        <v>0</v>
      </c>
      <c r="O971" s="245">
        <f t="shared" si="140"/>
        <v>0</v>
      </c>
      <c r="P971" t="str">
        <f t="shared" si="141"/>
        <v/>
      </c>
      <c r="Q971" t="str">
        <f>IFERROR(VLOOKUP(P971,数据库!C:M,11,0),"")</f>
        <v/>
      </c>
      <c r="R971" t="str">
        <f t="shared" si="142"/>
        <v/>
      </c>
      <c r="S971">
        <f t="shared" si="143"/>
        <v>0</v>
      </c>
    </row>
    <row r="972" spans="1:19">
      <c r="A972" t="str">
        <f>IF(B972=0,"",发货清单!A972*10^6+COUNTIF($D$2:D972,D972)*10^3+ROW(A971))</f>
        <v/>
      </c>
      <c r="B972">
        <f>IFERROR(LEFT(发货清单!H972,SEARCH("-",发货清单!H972)-1),发货清单!H972)</f>
        <v>0</v>
      </c>
      <c r="C972" t="str">
        <f>IFERROR(VLOOKUP(发货清单!A972,数据库!A:D,4,0),"")</f>
        <v/>
      </c>
      <c r="D972" t="str">
        <f>IFERROR(VLOOKUP(发货清单!A972,数据库!A:C,3,0),"")</f>
        <v/>
      </c>
      <c r="E972">
        <f>发货清单!M972</f>
        <v>0</v>
      </c>
      <c r="F972">
        <f>发货清单!U972</f>
        <v>0</v>
      </c>
      <c r="G972" t="str">
        <f>IFERROR(VLOOKUP(发货清单!A972,数据库!A:B,2,0),"")</f>
        <v/>
      </c>
      <c r="H972">
        <f>发货清单!N972</f>
        <v>0</v>
      </c>
      <c r="I972" t="str">
        <f t="shared" si="135"/>
        <v/>
      </c>
      <c r="J972" t="str">
        <f t="shared" si="136"/>
        <v xml:space="preserve"> </v>
      </c>
      <c r="K972" t="str">
        <f t="shared" si="137"/>
        <v/>
      </c>
      <c r="L972" t="str">
        <f t="shared" si="138"/>
        <v/>
      </c>
      <c r="N972" s="245">
        <f t="shared" si="139"/>
        <v>0</v>
      </c>
      <c r="O972" s="245">
        <f t="shared" si="140"/>
        <v>0</v>
      </c>
      <c r="P972" t="str">
        <f t="shared" si="141"/>
        <v/>
      </c>
      <c r="Q972" t="str">
        <f>IFERROR(VLOOKUP(P972,数据库!C:M,11,0),"")</f>
        <v/>
      </c>
      <c r="R972" t="str">
        <f t="shared" si="142"/>
        <v/>
      </c>
      <c r="S972">
        <f t="shared" si="143"/>
        <v>0</v>
      </c>
    </row>
    <row r="973" spans="1:19">
      <c r="A973" t="str">
        <f>IF(B973=0,"",发货清单!A973*10^6+COUNTIF($D$2:D973,D973)*10^3+ROW(A972))</f>
        <v/>
      </c>
      <c r="B973">
        <f>IFERROR(LEFT(发货清单!H973,SEARCH("-",发货清单!H973)-1),发货清单!H973)</f>
        <v>0</v>
      </c>
      <c r="C973" t="str">
        <f>IFERROR(VLOOKUP(发货清单!A973,数据库!A:D,4,0),"")</f>
        <v/>
      </c>
      <c r="D973" t="str">
        <f>IFERROR(VLOOKUP(发货清单!A973,数据库!A:C,3,0),"")</f>
        <v/>
      </c>
      <c r="E973">
        <f>发货清单!M973</f>
        <v>0</v>
      </c>
      <c r="F973">
        <f>发货清单!U973</f>
        <v>0</v>
      </c>
      <c r="G973" t="str">
        <f>IFERROR(VLOOKUP(发货清单!A973,数据库!A:B,2,0),"")</f>
        <v/>
      </c>
      <c r="H973">
        <f>发货清单!N973</f>
        <v>0</v>
      </c>
      <c r="I973" t="str">
        <f t="shared" si="135"/>
        <v/>
      </c>
      <c r="J973" t="str">
        <f t="shared" si="136"/>
        <v xml:space="preserve"> </v>
      </c>
      <c r="K973" t="str">
        <f t="shared" si="137"/>
        <v/>
      </c>
      <c r="L973" t="str">
        <f t="shared" si="138"/>
        <v/>
      </c>
      <c r="N973" s="245">
        <f t="shared" si="139"/>
        <v>0</v>
      </c>
      <c r="O973" s="245">
        <f t="shared" si="140"/>
        <v>0</v>
      </c>
      <c r="P973" t="str">
        <f t="shared" si="141"/>
        <v/>
      </c>
      <c r="Q973" t="str">
        <f>IFERROR(VLOOKUP(P973,数据库!C:M,11,0),"")</f>
        <v/>
      </c>
      <c r="R973" t="str">
        <f t="shared" si="142"/>
        <v/>
      </c>
      <c r="S973">
        <f t="shared" si="143"/>
        <v>0</v>
      </c>
    </row>
    <row r="974" spans="1:19">
      <c r="A974" t="str">
        <f>IF(B974=0,"",发货清单!A974*10^6+COUNTIF($D$2:D974,D974)*10^3+ROW(A973))</f>
        <v/>
      </c>
      <c r="B974">
        <f>IFERROR(LEFT(发货清单!H974,SEARCH("-",发货清单!H974)-1),发货清单!H974)</f>
        <v>0</v>
      </c>
      <c r="C974" t="str">
        <f>IFERROR(VLOOKUP(发货清单!A974,数据库!A:D,4,0),"")</f>
        <v/>
      </c>
      <c r="D974" t="str">
        <f>IFERROR(VLOOKUP(发货清单!A974,数据库!A:C,3,0),"")</f>
        <v/>
      </c>
      <c r="E974">
        <f>发货清单!M974</f>
        <v>0</v>
      </c>
      <c r="F974">
        <f>发货清单!U974</f>
        <v>0</v>
      </c>
      <c r="G974" t="str">
        <f>IFERROR(VLOOKUP(发货清单!A974,数据库!A:B,2,0),"")</f>
        <v/>
      </c>
      <c r="H974">
        <f>发货清单!N974</f>
        <v>0</v>
      </c>
      <c r="I974" t="str">
        <f t="shared" si="135"/>
        <v/>
      </c>
      <c r="J974" t="str">
        <f t="shared" si="136"/>
        <v xml:space="preserve"> </v>
      </c>
      <c r="K974" t="str">
        <f t="shared" si="137"/>
        <v/>
      </c>
      <c r="L974" t="str">
        <f t="shared" si="138"/>
        <v/>
      </c>
      <c r="N974" s="245">
        <f t="shared" si="139"/>
        <v>0</v>
      </c>
      <c r="O974" s="245">
        <f t="shared" si="140"/>
        <v>0</v>
      </c>
      <c r="P974" t="str">
        <f t="shared" si="141"/>
        <v/>
      </c>
      <c r="Q974" t="str">
        <f>IFERROR(VLOOKUP(P974,数据库!C:M,11,0),"")</f>
        <v/>
      </c>
      <c r="R974" t="str">
        <f t="shared" si="142"/>
        <v/>
      </c>
      <c r="S974">
        <f t="shared" si="143"/>
        <v>0</v>
      </c>
    </row>
    <row r="975" spans="1:19">
      <c r="A975" t="str">
        <f>IF(B975=0,"",发货清单!A975*10^6+COUNTIF($D$2:D975,D975)*10^3+ROW(A974))</f>
        <v/>
      </c>
      <c r="B975">
        <f>IFERROR(LEFT(发货清单!H975,SEARCH("-",发货清单!H975)-1),发货清单!H975)</f>
        <v>0</v>
      </c>
      <c r="C975" t="str">
        <f>IFERROR(VLOOKUP(发货清单!A975,数据库!A:D,4,0),"")</f>
        <v/>
      </c>
      <c r="D975" t="str">
        <f>IFERROR(VLOOKUP(发货清单!A975,数据库!A:C,3,0),"")</f>
        <v/>
      </c>
      <c r="E975">
        <f>发货清单!M975</f>
        <v>0</v>
      </c>
      <c r="F975">
        <f>发货清单!U975</f>
        <v>0</v>
      </c>
      <c r="G975" t="str">
        <f>IFERROR(VLOOKUP(发货清单!A975,数据库!A:B,2,0),"")</f>
        <v/>
      </c>
      <c r="H975">
        <f>发货清单!N975</f>
        <v>0</v>
      </c>
      <c r="I975" t="str">
        <f t="shared" si="135"/>
        <v/>
      </c>
      <c r="J975" t="str">
        <f t="shared" si="136"/>
        <v xml:space="preserve"> </v>
      </c>
      <c r="K975" t="str">
        <f t="shared" si="137"/>
        <v/>
      </c>
      <c r="L975" t="str">
        <f t="shared" si="138"/>
        <v/>
      </c>
      <c r="N975" s="245">
        <f t="shared" si="139"/>
        <v>0</v>
      </c>
      <c r="O975" s="245">
        <f t="shared" si="140"/>
        <v>0</v>
      </c>
      <c r="P975" t="str">
        <f t="shared" si="141"/>
        <v/>
      </c>
      <c r="Q975" t="str">
        <f>IFERROR(VLOOKUP(P975,数据库!C:M,11,0),"")</f>
        <v/>
      </c>
      <c r="R975" t="str">
        <f t="shared" si="142"/>
        <v/>
      </c>
      <c r="S975">
        <f t="shared" si="143"/>
        <v>0</v>
      </c>
    </row>
    <row r="976" spans="1:19">
      <c r="A976" t="str">
        <f>IF(B976=0,"",发货清单!A976*10^6+COUNTIF($D$2:D976,D976)*10^3+ROW(A975))</f>
        <v/>
      </c>
      <c r="B976">
        <f>IFERROR(LEFT(发货清单!H976,SEARCH("-",发货清单!H976)-1),发货清单!H976)</f>
        <v>0</v>
      </c>
      <c r="C976" t="str">
        <f>IFERROR(VLOOKUP(发货清单!A976,数据库!A:D,4,0),"")</f>
        <v/>
      </c>
      <c r="D976" t="str">
        <f>IFERROR(VLOOKUP(发货清单!A976,数据库!A:C,3,0),"")</f>
        <v/>
      </c>
      <c r="E976">
        <f>发货清单!M976</f>
        <v>0</v>
      </c>
      <c r="F976">
        <f>发货清单!U976</f>
        <v>0</v>
      </c>
      <c r="G976" t="str">
        <f>IFERROR(VLOOKUP(发货清单!A976,数据库!A:B,2,0),"")</f>
        <v/>
      </c>
      <c r="H976">
        <f>发货清单!N976</f>
        <v>0</v>
      </c>
      <c r="I976" t="str">
        <f t="shared" si="135"/>
        <v/>
      </c>
      <c r="J976" t="str">
        <f t="shared" si="136"/>
        <v xml:space="preserve"> </v>
      </c>
      <c r="K976" t="str">
        <f t="shared" si="137"/>
        <v/>
      </c>
      <c r="L976" t="str">
        <f t="shared" si="138"/>
        <v/>
      </c>
      <c r="N976" s="245">
        <f t="shared" si="139"/>
        <v>0</v>
      </c>
      <c r="O976" s="245">
        <f t="shared" si="140"/>
        <v>0</v>
      </c>
      <c r="P976" t="str">
        <f t="shared" si="141"/>
        <v/>
      </c>
      <c r="Q976" t="str">
        <f>IFERROR(VLOOKUP(P976,数据库!C:M,11,0),"")</f>
        <v/>
      </c>
      <c r="R976" t="str">
        <f t="shared" si="142"/>
        <v/>
      </c>
      <c r="S976">
        <f t="shared" si="143"/>
        <v>0</v>
      </c>
    </row>
    <row r="977" spans="1:19">
      <c r="A977" t="str">
        <f>IF(B977=0,"",发货清单!A977*10^6+COUNTIF($D$2:D977,D977)*10^3+ROW(A976))</f>
        <v/>
      </c>
      <c r="B977">
        <f>IFERROR(LEFT(发货清单!H977,SEARCH("-",发货清单!H977)-1),发货清单!H977)</f>
        <v>0</v>
      </c>
      <c r="C977" t="str">
        <f>IFERROR(VLOOKUP(发货清单!A977,数据库!A:D,4,0),"")</f>
        <v/>
      </c>
      <c r="D977" t="str">
        <f>IFERROR(VLOOKUP(发货清单!A977,数据库!A:C,3,0),"")</f>
        <v/>
      </c>
      <c r="E977">
        <f>发货清单!M977</f>
        <v>0</v>
      </c>
      <c r="F977">
        <f>发货清单!U977</f>
        <v>0</v>
      </c>
      <c r="G977" t="str">
        <f>IFERROR(VLOOKUP(发货清单!A977,数据库!A:B,2,0),"")</f>
        <v/>
      </c>
      <c r="H977">
        <f>发货清单!N977</f>
        <v>0</v>
      </c>
      <c r="I977" t="str">
        <f t="shared" si="135"/>
        <v/>
      </c>
      <c r="J977" t="str">
        <f t="shared" si="136"/>
        <v xml:space="preserve"> </v>
      </c>
      <c r="K977" t="str">
        <f t="shared" si="137"/>
        <v/>
      </c>
      <c r="L977" t="str">
        <f t="shared" si="138"/>
        <v/>
      </c>
      <c r="N977" s="245">
        <f t="shared" si="139"/>
        <v>0</v>
      </c>
      <c r="O977" s="245">
        <f t="shared" si="140"/>
        <v>0</v>
      </c>
      <c r="P977" t="str">
        <f t="shared" si="141"/>
        <v/>
      </c>
      <c r="Q977" t="str">
        <f>IFERROR(VLOOKUP(P977,数据库!C:M,11,0),"")</f>
        <v/>
      </c>
      <c r="R977" t="str">
        <f t="shared" si="142"/>
        <v/>
      </c>
      <c r="S977">
        <f t="shared" si="143"/>
        <v>0</v>
      </c>
    </row>
    <row r="978" spans="1:19">
      <c r="A978" t="str">
        <f>IF(B978=0,"",发货清单!A978*10^6+COUNTIF($D$2:D978,D978)*10^3+ROW(A977))</f>
        <v/>
      </c>
      <c r="B978">
        <f>IFERROR(LEFT(发货清单!H978,SEARCH("-",发货清单!H978)-1),发货清单!H978)</f>
        <v>0</v>
      </c>
      <c r="C978" t="str">
        <f>IFERROR(VLOOKUP(发货清单!A978,数据库!A:D,4,0),"")</f>
        <v/>
      </c>
      <c r="D978" t="str">
        <f>IFERROR(VLOOKUP(发货清单!A978,数据库!A:C,3,0),"")</f>
        <v/>
      </c>
      <c r="E978">
        <f>发货清单!M978</f>
        <v>0</v>
      </c>
      <c r="F978">
        <f>发货清单!U978</f>
        <v>0</v>
      </c>
      <c r="G978" t="str">
        <f>IFERROR(VLOOKUP(发货清单!A978,数据库!A:B,2,0),"")</f>
        <v/>
      </c>
      <c r="H978">
        <f>发货清单!N978</f>
        <v>0</v>
      </c>
      <c r="I978" t="str">
        <f t="shared" si="135"/>
        <v/>
      </c>
      <c r="J978" t="str">
        <f t="shared" si="136"/>
        <v xml:space="preserve"> </v>
      </c>
      <c r="K978" t="str">
        <f t="shared" si="137"/>
        <v/>
      </c>
      <c r="L978" t="str">
        <f t="shared" si="138"/>
        <v/>
      </c>
      <c r="N978" s="245">
        <f t="shared" si="139"/>
        <v>0</v>
      </c>
      <c r="O978" s="245">
        <f t="shared" si="140"/>
        <v>0</v>
      </c>
      <c r="P978" t="str">
        <f t="shared" si="141"/>
        <v/>
      </c>
      <c r="Q978" t="str">
        <f>IFERROR(VLOOKUP(P978,数据库!C:M,11,0),"")</f>
        <v/>
      </c>
      <c r="R978" t="str">
        <f t="shared" si="142"/>
        <v/>
      </c>
      <c r="S978">
        <f t="shared" si="143"/>
        <v>0</v>
      </c>
    </row>
    <row r="979" spans="1:19">
      <c r="A979" t="str">
        <f>IF(B979=0,"",发货清单!A979*10^6+COUNTIF($D$2:D979,D979)*10^3+ROW(A978))</f>
        <v/>
      </c>
      <c r="B979">
        <f>IFERROR(LEFT(发货清单!H979,SEARCH("-",发货清单!H979)-1),发货清单!H979)</f>
        <v>0</v>
      </c>
      <c r="C979" t="str">
        <f>IFERROR(VLOOKUP(发货清单!A979,数据库!A:D,4,0),"")</f>
        <v/>
      </c>
      <c r="D979" t="str">
        <f>IFERROR(VLOOKUP(发货清单!A979,数据库!A:C,3,0),"")</f>
        <v/>
      </c>
      <c r="E979">
        <f>发货清单!M979</f>
        <v>0</v>
      </c>
      <c r="F979">
        <f>发货清单!U979</f>
        <v>0</v>
      </c>
      <c r="G979" t="str">
        <f>IFERROR(VLOOKUP(发货清单!A979,数据库!A:B,2,0),"")</f>
        <v/>
      </c>
      <c r="H979">
        <f>发货清单!N979</f>
        <v>0</v>
      </c>
      <c r="I979" t="str">
        <f t="shared" si="135"/>
        <v/>
      </c>
      <c r="J979" t="str">
        <f t="shared" si="136"/>
        <v xml:space="preserve"> </v>
      </c>
      <c r="K979" t="str">
        <f t="shared" si="137"/>
        <v/>
      </c>
      <c r="L979" t="str">
        <f t="shared" si="138"/>
        <v/>
      </c>
      <c r="N979" s="245">
        <f t="shared" si="139"/>
        <v>0</v>
      </c>
      <c r="O979" s="245">
        <f t="shared" si="140"/>
        <v>0</v>
      </c>
      <c r="P979" t="str">
        <f t="shared" si="141"/>
        <v/>
      </c>
      <c r="Q979" t="str">
        <f>IFERROR(VLOOKUP(P979,数据库!C:M,11,0),"")</f>
        <v/>
      </c>
      <c r="R979" t="str">
        <f t="shared" si="142"/>
        <v/>
      </c>
      <c r="S979">
        <f t="shared" si="143"/>
        <v>0</v>
      </c>
    </row>
    <row r="980" spans="1:19">
      <c r="A980" t="str">
        <f>IF(B980=0,"",发货清单!A980*10^6+COUNTIF($D$2:D980,D980)*10^3+ROW(A979))</f>
        <v/>
      </c>
      <c r="B980">
        <f>IFERROR(LEFT(发货清单!H980,SEARCH("-",发货清单!H980)-1),发货清单!H980)</f>
        <v>0</v>
      </c>
      <c r="C980" t="str">
        <f>IFERROR(VLOOKUP(发货清单!A980,数据库!A:D,4,0),"")</f>
        <v/>
      </c>
      <c r="D980" t="str">
        <f>IFERROR(VLOOKUP(发货清单!A980,数据库!A:C,3,0),"")</f>
        <v/>
      </c>
      <c r="E980">
        <f>发货清单!M980</f>
        <v>0</v>
      </c>
      <c r="F980">
        <f>发货清单!U980</f>
        <v>0</v>
      </c>
      <c r="G980" t="str">
        <f>IFERROR(VLOOKUP(发货清单!A980,数据库!A:B,2,0),"")</f>
        <v/>
      </c>
      <c r="H980">
        <f>发货清单!N980</f>
        <v>0</v>
      </c>
      <c r="I980" t="str">
        <f t="shared" si="135"/>
        <v/>
      </c>
      <c r="J980" t="str">
        <f t="shared" si="136"/>
        <v xml:space="preserve"> </v>
      </c>
      <c r="K980" t="str">
        <f t="shared" si="137"/>
        <v/>
      </c>
      <c r="L980" t="str">
        <f t="shared" si="138"/>
        <v/>
      </c>
      <c r="N980" s="245">
        <f t="shared" si="139"/>
        <v>0</v>
      </c>
      <c r="O980" s="245">
        <f t="shared" si="140"/>
        <v>0</v>
      </c>
      <c r="P980" t="str">
        <f t="shared" si="141"/>
        <v/>
      </c>
      <c r="Q980" t="str">
        <f>IFERROR(VLOOKUP(P980,数据库!C:M,11,0),"")</f>
        <v/>
      </c>
      <c r="R980" t="str">
        <f t="shared" si="142"/>
        <v/>
      </c>
      <c r="S980">
        <f t="shared" si="143"/>
        <v>0</v>
      </c>
    </row>
    <row r="981" spans="1:19">
      <c r="A981" t="str">
        <f>IF(B981=0,"",发货清单!A981*10^6+COUNTIF($D$2:D981,D981)*10^3+ROW(A980))</f>
        <v/>
      </c>
      <c r="B981">
        <f>IFERROR(LEFT(发货清单!H981,SEARCH("-",发货清单!H981)-1),发货清单!H981)</f>
        <v>0</v>
      </c>
      <c r="C981" t="str">
        <f>IFERROR(VLOOKUP(发货清单!A981,数据库!A:D,4,0),"")</f>
        <v/>
      </c>
      <c r="D981" t="str">
        <f>IFERROR(VLOOKUP(发货清单!A981,数据库!A:C,3,0),"")</f>
        <v/>
      </c>
      <c r="E981">
        <f>发货清单!M981</f>
        <v>0</v>
      </c>
      <c r="F981">
        <f>发货清单!U981</f>
        <v>0</v>
      </c>
      <c r="G981" t="str">
        <f>IFERROR(VLOOKUP(发货清单!A981,数据库!A:B,2,0),"")</f>
        <v/>
      </c>
      <c r="H981">
        <f>发货清单!N981</f>
        <v>0</v>
      </c>
      <c r="I981" t="str">
        <f t="shared" si="135"/>
        <v/>
      </c>
      <c r="J981" t="str">
        <f t="shared" si="136"/>
        <v xml:space="preserve"> </v>
      </c>
      <c r="K981" t="str">
        <f t="shared" si="137"/>
        <v/>
      </c>
      <c r="L981" t="str">
        <f t="shared" si="138"/>
        <v/>
      </c>
      <c r="N981" s="245">
        <f t="shared" si="139"/>
        <v>0</v>
      </c>
      <c r="O981" s="245">
        <f t="shared" si="140"/>
        <v>0</v>
      </c>
      <c r="P981" t="str">
        <f t="shared" si="141"/>
        <v/>
      </c>
      <c r="Q981" t="str">
        <f>IFERROR(VLOOKUP(P981,数据库!C:M,11,0),"")</f>
        <v/>
      </c>
      <c r="R981" t="str">
        <f t="shared" si="142"/>
        <v/>
      </c>
      <c r="S981">
        <f t="shared" si="143"/>
        <v>0</v>
      </c>
    </row>
    <row r="982" spans="1:19">
      <c r="A982" t="str">
        <f>IF(B982=0,"",发货清单!A982*10^6+COUNTIF($D$2:D982,D982)*10^3+ROW(A981))</f>
        <v/>
      </c>
      <c r="B982">
        <f>IFERROR(LEFT(发货清单!H982,SEARCH("-",发货清单!H982)-1),发货清单!H982)</f>
        <v>0</v>
      </c>
      <c r="C982" t="str">
        <f>IFERROR(VLOOKUP(发货清单!A982,数据库!A:D,4,0),"")</f>
        <v/>
      </c>
      <c r="D982" t="str">
        <f>IFERROR(VLOOKUP(发货清单!A982,数据库!A:C,3,0),"")</f>
        <v/>
      </c>
      <c r="E982">
        <f>发货清单!M982</f>
        <v>0</v>
      </c>
      <c r="F982">
        <f>发货清单!U982</f>
        <v>0</v>
      </c>
      <c r="G982" t="str">
        <f>IFERROR(VLOOKUP(发货清单!A982,数据库!A:B,2,0),"")</f>
        <v/>
      </c>
      <c r="H982">
        <f>发货清单!N982</f>
        <v>0</v>
      </c>
      <c r="I982" t="str">
        <f t="shared" si="135"/>
        <v/>
      </c>
      <c r="J982" t="str">
        <f t="shared" si="136"/>
        <v xml:space="preserve"> </v>
      </c>
      <c r="K982" t="str">
        <f t="shared" si="137"/>
        <v/>
      </c>
      <c r="L982" t="str">
        <f t="shared" si="138"/>
        <v/>
      </c>
      <c r="N982" s="245">
        <f t="shared" si="139"/>
        <v>0</v>
      </c>
      <c r="O982" s="245">
        <f t="shared" si="140"/>
        <v>0</v>
      </c>
      <c r="P982" t="str">
        <f t="shared" si="141"/>
        <v/>
      </c>
      <c r="Q982" t="str">
        <f>IFERROR(VLOOKUP(P982,数据库!C:M,11,0),"")</f>
        <v/>
      </c>
      <c r="R982" t="str">
        <f t="shared" si="142"/>
        <v/>
      </c>
      <c r="S982">
        <f t="shared" si="143"/>
        <v>0</v>
      </c>
    </row>
    <row r="983" spans="1:19">
      <c r="A983" t="str">
        <f>IF(B983=0,"",发货清单!A983*10^6+COUNTIF($D$2:D983,D983)*10^3+ROW(A982))</f>
        <v/>
      </c>
      <c r="B983">
        <f>IFERROR(LEFT(发货清单!H983,SEARCH("-",发货清单!H983)-1),发货清单!H983)</f>
        <v>0</v>
      </c>
      <c r="C983" t="str">
        <f>IFERROR(VLOOKUP(发货清单!A983,数据库!A:D,4,0),"")</f>
        <v/>
      </c>
      <c r="D983" t="str">
        <f>IFERROR(VLOOKUP(发货清单!A983,数据库!A:C,3,0),"")</f>
        <v/>
      </c>
      <c r="E983">
        <f>发货清单!M983</f>
        <v>0</v>
      </c>
      <c r="F983">
        <f>发货清单!U983</f>
        <v>0</v>
      </c>
      <c r="G983" t="str">
        <f>IFERROR(VLOOKUP(发货清单!A983,数据库!A:B,2,0),"")</f>
        <v/>
      </c>
      <c r="H983">
        <f>发货清单!N983</f>
        <v>0</v>
      </c>
      <c r="I983" t="str">
        <f t="shared" si="135"/>
        <v/>
      </c>
      <c r="J983" t="str">
        <f t="shared" si="136"/>
        <v xml:space="preserve"> </v>
      </c>
      <c r="K983" t="str">
        <f t="shared" si="137"/>
        <v/>
      </c>
      <c r="L983" t="str">
        <f t="shared" si="138"/>
        <v/>
      </c>
      <c r="N983" s="245">
        <f t="shared" si="139"/>
        <v>0</v>
      </c>
      <c r="O983" s="245">
        <f t="shared" si="140"/>
        <v>0</v>
      </c>
      <c r="P983" t="str">
        <f t="shared" si="141"/>
        <v/>
      </c>
      <c r="Q983" t="str">
        <f>IFERROR(VLOOKUP(P983,数据库!C:M,11,0),"")</f>
        <v/>
      </c>
      <c r="R983" t="str">
        <f t="shared" si="142"/>
        <v/>
      </c>
      <c r="S983">
        <f t="shared" si="143"/>
        <v>0</v>
      </c>
    </row>
    <row r="984" spans="1:19">
      <c r="A984" t="str">
        <f>IF(B984=0,"",发货清单!A984*10^6+COUNTIF($D$2:D984,D984)*10^3+ROW(A983))</f>
        <v/>
      </c>
      <c r="B984">
        <f>IFERROR(LEFT(发货清单!H984,SEARCH("-",发货清单!H984)-1),发货清单!H984)</f>
        <v>0</v>
      </c>
      <c r="C984" t="str">
        <f>IFERROR(VLOOKUP(发货清单!A984,数据库!A:D,4,0),"")</f>
        <v/>
      </c>
      <c r="D984" t="str">
        <f>IFERROR(VLOOKUP(发货清单!A984,数据库!A:C,3,0),"")</f>
        <v/>
      </c>
      <c r="E984">
        <f>发货清单!M984</f>
        <v>0</v>
      </c>
      <c r="F984">
        <f>发货清单!U984</f>
        <v>0</v>
      </c>
      <c r="G984" t="str">
        <f>IFERROR(VLOOKUP(发货清单!A984,数据库!A:B,2,0),"")</f>
        <v/>
      </c>
      <c r="H984">
        <f>发货清单!N984</f>
        <v>0</v>
      </c>
      <c r="I984" t="str">
        <f t="shared" si="135"/>
        <v/>
      </c>
      <c r="J984" t="str">
        <f t="shared" si="136"/>
        <v xml:space="preserve"> </v>
      </c>
      <c r="K984" t="str">
        <f t="shared" si="137"/>
        <v/>
      </c>
      <c r="L984" t="str">
        <f t="shared" si="138"/>
        <v/>
      </c>
      <c r="N984" s="245">
        <f t="shared" si="139"/>
        <v>0</v>
      </c>
      <c r="O984" s="245">
        <f t="shared" si="140"/>
        <v>0</v>
      </c>
      <c r="P984" t="str">
        <f t="shared" si="141"/>
        <v/>
      </c>
      <c r="Q984" t="str">
        <f>IFERROR(VLOOKUP(P984,数据库!C:M,11,0),"")</f>
        <v/>
      </c>
      <c r="R984" t="str">
        <f t="shared" si="142"/>
        <v/>
      </c>
      <c r="S984">
        <f t="shared" si="143"/>
        <v>0</v>
      </c>
    </row>
    <row r="985" spans="1:19">
      <c r="A985" t="str">
        <f>IF(B985=0,"",发货清单!A985*10^6+COUNTIF($D$2:D985,D985)*10^3+ROW(A984))</f>
        <v/>
      </c>
      <c r="B985">
        <f>IFERROR(LEFT(发货清单!H985,SEARCH("-",发货清单!H985)-1),发货清单!H985)</f>
        <v>0</v>
      </c>
      <c r="C985" t="str">
        <f>IFERROR(VLOOKUP(发货清单!A985,数据库!A:D,4,0),"")</f>
        <v/>
      </c>
      <c r="D985" t="str">
        <f>IFERROR(VLOOKUP(发货清单!A985,数据库!A:C,3,0),"")</f>
        <v/>
      </c>
      <c r="E985">
        <f>发货清单!M985</f>
        <v>0</v>
      </c>
      <c r="F985">
        <f>发货清单!U985</f>
        <v>0</v>
      </c>
      <c r="G985" t="str">
        <f>IFERROR(VLOOKUP(发货清单!A985,数据库!A:B,2,0),"")</f>
        <v/>
      </c>
      <c r="H985">
        <f>发货清单!N985</f>
        <v>0</v>
      </c>
      <c r="I985" t="str">
        <f t="shared" si="135"/>
        <v/>
      </c>
      <c r="J985" t="str">
        <f t="shared" si="136"/>
        <v xml:space="preserve"> </v>
      </c>
      <c r="K985" t="str">
        <f t="shared" si="137"/>
        <v/>
      </c>
      <c r="L985" t="str">
        <f t="shared" si="138"/>
        <v/>
      </c>
      <c r="N985" s="245">
        <f t="shared" si="139"/>
        <v>0</v>
      </c>
      <c r="O985" s="245">
        <f t="shared" si="140"/>
        <v>0</v>
      </c>
      <c r="P985" t="str">
        <f t="shared" si="141"/>
        <v/>
      </c>
      <c r="Q985" t="str">
        <f>IFERROR(VLOOKUP(P985,数据库!C:M,11,0),"")</f>
        <v/>
      </c>
      <c r="R985" t="str">
        <f t="shared" si="142"/>
        <v/>
      </c>
      <c r="S985">
        <f t="shared" si="143"/>
        <v>0</v>
      </c>
    </row>
    <row r="986" spans="1:19">
      <c r="A986" t="str">
        <f>IF(B986=0,"",发货清单!A986*10^6+COUNTIF($D$2:D986,D986)*10^3+ROW(A985))</f>
        <v/>
      </c>
      <c r="B986">
        <f>IFERROR(LEFT(发货清单!H986,SEARCH("-",发货清单!H986)-1),发货清单!H986)</f>
        <v>0</v>
      </c>
      <c r="C986" t="str">
        <f>IFERROR(VLOOKUP(发货清单!A986,数据库!A:D,4,0),"")</f>
        <v/>
      </c>
      <c r="D986" t="str">
        <f>IFERROR(VLOOKUP(发货清单!A986,数据库!A:C,3,0),"")</f>
        <v/>
      </c>
      <c r="E986">
        <f>发货清单!M986</f>
        <v>0</v>
      </c>
      <c r="F986">
        <f>发货清单!U986</f>
        <v>0</v>
      </c>
      <c r="G986" t="str">
        <f>IFERROR(VLOOKUP(发货清单!A986,数据库!A:B,2,0),"")</f>
        <v/>
      </c>
      <c r="H986">
        <f>发货清单!N986</f>
        <v>0</v>
      </c>
      <c r="I986" t="str">
        <f t="shared" si="135"/>
        <v/>
      </c>
      <c r="J986" t="str">
        <f t="shared" si="136"/>
        <v xml:space="preserve"> </v>
      </c>
      <c r="K986" t="str">
        <f t="shared" si="137"/>
        <v/>
      </c>
      <c r="L986" t="str">
        <f t="shared" si="138"/>
        <v/>
      </c>
      <c r="N986" s="245">
        <f t="shared" si="139"/>
        <v>0</v>
      </c>
      <c r="O986" s="245">
        <f t="shared" si="140"/>
        <v>0</v>
      </c>
      <c r="P986" t="str">
        <f t="shared" si="141"/>
        <v/>
      </c>
      <c r="Q986" t="str">
        <f>IFERROR(VLOOKUP(P986,数据库!C:M,11,0),"")</f>
        <v/>
      </c>
      <c r="R986" t="str">
        <f t="shared" si="142"/>
        <v/>
      </c>
      <c r="S986">
        <f t="shared" si="143"/>
        <v>0</v>
      </c>
    </row>
    <row r="987" spans="1:19">
      <c r="A987" t="str">
        <f>IF(B987=0,"",发货清单!A987*10^6+COUNTIF($D$2:D987,D987)*10^3+ROW(A986))</f>
        <v/>
      </c>
      <c r="B987">
        <f>IFERROR(LEFT(发货清单!H987,SEARCH("-",发货清单!H987)-1),发货清单!H987)</f>
        <v>0</v>
      </c>
      <c r="C987" t="str">
        <f>IFERROR(VLOOKUP(发货清单!A987,数据库!A:D,4,0),"")</f>
        <v/>
      </c>
      <c r="D987" t="str">
        <f>IFERROR(VLOOKUP(发货清单!A987,数据库!A:C,3,0),"")</f>
        <v/>
      </c>
      <c r="E987">
        <f>发货清单!M987</f>
        <v>0</v>
      </c>
      <c r="F987">
        <f>发货清单!U987</f>
        <v>0</v>
      </c>
      <c r="G987" t="str">
        <f>IFERROR(VLOOKUP(发货清单!A987,数据库!A:B,2,0),"")</f>
        <v/>
      </c>
      <c r="H987">
        <f>发货清单!N987</f>
        <v>0</v>
      </c>
      <c r="I987" t="str">
        <f t="shared" si="135"/>
        <v/>
      </c>
      <c r="J987" t="str">
        <f t="shared" si="136"/>
        <v xml:space="preserve"> </v>
      </c>
      <c r="K987" t="str">
        <f t="shared" si="137"/>
        <v/>
      </c>
      <c r="L987" t="str">
        <f t="shared" si="138"/>
        <v/>
      </c>
      <c r="N987" s="245">
        <f t="shared" si="139"/>
        <v>0</v>
      </c>
      <c r="O987" s="245">
        <f t="shared" si="140"/>
        <v>0</v>
      </c>
      <c r="P987" t="str">
        <f t="shared" si="141"/>
        <v/>
      </c>
      <c r="Q987" t="str">
        <f>IFERROR(VLOOKUP(P987,数据库!C:M,11,0),"")</f>
        <v/>
      </c>
      <c r="R987" t="str">
        <f t="shared" si="142"/>
        <v/>
      </c>
      <c r="S987">
        <f t="shared" si="143"/>
        <v>0</v>
      </c>
    </row>
    <row r="988" spans="1:19">
      <c r="A988" t="str">
        <f>IF(B988=0,"",发货清单!A988*10^6+COUNTIF($D$2:D988,D988)*10^3+ROW(A987))</f>
        <v/>
      </c>
      <c r="B988">
        <f>IFERROR(LEFT(发货清单!H988,SEARCH("-",发货清单!H988)-1),发货清单!H988)</f>
        <v>0</v>
      </c>
      <c r="C988" t="str">
        <f>IFERROR(VLOOKUP(发货清单!A988,数据库!A:D,4,0),"")</f>
        <v/>
      </c>
      <c r="D988" t="str">
        <f>IFERROR(VLOOKUP(发货清单!A988,数据库!A:C,3,0),"")</f>
        <v/>
      </c>
      <c r="E988">
        <f>发货清单!M988</f>
        <v>0</v>
      </c>
      <c r="F988">
        <f>发货清单!U988</f>
        <v>0</v>
      </c>
      <c r="G988" t="str">
        <f>IFERROR(VLOOKUP(发货清单!A988,数据库!A:B,2,0),"")</f>
        <v/>
      </c>
      <c r="H988">
        <f>发货清单!N988</f>
        <v>0</v>
      </c>
      <c r="I988" t="str">
        <f t="shared" si="135"/>
        <v/>
      </c>
      <c r="J988" t="str">
        <f t="shared" si="136"/>
        <v xml:space="preserve"> </v>
      </c>
      <c r="K988" t="str">
        <f t="shared" si="137"/>
        <v/>
      </c>
      <c r="L988" t="str">
        <f t="shared" si="138"/>
        <v/>
      </c>
      <c r="N988" s="245">
        <f t="shared" si="139"/>
        <v>0</v>
      </c>
      <c r="O988" s="245">
        <f t="shared" si="140"/>
        <v>0</v>
      </c>
      <c r="P988" t="str">
        <f t="shared" si="141"/>
        <v/>
      </c>
      <c r="Q988" t="str">
        <f>IFERROR(VLOOKUP(P988,数据库!C:M,11,0),"")</f>
        <v/>
      </c>
      <c r="R988" t="str">
        <f t="shared" si="142"/>
        <v/>
      </c>
      <c r="S988">
        <f t="shared" si="143"/>
        <v>0</v>
      </c>
    </row>
    <row r="989" spans="1:19">
      <c r="A989" t="str">
        <f>IF(B989=0,"",发货清单!A989*10^6+COUNTIF($D$2:D989,D989)*10^3+ROW(A988))</f>
        <v/>
      </c>
      <c r="B989">
        <f>IFERROR(LEFT(发货清单!H989,SEARCH("-",发货清单!H989)-1),发货清单!H989)</f>
        <v>0</v>
      </c>
      <c r="C989" t="str">
        <f>IFERROR(VLOOKUP(发货清单!A989,数据库!A:D,4,0),"")</f>
        <v/>
      </c>
      <c r="D989" t="str">
        <f>IFERROR(VLOOKUP(发货清单!A989,数据库!A:C,3,0),"")</f>
        <v/>
      </c>
      <c r="E989">
        <f>发货清单!M989</f>
        <v>0</v>
      </c>
      <c r="F989">
        <f>发货清单!U989</f>
        <v>0</v>
      </c>
      <c r="G989" t="str">
        <f>IFERROR(VLOOKUP(发货清单!A989,数据库!A:B,2,0),"")</f>
        <v/>
      </c>
      <c r="H989">
        <f>发货清单!N989</f>
        <v>0</v>
      </c>
      <c r="I989" t="str">
        <f t="shared" si="135"/>
        <v/>
      </c>
      <c r="J989" t="str">
        <f t="shared" si="136"/>
        <v xml:space="preserve"> </v>
      </c>
      <c r="K989" t="str">
        <f t="shared" si="137"/>
        <v/>
      </c>
      <c r="L989" t="str">
        <f t="shared" si="138"/>
        <v/>
      </c>
      <c r="N989" s="245">
        <f t="shared" si="139"/>
        <v>0</v>
      </c>
      <c r="O989" s="245">
        <f t="shared" si="140"/>
        <v>0</v>
      </c>
      <c r="P989" t="str">
        <f t="shared" si="141"/>
        <v/>
      </c>
      <c r="Q989" t="str">
        <f>IFERROR(VLOOKUP(P989,数据库!C:M,11,0),"")</f>
        <v/>
      </c>
      <c r="R989" t="str">
        <f t="shared" si="142"/>
        <v/>
      </c>
      <c r="S989">
        <f t="shared" si="143"/>
        <v>0</v>
      </c>
    </row>
    <row r="990" spans="1:19">
      <c r="A990" t="str">
        <f>IF(B990=0,"",发货清单!A990*10^6+COUNTIF($D$2:D990,D990)*10^3+ROW(A989))</f>
        <v/>
      </c>
      <c r="B990">
        <f>IFERROR(LEFT(发货清单!H990,SEARCH("-",发货清单!H990)-1),发货清单!H990)</f>
        <v>0</v>
      </c>
      <c r="C990" t="str">
        <f>IFERROR(VLOOKUP(发货清单!A990,数据库!A:D,4,0),"")</f>
        <v/>
      </c>
      <c r="D990" t="str">
        <f>IFERROR(VLOOKUP(发货清单!A990,数据库!A:C,3,0),"")</f>
        <v/>
      </c>
      <c r="E990">
        <f>发货清单!M990</f>
        <v>0</v>
      </c>
      <c r="F990">
        <f>发货清单!U990</f>
        <v>0</v>
      </c>
      <c r="G990" t="str">
        <f>IFERROR(VLOOKUP(发货清单!A990,数据库!A:B,2,0),"")</f>
        <v/>
      </c>
      <c r="H990">
        <f>发货清单!N990</f>
        <v>0</v>
      </c>
      <c r="I990" t="str">
        <f t="shared" si="135"/>
        <v/>
      </c>
      <c r="J990" t="str">
        <f t="shared" si="136"/>
        <v xml:space="preserve"> </v>
      </c>
      <c r="K990" t="str">
        <f t="shared" si="137"/>
        <v/>
      </c>
      <c r="L990" t="str">
        <f t="shared" si="138"/>
        <v/>
      </c>
      <c r="N990" s="245">
        <f t="shared" si="139"/>
        <v>0</v>
      </c>
      <c r="O990" s="245">
        <f t="shared" si="140"/>
        <v>0</v>
      </c>
      <c r="P990" t="str">
        <f t="shared" si="141"/>
        <v/>
      </c>
      <c r="Q990" t="str">
        <f>IFERROR(VLOOKUP(P990,数据库!C:M,11,0),"")</f>
        <v/>
      </c>
      <c r="R990" t="str">
        <f t="shared" si="142"/>
        <v/>
      </c>
      <c r="S990">
        <f t="shared" si="143"/>
        <v>0</v>
      </c>
    </row>
    <row r="991" spans="1:19">
      <c r="A991" t="str">
        <f>IF(B991=0,"",发货清单!A991*10^6+COUNTIF($D$2:D991,D991)*10^3+ROW(A990))</f>
        <v/>
      </c>
      <c r="B991">
        <f>IFERROR(LEFT(发货清单!H991,SEARCH("-",发货清单!H991)-1),发货清单!H991)</f>
        <v>0</v>
      </c>
      <c r="C991" t="str">
        <f>IFERROR(VLOOKUP(发货清单!A991,数据库!A:D,4,0),"")</f>
        <v/>
      </c>
      <c r="D991" t="str">
        <f>IFERROR(VLOOKUP(发货清单!A991,数据库!A:C,3,0),"")</f>
        <v/>
      </c>
      <c r="E991">
        <f>发货清单!M991</f>
        <v>0</v>
      </c>
      <c r="F991">
        <f>发货清单!U991</f>
        <v>0</v>
      </c>
      <c r="G991" t="str">
        <f>IFERROR(VLOOKUP(发货清单!A991,数据库!A:B,2,0),"")</f>
        <v/>
      </c>
      <c r="H991">
        <f>发货清单!N991</f>
        <v>0</v>
      </c>
      <c r="I991" t="str">
        <f t="shared" si="135"/>
        <v/>
      </c>
      <c r="J991" t="str">
        <f t="shared" si="136"/>
        <v xml:space="preserve"> </v>
      </c>
      <c r="K991" t="str">
        <f t="shared" si="137"/>
        <v/>
      </c>
      <c r="L991" t="str">
        <f t="shared" si="138"/>
        <v/>
      </c>
      <c r="N991" s="245">
        <f t="shared" si="139"/>
        <v>0</v>
      </c>
      <c r="O991" s="245">
        <f t="shared" si="140"/>
        <v>0</v>
      </c>
      <c r="P991" t="str">
        <f t="shared" si="141"/>
        <v/>
      </c>
      <c r="Q991" t="str">
        <f>IFERROR(VLOOKUP(P991,数据库!C:M,11,0),"")</f>
        <v/>
      </c>
      <c r="R991" t="str">
        <f t="shared" si="142"/>
        <v/>
      </c>
      <c r="S991">
        <f t="shared" si="143"/>
        <v>0</v>
      </c>
    </row>
    <row r="992" spans="1:19">
      <c r="A992" t="str">
        <f>IF(B992=0,"",发货清单!A992*10^6+COUNTIF($D$2:D992,D992)*10^3+ROW(A991))</f>
        <v/>
      </c>
      <c r="B992">
        <f>IFERROR(LEFT(发货清单!H992,SEARCH("-",发货清单!H992)-1),发货清单!H992)</f>
        <v>0</v>
      </c>
      <c r="C992" t="str">
        <f>IFERROR(VLOOKUP(发货清单!A992,数据库!A:D,4,0),"")</f>
        <v/>
      </c>
      <c r="D992" t="str">
        <f>IFERROR(VLOOKUP(发货清单!A992,数据库!A:C,3,0),"")</f>
        <v/>
      </c>
      <c r="E992">
        <f>发货清单!M992</f>
        <v>0</v>
      </c>
      <c r="F992">
        <f>发货清单!U992</f>
        <v>0</v>
      </c>
      <c r="G992" t="str">
        <f>IFERROR(VLOOKUP(发货清单!A992,数据库!A:B,2,0),"")</f>
        <v/>
      </c>
      <c r="H992">
        <f>发货清单!N992</f>
        <v>0</v>
      </c>
      <c r="I992" t="str">
        <f t="shared" si="135"/>
        <v/>
      </c>
      <c r="J992" t="str">
        <f t="shared" si="136"/>
        <v xml:space="preserve"> </v>
      </c>
      <c r="K992" t="str">
        <f t="shared" si="137"/>
        <v/>
      </c>
      <c r="L992" t="str">
        <f t="shared" si="138"/>
        <v/>
      </c>
      <c r="N992" s="245">
        <f t="shared" si="139"/>
        <v>0</v>
      </c>
      <c r="O992" s="245">
        <f t="shared" si="140"/>
        <v>0</v>
      </c>
      <c r="P992" t="str">
        <f t="shared" si="141"/>
        <v/>
      </c>
      <c r="Q992" t="str">
        <f>IFERROR(VLOOKUP(P992,数据库!C:M,11,0),"")</f>
        <v/>
      </c>
      <c r="R992" t="str">
        <f t="shared" si="142"/>
        <v/>
      </c>
      <c r="S992">
        <f t="shared" si="143"/>
        <v>0</v>
      </c>
    </row>
    <row r="993" spans="1:19">
      <c r="A993" t="str">
        <f>IF(B993=0,"",发货清单!A993*10^6+COUNTIF($D$2:D993,D993)*10^3+ROW(A992))</f>
        <v/>
      </c>
      <c r="B993">
        <f>IFERROR(LEFT(发货清单!H993,SEARCH("-",发货清单!H993)-1),发货清单!H993)</f>
        <v>0</v>
      </c>
      <c r="C993" t="str">
        <f>IFERROR(VLOOKUP(发货清单!A993,数据库!A:D,4,0),"")</f>
        <v/>
      </c>
      <c r="D993" t="str">
        <f>IFERROR(VLOOKUP(发货清单!A993,数据库!A:C,3,0),"")</f>
        <v/>
      </c>
      <c r="E993">
        <f>发货清单!M993</f>
        <v>0</v>
      </c>
      <c r="F993">
        <f>发货清单!U993</f>
        <v>0</v>
      </c>
      <c r="G993" t="str">
        <f>IFERROR(VLOOKUP(发货清单!A993,数据库!A:B,2,0),"")</f>
        <v/>
      </c>
      <c r="H993">
        <f>发货清单!N993</f>
        <v>0</v>
      </c>
      <c r="I993" t="str">
        <f t="shared" si="135"/>
        <v/>
      </c>
      <c r="J993" t="str">
        <f t="shared" si="136"/>
        <v xml:space="preserve"> </v>
      </c>
      <c r="K993" t="str">
        <f t="shared" si="137"/>
        <v/>
      </c>
      <c r="L993" t="str">
        <f t="shared" si="138"/>
        <v/>
      </c>
      <c r="N993" s="245">
        <f t="shared" si="139"/>
        <v>0</v>
      </c>
      <c r="O993" s="245">
        <f t="shared" si="140"/>
        <v>0</v>
      </c>
      <c r="P993" t="str">
        <f t="shared" si="141"/>
        <v/>
      </c>
      <c r="Q993" t="str">
        <f>IFERROR(VLOOKUP(P993,数据库!C:M,11,0),"")</f>
        <v/>
      </c>
      <c r="R993" t="str">
        <f t="shared" si="142"/>
        <v/>
      </c>
      <c r="S993">
        <f t="shared" si="143"/>
        <v>0</v>
      </c>
    </row>
    <row r="994" spans="1:19">
      <c r="A994" t="str">
        <f>IF(B994=0,"",发货清单!A994*10^6+COUNTIF($D$2:D994,D994)*10^3+ROW(A993))</f>
        <v/>
      </c>
      <c r="B994">
        <f>IFERROR(LEFT(发货清单!H994,SEARCH("-",发货清单!H994)-1),发货清单!H994)</f>
        <v>0</v>
      </c>
      <c r="C994" t="str">
        <f>IFERROR(VLOOKUP(发货清单!A994,数据库!A:D,4,0),"")</f>
        <v/>
      </c>
      <c r="D994" t="str">
        <f>IFERROR(VLOOKUP(发货清单!A994,数据库!A:C,3,0),"")</f>
        <v/>
      </c>
      <c r="E994">
        <f>发货清单!M994</f>
        <v>0</v>
      </c>
      <c r="F994">
        <f>发货清单!U994</f>
        <v>0</v>
      </c>
      <c r="G994" t="str">
        <f>IFERROR(VLOOKUP(发货清单!A994,数据库!A:B,2,0),"")</f>
        <v/>
      </c>
      <c r="H994">
        <f>发货清单!N994</f>
        <v>0</v>
      </c>
      <c r="I994" t="str">
        <f t="shared" si="135"/>
        <v/>
      </c>
      <c r="J994" t="str">
        <f t="shared" si="136"/>
        <v xml:space="preserve"> </v>
      </c>
      <c r="K994" t="str">
        <f t="shared" si="137"/>
        <v/>
      </c>
      <c r="L994" t="str">
        <f t="shared" si="138"/>
        <v/>
      </c>
      <c r="N994" s="245">
        <f t="shared" si="139"/>
        <v>0</v>
      </c>
      <c r="O994" s="245">
        <f t="shared" si="140"/>
        <v>0</v>
      </c>
      <c r="P994" t="str">
        <f t="shared" si="141"/>
        <v/>
      </c>
      <c r="Q994" t="str">
        <f>IFERROR(VLOOKUP(P994,数据库!C:M,11,0),"")</f>
        <v/>
      </c>
      <c r="R994" t="str">
        <f t="shared" si="142"/>
        <v/>
      </c>
      <c r="S994">
        <f t="shared" si="143"/>
        <v>0</v>
      </c>
    </row>
    <row r="995" spans="1:19">
      <c r="A995" t="str">
        <f>IF(B995=0,"",发货清单!A995*10^6+COUNTIF($D$2:D995,D995)*10^3+ROW(A994))</f>
        <v/>
      </c>
      <c r="B995">
        <f>IFERROR(LEFT(发货清单!H995,SEARCH("-",发货清单!H995)-1),发货清单!H995)</f>
        <v>0</v>
      </c>
      <c r="C995" t="str">
        <f>IFERROR(VLOOKUP(发货清单!A995,数据库!A:D,4,0),"")</f>
        <v/>
      </c>
      <c r="D995" t="str">
        <f>IFERROR(VLOOKUP(发货清单!A995,数据库!A:C,3,0),"")</f>
        <v/>
      </c>
      <c r="E995">
        <f>发货清单!M995</f>
        <v>0</v>
      </c>
      <c r="F995">
        <f>发货清单!U995</f>
        <v>0</v>
      </c>
      <c r="G995" t="str">
        <f>IFERROR(VLOOKUP(发货清单!A995,数据库!A:B,2,0),"")</f>
        <v/>
      </c>
      <c r="H995">
        <f>发货清单!N995</f>
        <v>0</v>
      </c>
      <c r="I995" t="str">
        <f t="shared" si="135"/>
        <v/>
      </c>
      <c r="J995" t="str">
        <f t="shared" si="136"/>
        <v xml:space="preserve"> </v>
      </c>
      <c r="K995" t="str">
        <f t="shared" si="137"/>
        <v/>
      </c>
      <c r="L995" t="str">
        <f t="shared" si="138"/>
        <v/>
      </c>
      <c r="N995" s="245">
        <f t="shared" si="139"/>
        <v>0</v>
      </c>
      <c r="O995" s="245">
        <f t="shared" si="140"/>
        <v>0</v>
      </c>
      <c r="P995" t="str">
        <f t="shared" si="141"/>
        <v/>
      </c>
      <c r="Q995" t="str">
        <f>IFERROR(VLOOKUP(P995,数据库!C:M,11,0),"")</f>
        <v/>
      </c>
      <c r="R995" t="str">
        <f t="shared" si="142"/>
        <v/>
      </c>
      <c r="S995">
        <f t="shared" si="143"/>
        <v>0</v>
      </c>
    </row>
    <row r="996" spans="1:19">
      <c r="A996" t="str">
        <f>IF(B996=0,"",发货清单!A996*10^6+COUNTIF($D$2:D996,D996)*10^3+ROW(A995))</f>
        <v/>
      </c>
      <c r="B996">
        <f>IFERROR(LEFT(发货清单!H996,SEARCH("-",发货清单!H996)-1),发货清单!H996)</f>
        <v>0</v>
      </c>
      <c r="C996" t="str">
        <f>IFERROR(VLOOKUP(发货清单!A996,数据库!A:D,4,0),"")</f>
        <v/>
      </c>
      <c r="D996" t="str">
        <f>IFERROR(VLOOKUP(发货清单!A996,数据库!A:C,3,0),"")</f>
        <v/>
      </c>
      <c r="E996">
        <f>发货清单!M996</f>
        <v>0</v>
      </c>
      <c r="F996">
        <f>发货清单!U996</f>
        <v>0</v>
      </c>
      <c r="G996" t="str">
        <f>IFERROR(VLOOKUP(发货清单!A996,数据库!A:B,2,0),"")</f>
        <v/>
      </c>
      <c r="H996">
        <f>发货清单!N996</f>
        <v>0</v>
      </c>
      <c r="I996" t="str">
        <f t="shared" si="135"/>
        <v/>
      </c>
      <c r="J996" t="str">
        <f t="shared" si="136"/>
        <v xml:space="preserve"> </v>
      </c>
      <c r="K996" t="str">
        <f t="shared" si="137"/>
        <v/>
      </c>
      <c r="L996" t="str">
        <f t="shared" si="138"/>
        <v/>
      </c>
      <c r="N996" s="245">
        <f t="shared" si="139"/>
        <v>0</v>
      </c>
      <c r="O996" s="245">
        <f t="shared" si="140"/>
        <v>0</v>
      </c>
      <c r="P996" t="str">
        <f t="shared" si="141"/>
        <v/>
      </c>
      <c r="Q996" t="str">
        <f>IFERROR(VLOOKUP(P996,数据库!C:M,11,0),"")</f>
        <v/>
      </c>
      <c r="R996" t="str">
        <f t="shared" si="142"/>
        <v/>
      </c>
      <c r="S996">
        <f t="shared" si="143"/>
        <v>0</v>
      </c>
    </row>
    <row r="997" spans="1:19">
      <c r="A997" t="str">
        <f>IF(B997=0,"",发货清单!A997*10^6+COUNTIF($D$2:D997,D997)*10^3+ROW(A996))</f>
        <v/>
      </c>
      <c r="B997">
        <f>IFERROR(LEFT(发货清单!H997,SEARCH("-",发货清单!H997)-1),发货清单!H997)</f>
        <v>0</v>
      </c>
      <c r="C997" t="str">
        <f>IFERROR(VLOOKUP(发货清单!A997,数据库!A:D,4,0),"")</f>
        <v/>
      </c>
      <c r="D997" t="str">
        <f>IFERROR(VLOOKUP(发货清单!A997,数据库!A:C,3,0),"")</f>
        <v/>
      </c>
      <c r="E997">
        <f>发货清单!M997</f>
        <v>0</v>
      </c>
      <c r="F997">
        <f>发货清单!U997</f>
        <v>0</v>
      </c>
      <c r="G997" t="str">
        <f>IFERROR(VLOOKUP(发货清单!A997,数据库!A:B,2,0),"")</f>
        <v/>
      </c>
      <c r="H997">
        <f>发货清单!N997</f>
        <v>0</v>
      </c>
      <c r="I997" t="str">
        <f t="shared" si="135"/>
        <v/>
      </c>
      <c r="J997" t="str">
        <f t="shared" si="136"/>
        <v xml:space="preserve"> </v>
      </c>
      <c r="K997" t="str">
        <f t="shared" si="137"/>
        <v/>
      </c>
      <c r="L997" t="str">
        <f t="shared" si="138"/>
        <v/>
      </c>
      <c r="N997" s="245">
        <f t="shared" si="139"/>
        <v>0</v>
      </c>
      <c r="O997" s="245">
        <f t="shared" si="140"/>
        <v>0</v>
      </c>
      <c r="P997" t="str">
        <f t="shared" si="141"/>
        <v/>
      </c>
      <c r="Q997" t="str">
        <f>IFERROR(VLOOKUP(P997,数据库!C:M,11,0),"")</f>
        <v/>
      </c>
      <c r="R997" t="str">
        <f t="shared" si="142"/>
        <v/>
      </c>
      <c r="S997">
        <f t="shared" si="143"/>
        <v>0</v>
      </c>
    </row>
    <row r="998" spans="1:19">
      <c r="A998" t="str">
        <f>IF(B998=0,"",发货清单!A998*10^6+COUNTIF($D$2:D998,D998)*10^3+ROW(A997))</f>
        <v/>
      </c>
      <c r="B998">
        <f>IFERROR(LEFT(发货清单!H998,SEARCH("-",发货清单!H998)-1),发货清单!H998)</f>
        <v>0</v>
      </c>
      <c r="C998" t="str">
        <f>IFERROR(VLOOKUP(发货清单!A998,数据库!A:D,4,0),"")</f>
        <v/>
      </c>
      <c r="D998" t="str">
        <f>IFERROR(VLOOKUP(发货清单!A998,数据库!A:C,3,0),"")</f>
        <v/>
      </c>
      <c r="E998">
        <f>发货清单!M998</f>
        <v>0</v>
      </c>
      <c r="F998">
        <f>发货清单!U998</f>
        <v>0</v>
      </c>
      <c r="G998" t="str">
        <f>IFERROR(VLOOKUP(发货清单!A998,数据库!A:B,2,0),"")</f>
        <v/>
      </c>
      <c r="H998">
        <f>发货清单!N998</f>
        <v>0</v>
      </c>
      <c r="I998" t="str">
        <f t="shared" si="135"/>
        <v/>
      </c>
      <c r="J998" t="str">
        <f t="shared" si="136"/>
        <v xml:space="preserve"> </v>
      </c>
      <c r="K998" t="str">
        <f t="shared" si="137"/>
        <v/>
      </c>
      <c r="L998" t="str">
        <f t="shared" si="138"/>
        <v/>
      </c>
      <c r="N998" s="245">
        <f t="shared" si="139"/>
        <v>0</v>
      </c>
      <c r="O998" s="245">
        <f t="shared" si="140"/>
        <v>0</v>
      </c>
      <c r="P998" t="str">
        <f t="shared" si="141"/>
        <v/>
      </c>
      <c r="Q998" t="str">
        <f>IFERROR(VLOOKUP(P998,数据库!C:M,11,0),"")</f>
        <v/>
      </c>
      <c r="R998" t="str">
        <f t="shared" si="142"/>
        <v/>
      </c>
      <c r="S998">
        <f t="shared" si="143"/>
        <v>0</v>
      </c>
    </row>
    <row r="999" spans="1:19">
      <c r="A999" t="str">
        <f>IF(B999=0,"",发货清单!A999*10^6+COUNTIF($D$2:D999,D999)*10^3+ROW(A998))</f>
        <v/>
      </c>
      <c r="B999">
        <f>IFERROR(LEFT(发货清单!H999,SEARCH("-",发货清单!H999)-1),发货清单!H999)</f>
        <v>0</v>
      </c>
      <c r="C999" t="str">
        <f>IFERROR(VLOOKUP(发货清单!A999,数据库!A:D,4,0),"")</f>
        <v/>
      </c>
      <c r="D999" t="str">
        <f>IFERROR(VLOOKUP(发货清单!A999,数据库!A:C,3,0),"")</f>
        <v/>
      </c>
      <c r="E999">
        <f>发货清单!M999</f>
        <v>0</v>
      </c>
      <c r="F999">
        <f>发货清单!U999</f>
        <v>0</v>
      </c>
      <c r="G999" t="str">
        <f>IFERROR(VLOOKUP(发货清单!A999,数据库!A:B,2,0),"")</f>
        <v/>
      </c>
      <c r="H999">
        <f>发货清单!N999</f>
        <v>0</v>
      </c>
      <c r="I999" t="str">
        <f t="shared" si="135"/>
        <v/>
      </c>
      <c r="J999" t="str">
        <f t="shared" si="136"/>
        <v xml:space="preserve"> </v>
      </c>
      <c r="K999" t="str">
        <f t="shared" si="137"/>
        <v/>
      </c>
      <c r="L999" t="str">
        <f t="shared" si="138"/>
        <v/>
      </c>
      <c r="N999" s="245">
        <f t="shared" si="139"/>
        <v>0</v>
      </c>
      <c r="O999" s="245">
        <f t="shared" si="140"/>
        <v>0</v>
      </c>
      <c r="P999" t="str">
        <f t="shared" si="141"/>
        <v/>
      </c>
      <c r="Q999" t="str">
        <f>IFERROR(VLOOKUP(P999,数据库!C:M,11,0),"")</f>
        <v/>
      </c>
      <c r="R999" t="str">
        <f t="shared" si="142"/>
        <v/>
      </c>
      <c r="S999">
        <f t="shared" si="143"/>
        <v>0</v>
      </c>
    </row>
    <row r="1000" spans="1:19">
      <c r="A1000" t="str">
        <f>IF(B1000=0,"",发货清单!A1000*10^6+COUNTIF($D$2:D1000,D1000)*10^3+ROW(A999))</f>
        <v/>
      </c>
      <c r="B1000">
        <f>IFERROR(LEFT(发货清单!H1000,SEARCH("-",发货清单!H1000)-1),发货清单!H1000)</f>
        <v>0</v>
      </c>
      <c r="C1000" t="str">
        <f>IFERROR(VLOOKUP(发货清单!A1000,数据库!A:D,4,0),"")</f>
        <v/>
      </c>
      <c r="D1000" t="str">
        <f>IFERROR(VLOOKUP(发货清单!A1000,数据库!A:C,3,0),"")</f>
        <v/>
      </c>
      <c r="E1000">
        <f>发货清单!M1000</f>
        <v>0</v>
      </c>
      <c r="F1000">
        <f>发货清单!U1000</f>
        <v>0</v>
      </c>
      <c r="G1000" t="str">
        <f>IFERROR(VLOOKUP(发货清单!A1000,数据库!A:B,2,0),"")</f>
        <v/>
      </c>
      <c r="H1000">
        <f>发货清单!N1000</f>
        <v>0</v>
      </c>
      <c r="I1000" t="str">
        <f t="shared" si="135"/>
        <v/>
      </c>
      <c r="J1000" t="str">
        <f t="shared" si="136"/>
        <v xml:space="preserve"> </v>
      </c>
      <c r="K1000" t="str">
        <f t="shared" si="137"/>
        <v/>
      </c>
      <c r="L1000" t="str">
        <f t="shared" si="138"/>
        <v/>
      </c>
      <c r="N1000" s="245">
        <f t="shared" si="139"/>
        <v>0</v>
      </c>
      <c r="O1000" s="245">
        <f t="shared" si="140"/>
        <v>0</v>
      </c>
      <c r="P1000" t="str">
        <f t="shared" si="141"/>
        <v/>
      </c>
      <c r="Q1000" t="str">
        <f>IFERROR(VLOOKUP(P1000,数据库!C:M,11,0),"")</f>
        <v/>
      </c>
      <c r="R1000" t="str">
        <f t="shared" si="142"/>
        <v/>
      </c>
      <c r="S1000">
        <f t="shared" si="143"/>
        <v>0</v>
      </c>
    </row>
    <row r="1001" spans="1:19">
      <c r="A1001" t="str">
        <f>IF(B1001=0,"",发货清单!A1001*10^6+COUNTIF($D$2:D1001,D1001)*10^3+ROW(A1000))</f>
        <v/>
      </c>
      <c r="B1001">
        <f>IFERROR(LEFT(发货清单!H1001,SEARCH("-",发货清单!H1001)-1),发货清单!H1001)</f>
        <v>0</v>
      </c>
      <c r="C1001" t="str">
        <f>IFERROR(VLOOKUP(发货清单!A1001,数据库!A:D,4,0),"")</f>
        <v/>
      </c>
      <c r="D1001" t="str">
        <f>IFERROR(VLOOKUP(发货清单!A1001,数据库!A:C,3,0),"")</f>
        <v/>
      </c>
      <c r="E1001">
        <f>发货清单!M1001</f>
        <v>0</v>
      </c>
      <c r="F1001">
        <f>发货清单!U1001</f>
        <v>0</v>
      </c>
      <c r="G1001" t="str">
        <f>IFERROR(VLOOKUP(发货清单!A1001,数据库!A:B,2,0),"")</f>
        <v/>
      </c>
      <c r="H1001">
        <f>发货清单!N1001</f>
        <v>0</v>
      </c>
      <c r="I1001" t="str">
        <f t="shared" si="135"/>
        <v/>
      </c>
      <c r="J1001" t="str">
        <f t="shared" si="136"/>
        <v xml:space="preserve"> </v>
      </c>
      <c r="K1001" t="str">
        <f t="shared" si="137"/>
        <v/>
      </c>
      <c r="L1001" t="str">
        <f t="shared" si="138"/>
        <v/>
      </c>
      <c r="N1001" s="245">
        <f t="shared" si="139"/>
        <v>0</v>
      </c>
      <c r="O1001" s="245">
        <f t="shared" si="140"/>
        <v>0</v>
      </c>
      <c r="P1001" t="str">
        <f t="shared" si="141"/>
        <v/>
      </c>
      <c r="Q1001" t="str">
        <f>IFERROR(VLOOKUP(P1001,数据库!C:M,11,0),"")</f>
        <v/>
      </c>
      <c r="R1001" t="str">
        <f t="shared" si="142"/>
        <v/>
      </c>
      <c r="S1001">
        <f t="shared" si="143"/>
        <v>0</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23"/>
  <sheetViews>
    <sheetView workbookViewId="0">
      <pane ySplit="1" topLeftCell="A209" activePane="bottomLeft" state="frozen"/>
      <selection pane="bottomLeft" activeCell="D225" sqref="D225"/>
    </sheetView>
  </sheetViews>
  <sheetFormatPr defaultRowHeight="13.5"/>
  <cols>
    <col min="1" max="1" width="12.5" style="417" customWidth="1"/>
    <col min="2" max="2" width="32.875" style="108" bestFit="1" customWidth="1"/>
    <col min="3" max="3" width="8" style="108" bestFit="1" customWidth="1"/>
    <col min="4" max="4" width="16.25" style="108" bestFit="1" customWidth="1"/>
    <col min="5" max="16384" width="9" style="108"/>
  </cols>
  <sheetData>
    <row r="1" spans="1:8" s="107" customFormat="1" ht="24" customHeight="1">
      <c r="A1" s="415" t="s">
        <v>789</v>
      </c>
      <c r="B1" s="107" t="s">
        <v>790</v>
      </c>
      <c r="C1" s="107" t="s">
        <v>791</v>
      </c>
      <c r="D1" s="107" t="s">
        <v>792</v>
      </c>
      <c r="E1" s="107" t="s">
        <v>793</v>
      </c>
      <c r="F1" s="107" t="s">
        <v>793</v>
      </c>
      <c r="G1" s="107" t="s">
        <v>794</v>
      </c>
      <c r="H1" s="107" t="s">
        <v>795</v>
      </c>
    </row>
    <row r="2" spans="1:8" s="389" customFormat="1">
      <c r="A2" s="416">
        <v>1</v>
      </c>
    </row>
    <row r="3" spans="1:8" ht="16.5">
      <c r="A3" s="417" t="s">
        <v>796</v>
      </c>
      <c r="B3" s="109" t="s">
        <v>1181</v>
      </c>
      <c r="C3" s="110" t="s">
        <v>797</v>
      </c>
      <c r="D3" s="108">
        <v>572645002</v>
      </c>
      <c r="E3" s="108" t="s">
        <v>798</v>
      </c>
      <c r="F3" s="108" t="s">
        <v>799</v>
      </c>
      <c r="G3" s="108" t="s">
        <v>921</v>
      </c>
      <c r="H3" s="163" t="s">
        <v>800</v>
      </c>
    </row>
    <row r="4" spans="1:8" ht="14.25">
      <c r="A4" s="417" t="s">
        <v>234</v>
      </c>
      <c r="B4" s="111" t="s">
        <v>235</v>
      </c>
      <c r="C4" s="112"/>
    </row>
    <row r="5" spans="1:8" ht="14.25">
      <c r="A5" s="417" t="s">
        <v>236</v>
      </c>
      <c r="B5" s="111" t="s">
        <v>237</v>
      </c>
      <c r="C5" s="112"/>
    </row>
    <row r="6" spans="1:8" ht="14.25">
      <c r="A6" s="417" t="s">
        <v>238</v>
      </c>
      <c r="B6" s="113" t="s">
        <v>239</v>
      </c>
      <c r="C6" s="113"/>
    </row>
    <row r="7" spans="1:8" ht="15.75">
      <c r="A7" s="417" t="s">
        <v>240</v>
      </c>
      <c r="B7" s="114" t="s">
        <v>801</v>
      </c>
      <c r="C7" s="115"/>
    </row>
    <row r="8" spans="1:8" s="386" customFormat="1" ht="15.75">
      <c r="A8" s="418">
        <v>2</v>
      </c>
      <c r="B8" s="387"/>
      <c r="C8" s="388"/>
    </row>
    <row r="9" spans="1:8" ht="15.75">
      <c r="A9" s="417" t="s">
        <v>922</v>
      </c>
      <c r="B9" s="116" t="s">
        <v>241</v>
      </c>
      <c r="C9" s="117" t="s">
        <v>923</v>
      </c>
      <c r="D9" s="108">
        <v>358774253</v>
      </c>
      <c r="E9" s="108" t="s">
        <v>924</v>
      </c>
      <c r="F9" s="108" t="s">
        <v>925</v>
      </c>
      <c r="G9" s="108" t="s">
        <v>926</v>
      </c>
      <c r="H9" s="108" t="s">
        <v>927</v>
      </c>
    </row>
    <row r="10" spans="1:8" ht="14.25">
      <c r="A10" s="417" t="s">
        <v>242</v>
      </c>
      <c r="B10" s="118" t="s">
        <v>928</v>
      </c>
    </row>
    <row r="11" spans="1:8" ht="14.25">
      <c r="A11" s="417" t="s">
        <v>243</v>
      </c>
      <c r="B11" s="118" t="s">
        <v>929</v>
      </c>
    </row>
    <row r="12" spans="1:8">
      <c r="A12" s="417" t="s">
        <v>244</v>
      </c>
      <c r="B12" s="108" t="s">
        <v>930</v>
      </c>
    </row>
    <row r="13" spans="1:8" ht="14.25">
      <c r="A13" s="417" t="s">
        <v>245</v>
      </c>
      <c r="B13" s="390" t="s">
        <v>931</v>
      </c>
    </row>
    <row r="14" spans="1:8" s="386" customFormat="1">
      <c r="A14" s="418">
        <v>3</v>
      </c>
    </row>
    <row r="15" spans="1:8" ht="16.5">
      <c r="A15" s="419" t="s">
        <v>805</v>
      </c>
      <c r="B15" s="120" t="s">
        <v>806</v>
      </c>
      <c r="C15" s="117" t="s">
        <v>934</v>
      </c>
      <c r="D15" s="108">
        <v>957060036</v>
      </c>
      <c r="E15" s="108" t="s">
        <v>807</v>
      </c>
      <c r="F15" s="108" t="s">
        <v>808</v>
      </c>
      <c r="G15" s="108" t="s">
        <v>932</v>
      </c>
      <c r="H15" s="108" t="s">
        <v>933</v>
      </c>
    </row>
    <row r="16" spans="1:8" ht="15.75">
      <c r="A16" s="419" t="s">
        <v>246</v>
      </c>
      <c r="B16" s="120" t="s">
        <v>247</v>
      </c>
    </row>
    <row r="17" spans="1:8" ht="15.75">
      <c r="A17" s="419" t="s">
        <v>248</v>
      </c>
      <c r="B17" s="120" t="s">
        <v>249</v>
      </c>
    </row>
    <row r="18" spans="1:8" ht="15.75">
      <c r="A18" s="419" t="s">
        <v>250</v>
      </c>
      <c r="B18" s="120" t="s">
        <v>809</v>
      </c>
    </row>
    <row r="19" spans="1:8" ht="15.75">
      <c r="A19" s="419" t="s">
        <v>251</v>
      </c>
      <c r="B19" s="120" t="s">
        <v>252</v>
      </c>
    </row>
    <row r="20" spans="1:8" s="386" customFormat="1">
      <c r="A20" s="418">
        <v>4</v>
      </c>
    </row>
    <row r="21" spans="1:8" ht="16.5">
      <c r="A21" s="419" t="s">
        <v>810</v>
      </c>
      <c r="B21" s="121" t="s">
        <v>811</v>
      </c>
      <c r="C21" s="117" t="s">
        <v>802</v>
      </c>
      <c r="D21" s="108" t="s">
        <v>948</v>
      </c>
      <c r="E21" s="108" t="s">
        <v>807</v>
      </c>
      <c r="F21" s="108" t="s">
        <v>808</v>
      </c>
      <c r="G21" s="108" t="s">
        <v>921</v>
      </c>
      <c r="H21" s="108" t="s">
        <v>935</v>
      </c>
    </row>
    <row r="22" spans="1:8" ht="15.75">
      <c r="A22" s="419" t="s">
        <v>253</v>
      </c>
      <c r="B22" s="121" t="s">
        <v>812</v>
      </c>
    </row>
    <row r="23" spans="1:8" ht="15.75">
      <c r="A23" s="419" t="s">
        <v>254</v>
      </c>
      <c r="B23" s="121" t="s">
        <v>813</v>
      </c>
    </row>
    <row r="24" spans="1:8" ht="15.75">
      <c r="A24" s="419" t="s">
        <v>255</v>
      </c>
      <c r="B24" s="121" t="s">
        <v>814</v>
      </c>
    </row>
    <row r="25" spans="1:8">
      <c r="A25" s="419" t="s">
        <v>256</v>
      </c>
    </row>
    <row r="26" spans="1:8" s="386" customFormat="1">
      <c r="A26" s="418">
        <v>5</v>
      </c>
    </row>
    <row r="27" spans="1:8" ht="15.75">
      <c r="A27" s="419" t="s">
        <v>936</v>
      </c>
      <c r="B27" s="108" t="s">
        <v>937</v>
      </c>
      <c r="C27" s="117" t="s">
        <v>938</v>
      </c>
      <c r="D27" s="108" t="s">
        <v>947</v>
      </c>
      <c r="E27" s="108" t="s">
        <v>939</v>
      </c>
      <c r="F27" s="108" t="s">
        <v>940</v>
      </c>
      <c r="G27" s="108" t="s">
        <v>946</v>
      </c>
      <c r="H27" s="108" t="s">
        <v>941</v>
      </c>
    </row>
    <row r="28" spans="1:8">
      <c r="A28" s="419" t="s">
        <v>257</v>
      </c>
      <c r="B28" s="108" t="s">
        <v>942</v>
      </c>
    </row>
    <row r="29" spans="1:8">
      <c r="A29" s="419" t="s">
        <v>258</v>
      </c>
      <c r="B29" s="108" t="s">
        <v>943</v>
      </c>
    </row>
    <row r="30" spans="1:8">
      <c r="A30" s="419" t="s">
        <v>259</v>
      </c>
      <c r="B30" s="108" t="s">
        <v>944</v>
      </c>
    </row>
    <row r="31" spans="1:8">
      <c r="A31" s="419" t="s">
        <v>260</v>
      </c>
      <c r="B31" s="108" t="s">
        <v>945</v>
      </c>
    </row>
    <row r="32" spans="1:8" s="386" customFormat="1">
      <c r="A32" s="418">
        <v>6</v>
      </c>
    </row>
    <row r="33" spans="1:8" ht="15.75">
      <c r="A33" s="417" t="s">
        <v>815</v>
      </c>
      <c r="B33" s="116" t="s">
        <v>261</v>
      </c>
      <c r="C33" s="117" t="s">
        <v>802</v>
      </c>
      <c r="D33" s="108" t="s">
        <v>948</v>
      </c>
      <c r="E33" s="108" t="s">
        <v>816</v>
      </c>
      <c r="F33" s="108" t="s">
        <v>817</v>
      </c>
      <c r="G33" s="108" t="s">
        <v>803</v>
      </c>
      <c r="H33" s="108" t="s">
        <v>949</v>
      </c>
    </row>
    <row r="34" spans="1:8" ht="14.25">
      <c r="A34" s="417" t="s">
        <v>262</v>
      </c>
      <c r="B34" s="118" t="s">
        <v>263</v>
      </c>
    </row>
    <row r="35" spans="1:8" ht="14.25">
      <c r="A35" s="417" t="s">
        <v>264</v>
      </c>
      <c r="B35" s="118" t="s">
        <v>265</v>
      </c>
    </row>
    <row r="36" spans="1:8">
      <c r="A36" s="417" t="s">
        <v>266</v>
      </c>
      <c r="B36" s="108" t="s">
        <v>818</v>
      </c>
    </row>
    <row r="37" spans="1:8" ht="15.75">
      <c r="A37" s="417" t="s">
        <v>267</v>
      </c>
      <c r="B37" s="119" t="s">
        <v>268</v>
      </c>
    </row>
    <row r="38" spans="1:8" s="386" customFormat="1">
      <c r="A38" s="418">
        <v>7</v>
      </c>
    </row>
    <row r="39" spans="1:8" ht="15.75">
      <c r="A39" s="417" t="s">
        <v>950</v>
      </c>
      <c r="B39" s="116" t="s">
        <v>951</v>
      </c>
      <c r="C39" s="117" t="s">
        <v>938</v>
      </c>
      <c r="D39" s="108" t="s">
        <v>952</v>
      </c>
      <c r="E39" s="108" t="s">
        <v>958</v>
      </c>
      <c r="F39" s="108" t="s">
        <v>953</v>
      </c>
      <c r="G39" s="108" t="s">
        <v>921</v>
      </c>
      <c r="H39" s="108" t="s">
        <v>957</v>
      </c>
    </row>
    <row r="40" spans="1:8" ht="14.25">
      <c r="A40" s="417" t="s">
        <v>269</v>
      </c>
      <c r="B40" s="118" t="s">
        <v>954</v>
      </c>
    </row>
    <row r="41" spans="1:8" ht="14.25">
      <c r="A41" s="417" t="s">
        <v>270</v>
      </c>
      <c r="B41" s="118" t="s">
        <v>955</v>
      </c>
    </row>
    <row r="42" spans="1:8" ht="15.75">
      <c r="A42" s="417" t="s">
        <v>271</v>
      </c>
      <c r="B42" s="119" t="s">
        <v>956</v>
      </c>
    </row>
    <row r="43" spans="1:8">
      <c r="A43" s="417" t="s">
        <v>1180</v>
      </c>
    </row>
    <row r="44" spans="1:8" s="386" customFormat="1">
      <c r="A44" s="418">
        <v>8</v>
      </c>
    </row>
    <row r="45" spans="1:8" ht="15.75">
      <c r="A45" s="417" t="s">
        <v>819</v>
      </c>
      <c r="B45" s="123" t="s">
        <v>820</v>
      </c>
      <c r="C45" s="117" t="s">
        <v>802</v>
      </c>
      <c r="D45" s="108" t="s">
        <v>804</v>
      </c>
      <c r="E45" s="108" t="s">
        <v>821</v>
      </c>
      <c r="F45" s="108" t="s">
        <v>822</v>
      </c>
      <c r="G45" s="108" t="s">
        <v>803</v>
      </c>
      <c r="H45" s="108" t="s">
        <v>959</v>
      </c>
    </row>
    <row r="46" spans="1:8" ht="14.25">
      <c r="A46" s="417" t="s">
        <v>272</v>
      </c>
      <c r="B46" s="124" t="s">
        <v>273</v>
      </c>
    </row>
    <row r="47" spans="1:8" ht="14.25">
      <c r="A47" s="417" t="s">
        <v>274</v>
      </c>
      <c r="B47" s="124" t="s">
        <v>275</v>
      </c>
    </row>
    <row r="48" spans="1:8" ht="14.25">
      <c r="A48" s="417" t="s">
        <v>276</v>
      </c>
      <c r="B48" s="354" t="s">
        <v>960</v>
      </c>
    </row>
    <row r="49" spans="1:9" ht="15.75">
      <c r="A49" s="417" t="s">
        <v>277</v>
      </c>
      <c r="B49" s="125" t="s">
        <v>278</v>
      </c>
    </row>
    <row r="50" spans="1:9" s="386" customFormat="1">
      <c r="A50" s="418">
        <v>9</v>
      </c>
    </row>
    <row r="51" spans="1:9" ht="15.75">
      <c r="A51" s="417" t="s">
        <v>825</v>
      </c>
      <c r="B51" s="108" t="s">
        <v>287</v>
      </c>
      <c r="C51" s="117" t="s">
        <v>802</v>
      </c>
      <c r="D51" s="122" t="s">
        <v>826</v>
      </c>
      <c r="E51" s="108" t="s">
        <v>293</v>
      </c>
      <c r="F51" s="108" t="s">
        <v>827</v>
      </c>
      <c r="G51" s="108" t="s">
        <v>803</v>
      </c>
      <c r="H51" s="108" t="s">
        <v>828</v>
      </c>
    </row>
    <row r="52" spans="1:9" ht="15.75">
      <c r="A52" s="417" t="s">
        <v>288</v>
      </c>
      <c r="B52" s="108" t="s">
        <v>292</v>
      </c>
      <c r="C52" s="117"/>
      <c r="D52" s="122"/>
    </row>
    <row r="53" spans="1:9">
      <c r="A53" s="417" t="s">
        <v>289</v>
      </c>
      <c r="B53" s="108" t="s">
        <v>829</v>
      </c>
    </row>
    <row r="54" spans="1:9">
      <c r="A54" s="417" t="s">
        <v>290</v>
      </c>
      <c r="B54" s="108" t="s">
        <v>830</v>
      </c>
    </row>
    <row r="55" spans="1:9">
      <c r="A55" s="417" t="s">
        <v>291</v>
      </c>
    </row>
    <row r="56" spans="1:9" s="386" customFormat="1">
      <c r="A56" s="418">
        <v>10</v>
      </c>
    </row>
    <row r="57" spans="1:9">
      <c r="A57" s="417" t="s">
        <v>844</v>
      </c>
      <c r="B57" s="108" t="s">
        <v>309</v>
      </c>
      <c r="C57" s="108" t="s">
        <v>845</v>
      </c>
      <c r="E57" s="108" t="s">
        <v>823</v>
      </c>
      <c r="F57" s="108" t="s">
        <v>824</v>
      </c>
      <c r="G57" s="108" t="s">
        <v>846</v>
      </c>
      <c r="H57" s="108" t="s">
        <v>843</v>
      </c>
      <c r="I57" s="108" t="s">
        <v>314</v>
      </c>
    </row>
    <row r="58" spans="1:9" ht="15.75">
      <c r="A58" s="417" t="s">
        <v>310</v>
      </c>
      <c r="B58" s="519" t="s">
        <v>847</v>
      </c>
      <c r="C58" s="520"/>
      <c r="D58" s="520"/>
      <c r="E58" s="520"/>
      <c r="F58" s="520"/>
    </row>
    <row r="59" spans="1:9" ht="15.75">
      <c r="A59" s="417" t="s">
        <v>311</v>
      </c>
      <c r="B59" s="521" t="s">
        <v>848</v>
      </c>
      <c r="C59" s="522"/>
      <c r="D59" s="522"/>
      <c r="E59" s="522"/>
      <c r="F59" s="522"/>
    </row>
    <row r="60" spans="1:9" ht="15.75">
      <c r="A60" s="417" t="s">
        <v>312</v>
      </c>
      <c r="B60" s="519" t="s">
        <v>849</v>
      </c>
      <c r="C60" s="520"/>
      <c r="D60" s="520"/>
      <c r="E60" s="520"/>
      <c r="F60" s="520"/>
    </row>
    <row r="61" spans="1:9">
      <c r="A61" s="417" t="s">
        <v>313</v>
      </c>
      <c r="B61" s="168" t="s">
        <v>850</v>
      </c>
    </row>
    <row r="62" spans="1:9" s="386" customFormat="1">
      <c r="A62" s="418">
        <v>11</v>
      </c>
    </row>
    <row r="63" spans="1:9" ht="15.75">
      <c r="A63" s="417" t="s">
        <v>961</v>
      </c>
      <c r="B63" s="108" t="s">
        <v>962</v>
      </c>
      <c r="C63" s="108" t="s">
        <v>963</v>
      </c>
      <c r="D63" s="151">
        <v>950246099</v>
      </c>
      <c r="E63" s="108" t="s">
        <v>964</v>
      </c>
      <c r="F63" s="108" t="s">
        <v>965</v>
      </c>
      <c r="G63" s="108" t="s">
        <v>966</v>
      </c>
      <c r="H63" s="108" t="s">
        <v>967</v>
      </c>
      <c r="I63" s="108" t="s">
        <v>396</v>
      </c>
    </row>
    <row r="64" spans="1:9">
      <c r="A64" s="417" t="s">
        <v>397</v>
      </c>
      <c r="B64" s="108" t="s">
        <v>968</v>
      </c>
    </row>
    <row r="65" spans="1:9">
      <c r="A65" s="417" t="s">
        <v>398</v>
      </c>
      <c r="B65" s="108" t="s">
        <v>399</v>
      </c>
    </row>
    <row r="66" spans="1:9">
      <c r="A66" s="417" t="s">
        <v>400</v>
      </c>
      <c r="B66" s="108" t="s">
        <v>964</v>
      </c>
    </row>
    <row r="67" spans="1:9">
      <c r="A67" s="417" t="s">
        <v>401</v>
      </c>
      <c r="B67" s="108" t="s">
        <v>402</v>
      </c>
    </row>
    <row r="68" spans="1:9" s="386" customFormat="1">
      <c r="A68" s="418">
        <v>12</v>
      </c>
    </row>
    <row r="69" spans="1:9" ht="15.75">
      <c r="A69" s="417" t="s">
        <v>969</v>
      </c>
      <c r="B69" s="108" t="s">
        <v>970</v>
      </c>
      <c r="C69" s="108" t="s">
        <v>963</v>
      </c>
      <c r="D69" s="163">
        <v>956648800</v>
      </c>
      <c r="E69" s="108" t="s">
        <v>971</v>
      </c>
      <c r="F69" s="108" t="s">
        <v>965</v>
      </c>
      <c r="G69" s="108" t="s">
        <v>966</v>
      </c>
      <c r="H69" s="108" t="s">
        <v>967</v>
      </c>
      <c r="I69" s="108" t="s">
        <v>409</v>
      </c>
    </row>
    <row r="70" spans="1:9">
      <c r="A70" s="417" t="s">
        <v>410</v>
      </c>
      <c r="B70" s="108" t="s">
        <v>972</v>
      </c>
    </row>
    <row r="71" spans="1:9">
      <c r="A71" s="417" t="s">
        <v>411</v>
      </c>
      <c r="B71" s="108" t="s">
        <v>973</v>
      </c>
    </row>
    <row r="72" spans="1:9">
      <c r="A72" s="417" t="s">
        <v>412</v>
      </c>
      <c r="B72" s="108" t="s">
        <v>974</v>
      </c>
    </row>
    <row r="73" spans="1:9">
      <c r="A73" s="417" t="s">
        <v>413</v>
      </c>
      <c r="B73" s="168" t="s">
        <v>975</v>
      </c>
    </row>
    <row r="74" spans="1:9" s="386" customFormat="1">
      <c r="A74" s="418">
        <v>13</v>
      </c>
    </row>
    <row r="75" spans="1:9">
      <c r="A75" s="417" t="s">
        <v>976</v>
      </c>
      <c r="B75" s="108" t="s">
        <v>977</v>
      </c>
      <c r="C75" s="108" t="s">
        <v>978</v>
      </c>
      <c r="D75" s="108" t="s">
        <v>979</v>
      </c>
      <c r="E75" s="108" t="s">
        <v>980</v>
      </c>
      <c r="F75" s="108" t="s">
        <v>981</v>
      </c>
      <c r="G75" s="108" t="s">
        <v>982</v>
      </c>
      <c r="H75" s="108" t="s">
        <v>967</v>
      </c>
      <c r="I75" s="108" t="s">
        <v>983</v>
      </c>
    </row>
    <row r="76" spans="1:9">
      <c r="A76" s="417" t="s">
        <v>984</v>
      </c>
      <c r="B76" s="108" t="s">
        <v>985</v>
      </c>
    </row>
    <row r="77" spans="1:9">
      <c r="A77" s="417" t="s">
        <v>986</v>
      </c>
      <c r="B77" s="108" t="s">
        <v>987</v>
      </c>
    </row>
    <row r="78" spans="1:9">
      <c r="A78" s="417" t="s">
        <v>988</v>
      </c>
      <c r="B78" s="108" t="s">
        <v>989</v>
      </c>
    </row>
    <row r="79" spans="1:9">
      <c r="A79" s="417" t="s">
        <v>990</v>
      </c>
      <c r="B79" s="108" t="s">
        <v>991</v>
      </c>
    </row>
    <row r="80" spans="1:9" s="386" customFormat="1">
      <c r="A80" s="418">
        <v>14</v>
      </c>
    </row>
    <row r="81" spans="1:8">
      <c r="A81" s="417" t="s">
        <v>992</v>
      </c>
      <c r="B81" s="108" t="s">
        <v>993</v>
      </c>
      <c r="C81" s="108" t="s">
        <v>1003</v>
      </c>
      <c r="D81" s="108" t="s">
        <v>979</v>
      </c>
      <c r="E81" s="108" t="s">
        <v>293</v>
      </c>
      <c r="F81" s="108" t="s">
        <v>1004</v>
      </c>
      <c r="H81" s="108" t="s">
        <v>994</v>
      </c>
    </row>
    <row r="82" spans="1:8">
      <c r="A82" s="417" t="s">
        <v>995</v>
      </c>
      <c r="B82" s="108" t="s">
        <v>996</v>
      </c>
    </row>
    <row r="83" spans="1:8">
      <c r="A83" s="417" t="s">
        <v>997</v>
      </c>
      <c r="B83" s="108" t="s">
        <v>998</v>
      </c>
    </row>
    <row r="84" spans="1:8" ht="14.25">
      <c r="A84" s="417" t="s">
        <v>999</v>
      </c>
      <c r="B84" s="391" t="s">
        <v>1000</v>
      </c>
    </row>
    <row r="85" spans="1:8">
      <c r="A85" s="417" t="s">
        <v>1001</v>
      </c>
      <c r="B85" s="108" t="s">
        <v>1002</v>
      </c>
    </row>
    <row r="86" spans="1:8" s="386" customFormat="1">
      <c r="A86" s="418">
        <v>15</v>
      </c>
    </row>
    <row r="87" spans="1:8" ht="15">
      <c r="A87" s="417" t="s">
        <v>1017</v>
      </c>
      <c r="B87" s="393" t="s">
        <v>1018</v>
      </c>
      <c r="C87" s="108" t="s">
        <v>963</v>
      </c>
      <c r="D87" s="108">
        <v>954460310</v>
      </c>
      <c r="E87" s="381" t="s">
        <v>1019</v>
      </c>
      <c r="F87" s="381" t="s">
        <v>1020</v>
      </c>
      <c r="H87" s="108" t="s">
        <v>1021</v>
      </c>
    </row>
    <row r="88" spans="1:8" ht="15.75">
      <c r="A88" s="417" t="s">
        <v>279</v>
      </c>
      <c r="B88" s="163" t="s">
        <v>1022</v>
      </c>
    </row>
    <row r="89" spans="1:8" ht="15.75">
      <c r="A89" s="417" t="s">
        <v>280</v>
      </c>
      <c r="B89" s="163" t="s">
        <v>1023</v>
      </c>
    </row>
    <row r="90" spans="1:8" ht="15.75">
      <c r="A90" s="417" t="s">
        <v>281</v>
      </c>
      <c r="B90" s="163" t="s">
        <v>1024</v>
      </c>
    </row>
    <row r="91" spans="1:8">
      <c r="A91" s="417" t="s">
        <v>282</v>
      </c>
      <c r="B91" s="168" t="s">
        <v>1025</v>
      </c>
    </row>
    <row r="92" spans="1:8" s="386" customFormat="1">
      <c r="A92" s="418">
        <v>16</v>
      </c>
    </row>
    <row r="93" spans="1:8">
      <c r="A93" s="417" t="s">
        <v>1005</v>
      </c>
      <c r="B93" s="108" t="s">
        <v>1006</v>
      </c>
      <c r="C93" s="108" t="s">
        <v>1007</v>
      </c>
      <c r="D93" s="108" t="s">
        <v>979</v>
      </c>
      <c r="E93" s="108" t="s">
        <v>293</v>
      </c>
      <c r="F93" s="108" t="s">
        <v>1008</v>
      </c>
      <c r="H93" s="108" t="s">
        <v>1009</v>
      </c>
    </row>
    <row r="94" spans="1:8">
      <c r="A94" s="417" t="s">
        <v>1010</v>
      </c>
      <c r="B94" s="108" t="s">
        <v>1011</v>
      </c>
    </row>
    <row r="95" spans="1:8">
      <c r="A95" s="417" t="s">
        <v>1012</v>
      </c>
      <c r="B95" s="108" t="s">
        <v>1013</v>
      </c>
    </row>
    <row r="96" spans="1:8">
      <c r="A96" s="417" t="s">
        <v>1014</v>
      </c>
      <c r="B96" s="108" t="s">
        <v>1015</v>
      </c>
    </row>
    <row r="97" spans="1:9">
      <c r="A97" s="417" t="s">
        <v>1016</v>
      </c>
    </row>
    <row r="98" spans="1:9" s="386" customFormat="1">
      <c r="A98" s="418">
        <v>17</v>
      </c>
    </row>
    <row r="99" spans="1:9" ht="15.75">
      <c r="A99" s="417" t="s">
        <v>831</v>
      </c>
      <c r="B99" s="108" t="s">
        <v>294</v>
      </c>
      <c r="C99" s="117" t="s">
        <v>802</v>
      </c>
      <c r="D99" s="108" t="s">
        <v>832</v>
      </c>
      <c r="E99" s="108" t="s">
        <v>833</v>
      </c>
      <c r="F99" s="108" t="s">
        <v>834</v>
      </c>
      <c r="G99" s="108" t="s">
        <v>1026</v>
      </c>
      <c r="H99" s="108" t="s">
        <v>835</v>
      </c>
    </row>
    <row r="100" spans="1:9">
      <c r="A100" s="417" t="s">
        <v>297</v>
      </c>
      <c r="B100" s="108" t="s">
        <v>295</v>
      </c>
    </row>
    <row r="101" spans="1:9">
      <c r="A101" s="417" t="s">
        <v>298</v>
      </c>
      <c r="B101" s="108" t="s">
        <v>296</v>
      </c>
    </row>
    <row r="102" spans="1:9">
      <c r="A102" s="417" t="s">
        <v>299</v>
      </c>
      <c r="B102" s="108" t="s">
        <v>836</v>
      </c>
    </row>
    <row r="103" spans="1:9">
      <c r="A103" s="417" t="s">
        <v>300</v>
      </c>
    </row>
    <row r="104" spans="1:9" s="386" customFormat="1">
      <c r="A104" s="418">
        <v>18</v>
      </c>
    </row>
    <row r="105" spans="1:9" ht="16.5">
      <c r="A105" s="420" t="s">
        <v>851</v>
      </c>
      <c r="B105" s="108" t="s">
        <v>852</v>
      </c>
      <c r="C105" s="206" t="s">
        <v>853</v>
      </c>
      <c r="D105" s="108" t="s">
        <v>832</v>
      </c>
      <c r="E105" s="108" t="s">
        <v>833</v>
      </c>
      <c r="F105" s="108" t="s">
        <v>834</v>
      </c>
      <c r="G105" s="108" t="s">
        <v>1027</v>
      </c>
      <c r="H105" s="108" t="s">
        <v>301</v>
      </c>
      <c r="I105" s="151" t="s">
        <v>404</v>
      </c>
    </row>
    <row r="106" spans="1:9" ht="15">
      <c r="A106" s="420" t="s">
        <v>405</v>
      </c>
      <c r="B106" s="380" t="s">
        <v>854</v>
      </c>
    </row>
    <row r="107" spans="1:9">
      <c r="A107" s="420" t="s">
        <v>406</v>
      </c>
      <c r="B107" s="108" t="s">
        <v>855</v>
      </c>
    </row>
    <row r="108" spans="1:9">
      <c r="A108" s="420" t="s">
        <v>407</v>
      </c>
      <c r="B108" s="207" t="s">
        <v>856</v>
      </c>
    </row>
    <row r="109" spans="1:9" ht="14.25">
      <c r="A109" s="420" t="s">
        <v>408</v>
      </c>
      <c r="B109" s="102" t="s">
        <v>857</v>
      </c>
    </row>
    <row r="110" spans="1:9" s="386" customFormat="1">
      <c r="A110" s="418">
        <v>19</v>
      </c>
    </row>
    <row r="111" spans="1:9">
      <c r="A111" s="417" t="s">
        <v>858</v>
      </c>
      <c r="B111" s="108" t="s">
        <v>859</v>
      </c>
      <c r="C111" s="108" t="s">
        <v>845</v>
      </c>
      <c r="E111" s="108" t="s">
        <v>833</v>
      </c>
      <c r="F111" s="108" t="s">
        <v>834</v>
      </c>
      <c r="G111" s="108" t="s">
        <v>1028</v>
      </c>
      <c r="H111" s="108" t="s">
        <v>1029</v>
      </c>
    </row>
    <row r="112" spans="1:9">
      <c r="A112" s="417" t="s">
        <v>487</v>
      </c>
      <c r="B112" s="108" t="s">
        <v>860</v>
      </c>
    </row>
    <row r="113" spans="1:9">
      <c r="A113" s="417" t="s">
        <v>488</v>
      </c>
      <c r="B113" s="108" t="s">
        <v>861</v>
      </c>
    </row>
    <row r="114" spans="1:9">
      <c r="A114" s="417" t="s">
        <v>489</v>
      </c>
      <c r="B114" s="108" t="s">
        <v>862</v>
      </c>
    </row>
    <row r="115" spans="1:9">
      <c r="A115" s="417" t="s">
        <v>490</v>
      </c>
      <c r="B115" s="207" t="s">
        <v>863</v>
      </c>
    </row>
    <row r="116" spans="1:9" s="394" customFormat="1">
      <c r="A116" s="418">
        <v>20</v>
      </c>
    </row>
    <row r="117" spans="1:9">
      <c r="A117" s="417" t="s">
        <v>870</v>
      </c>
      <c r="B117" s="108" t="s">
        <v>871</v>
      </c>
      <c r="C117" s="108" t="s">
        <v>845</v>
      </c>
      <c r="D117" s="108">
        <v>389917737</v>
      </c>
      <c r="E117" s="108" t="s">
        <v>833</v>
      </c>
      <c r="F117" s="108" t="s">
        <v>834</v>
      </c>
      <c r="G117" s="108" t="s">
        <v>872</v>
      </c>
      <c r="I117" s="108" t="s">
        <v>873</v>
      </c>
    </row>
    <row r="118" spans="1:9">
      <c r="A118" s="417" t="s">
        <v>874</v>
      </c>
      <c r="B118" s="108" t="s">
        <v>875</v>
      </c>
    </row>
    <row r="119" spans="1:9">
      <c r="A119" s="417" t="s">
        <v>876</v>
      </c>
      <c r="B119" s="108" t="s">
        <v>877</v>
      </c>
    </row>
    <row r="120" spans="1:9">
      <c r="A120" s="417" t="s">
        <v>878</v>
      </c>
      <c r="B120" s="108" t="s">
        <v>879</v>
      </c>
    </row>
    <row r="121" spans="1:9">
      <c r="A121" s="417" t="s">
        <v>880</v>
      </c>
      <c r="B121" s="108" t="s">
        <v>881</v>
      </c>
    </row>
    <row r="122" spans="1:9" s="394" customFormat="1">
      <c r="A122" s="418">
        <v>21</v>
      </c>
    </row>
    <row r="123" spans="1:9" ht="16.5">
      <c r="A123" s="417" t="s">
        <v>864</v>
      </c>
      <c r="B123" s="108" t="s">
        <v>837</v>
      </c>
      <c r="C123" s="117" t="s">
        <v>934</v>
      </c>
      <c r="D123" s="108" t="s">
        <v>832</v>
      </c>
      <c r="E123" s="108" t="s">
        <v>833</v>
      </c>
      <c r="F123" s="108" t="s">
        <v>834</v>
      </c>
      <c r="G123" s="108" t="s">
        <v>838</v>
      </c>
      <c r="H123" s="108" t="s">
        <v>301</v>
      </c>
      <c r="I123" s="163" t="s">
        <v>865</v>
      </c>
    </row>
    <row r="124" spans="1:9">
      <c r="A124" s="417" t="s">
        <v>866</v>
      </c>
      <c r="B124" s="108" t="s">
        <v>839</v>
      </c>
    </row>
    <row r="125" spans="1:9">
      <c r="A125" s="417" t="s">
        <v>867</v>
      </c>
      <c r="B125" s="108" t="s">
        <v>840</v>
      </c>
    </row>
    <row r="126" spans="1:9">
      <c r="A126" s="417" t="s">
        <v>868</v>
      </c>
      <c r="B126" s="165" t="s">
        <v>841</v>
      </c>
    </row>
    <row r="127" spans="1:9" ht="14.25">
      <c r="A127" s="417" t="s">
        <v>869</v>
      </c>
      <c r="B127" s="102" t="s">
        <v>842</v>
      </c>
    </row>
    <row r="128" spans="1:9" s="386" customFormat="1" ht="14.25">
      <c r="A128" s="418">
        <v>22</v>
      </c>
      <c r="B128" s="392"/>
    </row>
    <row r="129" spans="1:8" ht="14.25">
      <c r="A129" s="417" t="s">
        <v>882</v>
      </c>
      <c r="B129" s="108" t="s">
        <v>883</v>
      </c>
      <c r="C129" s="108" t="s">
        <v>884</v>
      </c>
      <c r="D129" s="108" t="s">
        <v>832</v>
      </c>
      <c r="E129" s="381" t="s">
        <v>885</v>
      </c>
      <c r="F129" s="381" t="s">
        <v>886</v>
      </c>
      <c r="G129" s="108" t="s">
        <v>1030</v>
      </c>
      <c r="H129" s="108" t="s">
        <v>887</v>
      </c>
    </row>
    <row r="130" spans="1:8">
      <c r="A130" s="417" t="s">
        <v>888</v>
      </c>
      <c r="B130" s="108" t="s">
        <v>889</v>
      </c>
    </row>
    <row r="131" spans="1:8">
      <c r="A131" s="417" t="s">
        <v>890</v>
      </c>
      <c r="B131" s="108" t="s">
        <v>891</v>
      </c>
    </row>
    <row r="132" spans="1:8">
      <c r="A132" s="417" t="s">
        <v>892</v>
      </c>
      <c r="B132" s="108" t="s">
        <v>893</v>
      </c>
    </row>
    <row r="133" spans="1:8">
      <c r="A133" s="417" t="s">
        <v>894</v>
      </c>
      <c r="B133" s="108" t="s">
        <v>895</v>
      </c>
    </row>
    <row r="134" spans="1:8" s="386" customFormat="1">
      <c r="A134" s="418">
        <v>22</v>
      </c>
    </row>
    <row r="135" spans="1:8">
      <c r="A135" s="417" t="s">
        <v>896</v>
      </c>
      <c r="B135" s="108" t="s">
        <v>897</v>
      </c>
      <c r="C135" s="108" t="s">
        <v>884</v>
      </c>
      <c r="D135" s="108" t="s">
        <v>832</v>
      </c>
      <c r="E135" s="108" t="s">
        <v>833</v>
      </c>
      <c r="F135" s="108" t="s">
        <v>834</v>
      </c>
      <c r="H135" s="108" t="s">
        <v>898</v>
      </c>
    </row>
    <row r="136" spans="1:8">
      <c r="A136" s="417" t="s">
        <v>899</v>
      </c>
      <c r="B136" s="108" t="s">
        <v>900</v>
      </c>
    </row>
    <row r="137" spans="1:8">
      <c r="A137" s="417" t="s">
        <v>901</v>
      </c>
      <c r="B137" s="108" t="s">
        <v>902</v>
      </c>
    </row>
    <row r="138" spans="1:8">
      <c r="A138" s="417" t="s">
        <v>903</v>
      </c>
      <c r="B138" s="108" t="s">
        <v>904</v>
      </c>
    </row>
    <row r="139" spans="1:8">
      <c r="A139" s="417" t="s">
        <v>905</v>
      </c>
      <c r="B139" s="108" t="s">
        <v>906</v>
      </c>
    </row>
    <row r="140" spans="1:8" s="386" customFormat="1">
      <c r="A140" s="418">
        <v>23</v>
      </c>
    </row>
    <row r="141" spans="1:8" ht="15">
      <c r="A141" s="11" t="s">
        <v>907</v>
      </c>
      <c r="B141" s="382" t="s">
        <v>908</v>
      </c>
      <c r="C141" s="206" t="s">
        <v>909</v>
      </c>
      <c r="D141" s="383">
        <v>221903773</v>
      </c>
      <c r="E141" s="108" t="s">
        <v>910</v>
      </c>
      <c r="F141" s="108" t="s">
        <v>911</v>
      </c>
      <c r="H141" s="108" t="s">
        <v>912</v>
      </c>
    </row>
    <row r="142" spans="1:8" ht="14.25">
      <c r="A142" s="11" t="s">
        <v>913</v>
      </c>
      <c r="B142" s="382" t="s">
        <v>914</v>
      </c>
    </row>
    <row r="143" spans="1:8" ht="14.25">
      <c r="A143" s="11" t="s">
        <v>915</v>
      </c>
      <c r="B143" s="382" t="s">
        <v>916</v>
      </c>
    </row>
    <row r="144" spans="1:8" ht="14.25">
      <c r="A144" s="11" t="s">
        <v>917</v>
      </c>
      <c r="B144" s="382" t="s">
        <v>918</v>
      </c>
    </row>
    <row r="145" spans="1:8">
      <c r="A145" s="11" t="s">
        <v>919</v>
      </c>
      <c r="B145" s="108" t="s">
        <v>920</v>
      </c>
    </row>
    <row r="146" spans="1:8" s="386" customFormat="1">
      <c r="A146" s="418">
        <v>24</v>
      </c>
    </row>
    <row r="147" spans="1:8">
      <c r="A147" s="417" t="s">
        <v>1031</v>
      </c>
      <c r="B147" s="108" t="s">
        <v>1032</v>
      </c>
      <c r="C147" s="108" t="s">
        <v>963</v>
      </c>
      <c r="D147" s="108" t="s">
        <v>979</v>
      </c>
      <c r="E147" s="108" t="s">
        <v>293</v>
      </c>
      <c r="F147" s="108" t="s">
        <v>1008</v>
      </c>
      <c r="H147" s="108" t="s">
        <v>1033</v>
      </c>
    </row>
    <row r="148" spans="1:8" ht="15.75">
      <c r="A148" s="417" t="s">
        <v>1034</v>
      </c>
      <c r="B148" s="163" t="s">
        <v>1035</v>
      </c>
    </row>
    <row r="149" spans="1:8" ht="15.75">
      <c r="A149" s="417" t="s">
        <v>1036</v>
      </c>
      <c r="B149" s="163" t="s">
        <v>1037</v>
      </c>
    </row>
    <row r="150" spans="1:8" ht="15.75">
      <c r="A150" s="417" t="s">
        <v>1038</v>
      </c>
      <c r="B150" s="163" t="s">
        <v>1039</v>
      </c>
    </row>
    <row r="151" spans="1:8">
      <c r="A151" s="417" t="s">
        <v>1040</v>
      </c>
      <c r="B151" s="108" t="s">
        <v>1041</v>
      </c>
    </row>
    <row r="152" spans="1:8" s="386" customFormat="1">
      <c r="A152" s="418">
        <v>25</v>
      </c>
    </row>
    <row r="153" spans="1:8">
      <c r="A153" s="417" t="s">
        <v>1042</v>
      </c>
      <c r="B153" s="108" t="s">
        <v>1043</v>
      </c>
      <c r="C153" s="108" t="s">
        <v>963</v>
      </c>
      <c r="D153" s="108" t="s">
        <v>979</v>
      </c>
      <c r="E153" s="108" t="s">
        <v>1044</v>
      </c>
      <c r="F153" s="108" t="s">
        <v>1045</v>
      </c>
      <c r="H153" s="108" t="s">
        <v>1046</v>
      </c>
    </row>
    <row r="154" spans="1:8">
      <c r="A154" s="417" t="s">
        <v>1047</v>
      </c>
      <c r="B154" s="108" t="s">
        <v>1048</v>
      </c>
    </row>
    <row r="155" spans="1:8">
      <c r="A155" s="417" t="s">
        <v>1049</v>
      </c>
      <c r="B155" s="108" t="s">
        <v>1050</v>
      </c>
    </row>
    <row r="156" spans="1:8">
      <c r="A156" s="417" t="s">
        <v>1051</v>
      </c>
      <c r="B156" s="108" t="s">
        <v>1052</v>
      </c>
    </row>
    <row r="157" spans="1:8">
      <c r="A157" s="417" t="s">
        <v>1053</v>
      </c>
    </row>
    <row r="158" spans="1:8" s="386" customFormat="1">
      <c r="A158" s="418">
        <v>26</v>
      </c>
    </row>
    <row r="159" spans="1:8" ht="16.5">
      <c r="A159" s="417" t="s">
        <v>1054</v>
      </c>
      <c r="B159" s="393" t="s">
        <v>1055</v>
      </c>
      <c r="C159" s="108" t="s">
        <v>1056</v>
      </c>
      <c r="D159" s="163" t="s">
        <v>1057</v>
      </c>
      <c r="E159" s="381" t="s">
        <v>1058</v>
      </c>
      <c r="F159" s="381" t="s">
        <v>1059</v>
      </c>
      <c r="H159" s="108" t="s">
        <v>1060</v>
      </c>
    </row>
    <row r="160" spans="1:8" ht="14.25">
      <c r="A160" s="417" t="s">
        <v>1061</v>
      </c>
      <c r="B160" s="393" t="s">
        <v>1062</v>
      </c>
    </row>
    <row r="161" spans="1:8" ht="14.25">
      <c r="A161" s="417" t="s">
        <v>1063</v>
      </c>
      <c r="B161" s="393" t="s">
        <v>1064</v>
      </c>
    </row>
    <row r="162" spans="1:8" ht="14.25">
      <c r="A162" s="417" t="s">
        <v>1065</v>
      </c>
      <c r="B162" s="393" t="s">
        <v>1066</v>
      </c>
    </row>
    <row r="163" spans="1:8">
      <c r="A163" s="417" t="s">
        <v>1067</v>
      </c>
      <c r="B163" s="108" t="s">
        <v>1068</v>
      </c>
    </row>
    <row r="164" spans="1:8" s="386" customFormat="1">
      <c r="A164" s="418">
        <v>27</v>
      </c>
    </row>
    <row r="165" spans="1:8" ht="16.5">
      <c r="A165" s="417" t="s">
        <v>1069</v>
      </c>
      <c r="B165" s="108" t="s">
        <v>1070</v>
      </c>
      <c r="C165" s="108" t="s">
        <v>1071</v>
      </c>
      <c r="D165" s="108" t="s">
        <v>1072</v>
      </c>
      <c r="E165" s="381" t="s">
        <v>1058</v>
      </c>
      <c r="F165" s="381" t="s">
        <v>1059</v>
      </c>
      <c r="H165" s="163" t="s">
        <v>1073</v>
      </c>
    </row>
    <row r="166" spans="1:8">
      <c r="A166" s="417" t="s">
        <v>1074</v>
      </c>
      <c r="B166" s="108" t="s">
        <v>1075</v>
      </c>
    </row>
    <row r="167" spans="1:8">
      <c r="A167" s="417" t="s">
        <v>1076</v>
      </c>
      <c r="B167" s="108" t="s">
        <v>1077</v>
      </c>
    </row>
    <row r="168" spans="1:8">
      <c r="A168" s="417" t="s">
        <v>1078</v>
      </c>
      <c r="B168" s="108" t="s">
        <v>1079</v>
      </c>
    </row>
    <row r="169" spans="1:8">
      <c r="A169" s="417" t="s">
        <v>1080</v>
      </c>
      <c r="B169" s="108" t="s">
        <v>1081</v>
      </c>
    </row>
    <row r="170" spans="1:8" s="386" customFormat="1">
      <c r="A170" s="418">
        <v>28</v>
      </c>
    </row>
    <row r="171" spans="1:8">
      <c r="A171" s="417" t="s">
        <v>1082</v>
      </c>
      <c r="B171" s="108" t="s">
        <v>1083</v>
      </c>
      <c r="C171" s="108" t="s">
        <v>963</v>
      </c>
      <c r="D171" s="108" t="s">
        <v>979</v>
      </c>
      <c r="E171" s="108" t="s">
        <v>1084</v>
      </c>
      <c r="F171" s="108" t="s">
        <v>1085</v>
      </c>
      <c r="H171" s="108" t="s">
        <v>1086</v>
      </c>
    </row>
    <row r="172" spans="1:8">
      <c r="A172" s="417" t="s">
        <v>1087</v>
      </c>
      <c r="B172" s="108" t="s">
        <v>1088</v>
      </c>
    </row>
    <row r="173" spans="1:8">
      <c r="A173" s="417" t="s">
        <v>1089</v>
      </c>
      <c r="B173" s="108" t="s">
        <v>1090</v>
      </c>
    </row>
    <row r="174" spans="1:8">
      <c r="A174" s="417" t="s">
        <v>1091</v>
      </c>
      <c r="B174" s="108" t="s">
        <v>1092</v>
      </c>
    </row>
    <row r="175" spans="1:8">
      <c r="A175" s="417" t="s">
        <v>1093</v>
      </c>
      <c r="B175" s="108" t="s">
        <v>1094</v>
      </c>
    </row>
    <row r="176" spans="1:8" s="386" customFormat="1">
      <c r="A176" s="418">
        <v>29</v>
      </c>
    </row>
    <row r="177" spans="1:8" ht="14.25">
      <c r="A177" s="417" t="s">
        <v>1095</v>
      </c>
      <c r="B177" s="108" t="s">
        <v>1096</v>
      </c>
      <c r="C177" s="108" t="s">
        <v>1097</v>
      </c>
      <c r="D177" s="108" t="s">
        <v>1098</v>
      </c>
      <c r="E177" s="381" t="s">
        <v>1099</v>
      </c>
      <c r="F177" s="381" t="s">
        <v>1100</v>
      </c>
      <c r="H177" s="108" t="s">
        <v>1101</v>
      </c>
    </row>
    <row r="178" spans="1:8">
      <c r="A178" s="417" t="s">
        <v>1102</v>
      </c>
      <c r="B178" s="108" t="s">
        <v>1103</v>
      </c>
    </row>
    <row r="179" spans="1:8">
      <c r="A179" s="417" t="s">
        <v>1104</v>
      </c>
      <c r="B179" s="108" t="s">
        <v>1105</v>
      </c>
    </row>
    <row r="180" spans="1:8">
      <c r="A180" s="417" t="s">
        <v>1106</v>
      </c>
      <c r="B180" s="108" t="s">
        <v>1107</v>
      </c>
    </row>
    <row r="181" spans="1:8">
      <c r="A181" s="417" t="s">
        <v>1108</v>
      </c>
      <c r="B181" s="108" t="s">
        <v>1109</v>
      </c>
    </row>
    <row r="182" spans="1:8" s="386" customFormat="1">
      <c r="A182" s="418">
        <v>30</v>
      </c>
    </row>
    <row r="183" spans="1:8">
      <c r="A183" s="417" t="s">
        <v>1110</v>
      </c>
      <c r="B183" s="108" t="s">
        <v>1111</v>
      </c>
      <c r="C183" s="108" t="s">
        <v>1007</v>
      </c>
      <c r="D183" s="108" t="s">
        <v>979</v>
      </c>
      <c r="E183" s="108" t="s">
        <v>1112</v>
      </c>
      <c r="F183" s="108" t="s">
        <v>1113</v>
      </c>
      <c r="H183" s="108" t="s">
        <v>1114</v>
      </c>
    </row>
    <row r="184" spans="1:8">
      <c r="A184" s="417" t="s">
        <v>1115</v>
      </c>
      <c r="B184" s="108" t="s">
        <v>1116</v>
      </c>
    </row>
    <row r="185" spans="1:8">
      <c r="A185" s="417" t="s">
        <v>1117</v>
      </c>
      <c r="B185" s="108" t="s">
        <v>1118</v>
      </c>
    </row>
    <row r="186" spans="1:8">
      <c r="A186" s="417" t="s">
        <v>1119</v>
      </c>
      <c r="B186" s="108" t="s">
        <v>1120</v>
      </c>
    </row>
    <row r="187" spans="1:8">
      <c r="A187" s="417" t="s">
        <v>1121</v>
      </c>
      <c r="B187" s="108" t="s">
        <v>1122</v>
      </c>
    </row>
    <row r="188" spans="1:8" s="386" customFormat="1">
      <c r="A188" s="418">
        <v>31</v>
      </c>
    </row>
    <row r="189" spans="1:8">
      <c r="A189" s="417" t="s">
        <v>1123</v>
      </c>
      <c r="B189" s="108" t="s">
        <v>1124</v>
      </c>
      <c r="C189" s="108" t="s">
        <v>1007</v>
      </c>
      <c r="D189" s="108" t="s">
        <v>979</v>
      </c>
      <c r="E189" s="108" t="s">
        <v>1125</v>
      </c>
      <c r="F189" s="108" t="s">
        <v>1126</v>
      </c>
      <c r="H189" s="108" t="s">
        <v>1127</v>
      </c>
    </row>
    <row r="190" spans="1:8">
      <c r="A190" s="417" t="s">
        <v>1128</v>
      </c>
      <c r="B190" s="108" t="s">
        <v>1129</v>
      </c>
    </row>
    <row r="191" spans="1:8">
      <c r="A191" s="417" t="s">
        <v>1130</v>
      </c>
      <c r="B191" s="108" t="s">
        <v>1131</v>
      </c>
    </row>
    <row r="192" spans="1:8">
      <c r="A192" s="417" t="s">
        <v>1132</v>
      </c>
      <c r="B192" s="168" t="s">
        <v>1133</v>
      </c>
    </row>
    <row r="193" spans="1:8">
      <c r="A193" s="417" t="s">
        <v>1134</v>
      </c>
    </row>
    <row r="194" spans="1:8" s="386" customFormat="1">
      <c r="A194" s="418">
        <v>32</v>
      </c>
    </row>
    <row r="195" spans="1:8">
      <c r="A195" s="417" t="s">
        <v>1135</v>
      </c>
      <c r="B195" s="108" t="s">
        <v>1136</v>
      </c>
      <c r="C195" s="108" t="s">
        <v>1056</v>
      </c>
      <c r="D195" s="108" t="s">
        <v>1137</v>
      </c>
      <c r="E195" s="108" t="s">
        <v>293</v>
      </c>
      <c r="F195" s="108" t="s">
        <v>1138</v>
      </c>
    </row>
    <row r="196" spans="1:8">
      <c r="A196" s="417" t="s">
        <v>1139</v>
      </c>
      <c r="B196" s="108" t="s">
        <v>1140</v>
      </c>
    </row>
    <row r="197" spans="1:8">
      <c r="A197" s="417" t="s">
        <v>1141</v>
      </c>
      <c r="B197" s="108" t="s">
        <v>1142</v>
      </c>
    </row>
    <row r="198" spans="1:8">
      <c r="A198" s="417" t="s">
        <v>1143</v>
      </c>
      <c r="B198" s="108" t="s">
        <v>1144</v>
      </c>
    </row>
    <row r="199" spans="1:8">
      <c r="A199" s="417" t="s">
        <v>1145</v>
      </c>
      <c r="B199" s="108" t="s">
        <v>1146</v>
      </c>
    </row>
    <row r="200" spans="1:8" s="386" customFormat="1">
      <c r="A200" s="418">
        <v>33</v>
      </c>
    </row>
    <row r="201" spans="1:8" ht="16.5">
      <c r="A201" s="417" t="s">
        <v>1147</v>
      </c>
      <c r="B201" s="108" t="s">
        <v>1148</v>
      </c>
      <c r="C201" s="108" t="s">
        <v>963</v>
      </c>
      <c r="E201" s="381" t="s">
        <v>1019</v>
      </c>
      <c r="F201" s="381" t="s">
        <v>1020</v>
      </c>
      <c r="H201" s="163" t="s">
        <v>1149</v>
      </c>
    </row>
    <row r="202" spans="1:8">
      <c r="A202" s="417" t="s">
        <v>1150</v>
      </c>
      <c r="B202" s="108" t="s">
        <v>1151</v>
      </c>
    </row>
    <row r="203" spans="1:8">
      <c r="A203" s="417" t="s">
        <v>1152</v>
      </c>
      <c r="B203" s="108" t="s">
        <v>1153</v>
      </c>
    </row>
    <row r="204" spans="1:8">
      <c r="A204" s="417" t="s">
        <v>1154</v>
      </c>
      <c r="B204" s="108" t="s">
        <v>1155</v>
      </c>
    </row>
    <row r="205" spans="1:8">
      <c r="A205" s="417" t="s">
        <v>1156</v>
      </c>
      <c r="B205" s="395">
        <v>9030082996</v>
      </c>
    </row>
    <row r="206" spans="1:8" s="386" customFormat="1">
      <c r="A206" s="418">
        <v>34</v>
      </c>
    </row>
    <row r="207" spans="1:8" ht="16.5">
      <c r="A207" s="417" t="s">
        <v>1157</v>
      </c>
      <c r="B207" s="108" t="s">
        <v>1158</v>
      </c>
      <c r="C207" s="108" t="s">
        <v>1159</v>
      </c>
      <c r="D207" s="396">
        <v>632422598</v>
      </c>
      <c r="E207" s="381" t="s">
        <v>1160</v>
      </c>
      <c r="F207" s="381" t="s">
        <v>1161</v>
      </c>
      <c r="H207" s="163" t="s">
        <v>1162</v>
      </c>
    </row>
    <row r="208" spans="1:8">
      <c r="A208" s="417" t="s">
        <v>1163</v>
      </c>
      <c r="B208" s="108" t="s">
        <v>1164</v>
      </c>
    </row>
    <row r="209" spans="1:9">
      <c r="A209" s="417" t="s">
        <v>1165</v>
      </c>
      <c r="B209" s="108" t="s">
        <v>1166</v>
      </c>
    </row>
    <row r="210" spans="1:9">
      <c r="A210" s="417" t="s">
        <v>1167</v>
      </c>
      <c r="B210" s="108" t="s">
        <v>1168</v>
      </c>
    </row>
    <row r="211" spans="1:9">
      <c r="A211" s="417" t="s">
        <v>1169</v>
      </c>
      <c r="B211" s="168" t="s">
        <v>1170</v>
      </c>
    </row>
    <row r="212" spans="1:9" s="386" customFormat="1">
      <c r="A212" s="418">
        <v>35</v>
      </c>
    </row>
    <row r="213" spans="1:9" ht="15.75">
      <c r="A213" s="417" t="s">
        <v>1171</v>
      </c>
      <c r="B213" s="108" t="s">
        <v>1172</v>
      </c>
      <c r="C213" s="117" t="s">
        <v>1173</v>
      </c>
      <c r="D213" s="108">
        <v>659405849</v>
      </c>
      <c r="E213" s="108" t="s">
        <v>307</v>
      </c>
      <c r="F213" s="108" t="s">
        <v>1174</v>
      </c>
      <c r="G213" s="108" t="s">
        <v>1175</v>
      </c>
      <c r="H213" s="108" t="s">
        <v>1176</v>
      </c>
      <c r="I213" s="108" t="s">
        <v>306</v>
      </c>
    </row>
    <row r="214" spans="1:9">
      <c r="A214" s="417" t="s">
        <v>302</v>
      </c>
      <c r="B214" s="108" t="s">
        <v>1177</v>
      </c>
    </row>
    <row r="215" spans="1:9">
      <c r="A215" s="417" t="s">
        <v>303</v>
      </c>
      <c r="B215" s="108" t="s">
        <v>1178</v>
      </c>
    </row>
    <row r="216" spans="1:9" ht="14.25">
      <c r="A216" s="417" t="s">
        <v>304</v>
      </c>
      <c r="B216" s="164" t="s">
        <v>1179</v>
      </c>
    </row>
    <row r="217" spans="1:9">
      <c r="A217" s="417" t="s">
        <v>305</v>
      </c>
      <c r="B217" s="108" t="s">
        <v>308</v>
      </c>
    </row>
    <row r="218" spans="1:9" s="386" customFormat="1">
      <c r="A218" s="418"/>
    </row>
    <row r="219" spans="1:9">
      <c r="A219" s="417" t="s">
        <v>1183</v>
      </c>
      <c r="B219" s="108" t="s">
        <v>1182</v>
      </c>
      <c r="C219" s="108" t="s">
        <v>1188</v>
      </c>
      <c r="E219" s="108" t="s">
        <v>1189</v>
      </c>
      <c r="F219" s="108" t="s">
        <v>1190</v>
      </c>
    </row>
    <row r="220" spans="1:9" ht="14.25">
      <c r="A220" s="417" t="s">
        <v>1184</v>
      </c>
      <c r="B220" s="433" t="s">
        <v>1191</v>
      </c>
    </row>
    <row r="221" spans="1:9" ht="14.25">
      <c r="A221" s="417" t="s">
        <v>1185</v>
      </c>
      <c r="B221" s="433" t="s">
        <v>1192</v>
      </c>
    </row>
    <row r="222" spans="1:9" ht="14.25">
      <c r="A222" s="417" t="s">
        <v>1186</v>
      </c>
      <c r="B222" t="s">
        <v>1193</v>
      </c>
    </row>
    <row r="223" spans="1:9" ht="15.75">
      <c r="A223" s="417" t="s">
        <v>1187</v>
      </c>
      <c r="B223" s="434" t="s">
        <v>1194</v>
      </c>
    </row>
  </sheetData>
  <mergeCells count="3">
    <mergeCell ref="B58:F58"/>
    <mergeCell ref="B59:F59"/>
    <mergeCell ref="B60:F60"/>
  </mergeCells>
  <phoneticPr fontId="1" type="noConversion"/>
  <hyperlinks>
    <hyperlink ref="B13" r:id="rId1"/>
    <hyperlink ref="B42" r:id="rId2"/>
    <hyperlink ref="B109" r:id="rId3"/>
    <hyperlink ref="B127" r:id="rId4"/>
  </hyperlinks>
  <pageMargins left="0.7" right="0.7" top="0.75" bottom="0.75" header="0.3" footer="0.3"/>
  <pageSetup paperSize="9" orientation="portrait" verticalDpi="4294967295"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98"/>
  <sheetViews>
    <sheetView topLeftCell="F67" workbookViewId="0">
      <selection activeCell="L93" sqref="L93"/>
    </sheetView>
  </sheetViews>
  <sheetFormatPr defaultRowHeight="14.25"/>
  <cols>
    <col min="1" max="1" width="25.75" customWidth="1"/>
    <col min="2" max="2" width="24.875" customWidth="1"/>
    <col min="3" max="3" width="16.125" customWidth="1"/>
    <col min="4" max="4" width="11.875" bestFit="1" customWidth="1"/>
    <col min="5" max="5" width="19.125" customWidth="1"/>
    <col min="6" max="6" width="22.75" customWidth="1"/>
    <col min="7" max="7" width="21.625" customWidth="1"/>
    <col min="8" max="9" width="9" customWidth="1"/>
    <col min="10" max="10" width="25.25" customWidth="1"/>
    <col min="11" max="11" width="13.125" customWidth="1"/>
    <col min="12" max="12" width="38.625" customWidth="1"/>
    <col min="13" max="13" width="24.125" style="379" customWidth="1"/>
  </cols>
  <sheetData>
    <row r="1" spans="1:23" s="32" customFormat="1" ht="16.5" customHeight="1">
      <c r="A1" s="158" t="s">
        <v>654</v>
      </c>
      <c r="B1"/>
      <c r="C1"/>
      <c r="D1"/>
      <c r="E1" s="19"/>
      <c r="F1"/>
      <c r="G1"/>
      <c r="H1" s="31" t="s">
        <v>111</v>
      </c>
      <c r="I1" s="80" t="s">
        <v>655</v>
      </c>
      <c r="J1"/>
      <c r="K1"/>
      <c r="M1" s="370"/>
    </row>
    <row r="2" spans="1:23" s="56" customFormat="1" ht="16.5" customHeight="1">
      <c r="A2" s="159" t="s">
        <v>656</v>
      </c>
      <c r="B2" s="160" t="s">
        <v>1434</v>
      </c>
      <c r="C2" s="161" t="s">
        <v>657</v>
      </c>
      <c r="D2" s="160" t="s">
        <v>658</v>
      </c>
      <c r="E2" s="225" t="s">
        <v>659</v>
      </c>
      <c r="F2" s="160" t="s">
        <v>660</v>
      </c>
      <c r="G2" s="160" t="s">
        <v>661</v>
      </c>
      <c r="H2" s="81" t="s">
        <v>112</v>
      </c>
      <c r="I2" s="88"/>
      <c r="J2" s="162" t="s">
        <v>662</v>
      </c>
      <c r="K2" s="162" t="s">
        <v>663</v>
      </c>
      <c r="L2" s="191" t="s">
        <v>664</v>
      </c>
      <c r="M2" s="371"/>
    </row>
    <row r="3" spans="1:23" s="56" customFormat="1" ht="16.5" customHeight="1">
      <c r="A3" s="457">
        <v>24</v>
      </c>
      <c r="B3" s="212" t="s">
        <v>1265</v>
      </c>
      <c r="C3" s="377" t="s">
        <v>432</v>
      </c>
      <c r="D3" s="212">
        <v>2905199090</v>
      </c>
      <c r="E3" s="212" t="s">
        <v>1375</v>
      </c>
      <c r="F3" s="212" t="s">
        <v>1387</v>
      </c>
      <c r="G3" s="228" t="s">
        <v>534</v>
      </c>
      <c r="H3" s="372" t="s">
        <v>112</v>
      </c>
      <c r="I3" s="373"/>
      <c r="J3" s="461">
        <v>2020379531</v>
      </c>
      <c r="K3" s="462">
        <v>43823</v>
      </c>
      <c r="L3" s="212" t="s">
        <v>1381</v>
      </c>
      <c r="M3" s="212" t="s">
        <v>1435</v>
      </c>
      <c r="N3" s="19"/>
      <c r="O3" s="19"/>
      <c r="P3" s="19"/>
      <c r="Q3" s="19"/>
      <c r="R3" s="19"/>
      <c r="S3" s="19"/>
      <c r="T3" s="19"/>
      <c r="U3" s="19"/>
      <c r="V3" s="19"/>
      <c r="W3" s="19"/>
    </row>
    <row r="4" spans="1:23" s="56" customFormat="1" ht="16.5" customHeight="1">
      <c r="A4" s="457">
        <v>25</v>
      </c>
      <c r="B4" s="212" t="s">
        <v>414</v>
      </c>
      <c r="C4" s="213" t="s">
        <v>433</v>
      </c>
      <c r="D4" s="212">
        <v>2917190090</v>
      </c>
      <c r="E4" s="212" t="s">
        <v>562</v>
      </c>
      <c r="F4" s="212" t="s">
        <v>1388</v>
      </c>
      <c r="G4" s="228" t="s">
        <v>535</v>
      </c>
      <c r="H4" s="372" t="s">
        <v>112</v>
      </c>
      <c r="I4" s="88"/>
      <c r="J4" s="461">
        <v>2020015854</v>
      </c>
      <c r="K4" s="462">
        <v>43801</v>
      </c>
      <c r="L4" s="212" t="s">
        <v>1382</v>
      </c>
      <c r="M4" s="212" t="s">
        <v>325</v>
      </c>
      <c r="N4" s="208"/>
    </row>
    <row r="5" spans="1:23" s="56" customFormat="1" ht="16.5" customHeight="1">
      <c r="A5" s="457">
        <v>36</v>
      </c>
      <c r="B5" s="212" t="s">
        <v>1266</v>
      </c>
      <c r="C5" s="213" t="s">
        <v>1341</v>
      </c>
      <c r="D5" s="212">
        <v>2922199090</v>
      </c>
      <c r="E5" s="212" t="s">
        <v>667</v>
      </c>
      <c r="F5" s="212" t="s">
        <v>1389</v>
      </c>
      <c r="G5" s="228" t="s">
        <v>547</v>
      </c>
      <c r="H5" s="372" t="s">
        <v>112</v>
      </c>
      <c r="I5" s="88"/>
      <c r="J5" s="461">
        <v>2020015849</v>
      </c>
      <c r="K5" s="462">
        <v>43801</v>
      </c>
      <c r="L5" s="212" t="s">
        <v>1383</v>
      </c>
      <c r="M5" s="212" t="s">
        <v>764</v>
      </c>
      <c r="N5" s="209"/>
    </row>
    <row r="6" spans="1:23" s="56" customFormat="1" ht="16.5" customHeight="1">
      <c r="A6" s="457">
        <v>38</v>
      </c>
      <c r="B6" s="212" t="s">
        <v>1267</v>
      </c>
      <c r="C6" s="377" t="s">
        <v>434</v>
      </c>
      <c r="D6" s="212">
        <v>2922199090</v>
      </c>
      <c r="E6" s="212" t="s">
        <v>667</v>
      </c>
      <c r="F6" s="212" t="s">
        <v>1390</v>
      </c>
      <c r="G6" s="228" t="s">
        <v>537</v>
      </c>
      <c r="H6" s="372" t="s">
        <v>112</v>
      </c>
      <c r="I6" s="88"/>
      <c r="J6" s="461" t="s">
        <v>1377</v>
      </c>
      <c r="K6" s="462">
        <v>43823</v>
      </c>
      <c r="L6" s="212" t="s">
        <v>1383</v>
      </c>
      <c r="M6" s="212" t="s">
        <v>1436</v>
      </c>
      <c r="N6" s="209"/>
    </row>
    <row r="7" spans="1:23" s="56" customFormat="1" ht="16.5" customHeight="1">
      <c r="A7" s="457">
        <v>39</v>
      </c>
      <c r="B7" s="212" t="s">
        <v>1268</v>
      </c>
      <c r="C7" s="377" t="s">
        <v>435</v>
      </c>
      <c r="D7" s="212">
        <v>2922199090</v>
      </c>
      <c r="E7" s="212" t="s">
        <v>667</v>
      </c>
      <c r="F7" s="212" t="s">
        <v>1391</v>
      </c>
      <c r="G7" s="228" t="s">
        <v>533</v>
      </c>
      <c r="H7" s="372" t="s">
        <v>112</v>
      </c>
      <c r="I7" s="88"/>
      <c r="J7" s="461" t="s">
        <v>1378</v>
      </c>
      <c r="K7" s="462">
        <v>43823</v>
      </c>
      <c r="L7" s="212" t="s">
        <v>1383</v>
      </c>
      <c r="M7" s="212" t="s">
        <v>1437</v>
      </c>
      <c r="N7" s="209"/>
    </row>
    <row r="8" spans="1:23" s="56" customFormat="1" ht="16.5" customHeight="1">
      <c r="A8" s="457">
        <v>41</v>
      </c>
      <c r="B8" s="212" t="s">
        <v>1269</v>
      </c>
      <c r="C8" s="213" t="s">
        <v>1342</v>
      </c>
      <c r="D8" s="212">
        <v>2917190090</v>
      </c>
      <c r="E8" s="212" t="s">
        <v>562</v>
      </c>
      <c r="F8" s="212" t="s">
        <v>115</v>
      </c>
      <c r="G8" s="228" t="s">
        <v>555</v>
      </c>
      <c r="H8" s="372" t="s">
        <v>112</v>
      </c>
      <c r="I8" s="88"/>
      <c r="J8" s="461">
        <v>2020016013</v>
      </c>
      <c r="K8" s="462">
        <v>43801</v>
      </c>
      <c r="L8" s="212" t="s">
        <v>1382</v>
      </c>
      <c r="M8" s="212" t="s">
        <v>765</v>
      </c>
      <c r="N8" s="209"/>
    </row>
    <row r="9" spans="1:23" s="56" customFormat="1" ht="16.5" customHeight="1">
      <c r="A9" s="457">
        <v>42</v>
      </c>
      <c r="B9" s="212" t="s">
        <v>1270</v>
      </c>
      <c r="C9" s="213" t="s">
        <v>1343</v>
      </c>
      <c r="D9" s="212">
        <v>2917190090</v>
      </c>
      <c r="E9" s="212" t="s">
        <v>562</v>
      </c>
      <c r="F9" s="212" t="s">
        <v>1392</v>
      </c>
      <c r="G9" s="228" t="s">
        <v>536</v>
      </c>
      <c r="H9" s="372" t="s">
        <v>112</v>
      </c>
      <c r="I9" s="88"/>
      <c r="J9" s="461">
        <v>2020015936</v>
      </c>
      <c r="K9" s="462">
        <v>43801</v>
      </c>
      <c r="L9" s="212" t="s">
        <v>1382</v>
      </c>
      <c r="M9" s="212" t="s">
        <v>748</v>
      </c>
      <c r="N9" s="209"/>
    </row>
    <row r="10" spans="1:23" s="56" customFormat="1" ht="16.5" customHeight="1">
      <c r="A10" s="457">
        <v>44</v>
      </c>
      <c r="B10" s="212" t="s">
        <v>1271</v>
      </c>
      <c r="C10" s="213" t="s">
        <v>1344</v>
      </c>
      <c r="D10" s="212">
        <v>2917190090</v>
      </c>
      <c r="E10" s="212" t="s">
        <v>562</v>
      </c>
      <c r="F10" s="212" t="s">
        <v>115</v>
      </c>
      <c r="G10" s="228" t="s">
        <v>563</v>
      </c>
      <c r="H10" s="372" t="s">
        <v>112</v>
      </c>
      <c r="I10" s="88"/>
      <c r="J10" s="461">
        <v>2020015989</v>
      </c>
      <c r="K10" s="462">
        <v>43801</v>
      </c>
      <c r="L10" s="212" t="s">
        <v>1382</v>
      </c>
      <c r="M10" s="212" t="s">
        <v>737</v>
      </c>
      <c r="N10" s="209"/>
    </row>
    <row r="11" spans="1:23" s="56" customFormat="1" ht="16.5" customHeight="1">
      <c r="A11" s="457">
        <v>46</v>
      </c>
      <c r="B11" s="212" t="s">
        <v>417</v>
      </c>
      <c r="C11" s="213" t="s">
        <v>439</v>
      </c>
      <c r="D11" s="212">
        <v>2917190090</v>
      </c>
      <c r="E11" s="212" t="s">
        <v>562</v>
      </c>
      <c r="F11" s="212" t="s">
        <v>1393</v>
      </c>
      <c r="G11" s="228" t="s">
        <v>548</v>
      </c>
      <c r="H11" s="372" t="s">
        <v>112</v>
      </c>
      <c r="I11" s="88"/>
      <c r="J11" s="461">
        <v>2020015972</v>
      </c>
      <c r="K11" s="462">
        <v>43801</v>
      </c>
      <c r="L11" s="212" t="s">
        <v>1382</v>
      </c>
      <c r="M11" s="212" t="s">
        <v>389</v>
      </c>
      <c r="N11" s="209"/>
    </row>
    <row r="12" spans="1:23" s="56" customFormat="1" ht="16.5" customHeight="1">
      <c r="A12" s="457">
        <v>61</v>
      </c>
      <c r="B12" s="228" t="s">
        <v>1272</v>
      </c>
      <c r="C12" s="227" t="s">
        <v>442</v>
      </c>
      <c r="D12" s="228">
        <v>2933599099</v>
      </c>
      <c r="E12" s="212" t="s">
        <v>549</v>
      </c>
      <c r="F12" s="212" t="s">
        <v>1394</v>
      </c>
      <c r="G12" s="228" t="s">
        <v>550</v>
      </c>
      <c r="H12" s="372" t="s">
        <v>112</v>
      </c>
      <c r="I12" s="88"/>
      <c r="J12" s="461">
        <v>2020015875</v>
      </c>
      <c r="K12" s="462">
        <v>43801</v>
      </c>
      <c r="L12" s="228" t="s">
        <v>1384</v>
      </c>
      <c r="M12" s="228" t="s">
        <v>321</v>
      </c>
      <c r="N12" s="209"/>
    </row>
    <row r="13" spans="1:23" s="56" customFormat="1" ht="16.5" customHeight="1">
      <c r="A13" s="458">
        <v>71</v>
      </c>
      <c r="B13" s="212" t="s">
        <v>418</v>
      </c>
      <c r="C13" s="213" t="s">
        <v>440</v>
      </c>
      <c r="D13" s="212">
        <v>2934999099</v>
      </c>
      <c r="E13" s="212" t="s">
        <v>699</v>
      </c>
      <c r="F13" s="212" t="s">
        <v>1395</v>
      </c>
      <c r="G13" s="228" t="s">
        <v>541</v>
      </c>
      <c r="H13" s="372" t="s">
        <v>112</v>
      </c>
      <c r="I13" s="88"/>
      <c r="J13" s="461">
        <v>2020016033</v>
      </c>
      <c r="K13" s="462">
        <v>43801</v>
      </c>
      <c r="L13" s="212"/>
      <c r="M13" s="212" t="s">
        <v>322</v>
      </c>
      <c r="N13" s="209"/>
    </row>
    <row r="14" spans="1:23" s="56" customFormat="1" ht="16.5" customHeight="1">
      <c r="A14" s="458">
        <v>73</v>
      </c>
      <c r="B14" s="212" t="s">
        <v>419</v>
      </c>
      <c r="C14" s="213" t="s">
        <v>441</v>
      </c>
      <c r="D14" s="212">
        <v>2934999099</v>
      </c>
      <c r="E14" s="228" t="s">
        <v>699</v>
      </c>
      <c r="F14" s="212" t="s">
        <v>403</v>
      </c>
      <c r="G14" s="228" t="s">
        <v>548</v>
      </c>
      <c r="H14" s="372" t="s">
        <v>112</v>
      </c>
      <c r="I14" s="88"/>
      <c r="J14" s="461">
        <v>2020016060</v>
      </c>
      <c r="K14" s="462">
        <v>43801</v>
      </c>
      <c r="L14" s="212"/>
      <c r="M14" s="212" t="s">
        <v>567</v>
      </c>
      <c r="N14" s="209"/>
    </row>
    <row r="15" spans="1:23" s="56" customFormat="1" ht="16.5" customHeight="1">
      <c r="A15" s="458">
        <v>74</v>
      </c>
      <c r="B15" s="212" t="s">
        <v>1273</v>
      </c>
      <c r="C15" s="213" t="s">
        <v>1345</v>
      </c>
      <c r="D15" s="212">
        <v>2934999099</v>
      </c>
      <c r="E15" s="228" t="s">
        <v>699</v>
      </c>
      <c r="F15" s="212" t="s">
        <v>1396</v>
      </c>
      <c r="G15" s="228" t="s">
        <v>553</v>
      </c>
      <c r="H15" s="372" t="s">
        <v>112</v>
      </c>
      <c r="I15" s="88"/>
      <c r="J15" s="461">
        <v>2020016063</v>
      </c>
      <c r="K15" s="462">
        <v>43801</v>
      </c>
      <c r="L15" s="212"/>
      <c r="M15" s="212" t="s">
        <v>779</v>
      </c>
      <c r="N15" s="209"/>
    </row>
    <row r="16" spans="1:23" s="56" customFormat="1" ht="16.5" customHeight="1">
      <c r="A16" s="458">
        <v>79</v>
      </c>
      <c r="B16" s="212" t="s">
        <v>1274</v>
      </c>
      <c r="C16" s="213" t="s">
        <v>1346</v>
      </c>
      <c r="D16" s="212">
        <v>2934999099</v>
      </c>
      <c r="E16" s="228" t="s">
        <v>699</v>
      </c>
      <c r="F16" s="212" t="s">
        <v>1388</v>
      </c>
      <c r="G16" s="228" t="s">
        <v>560</v>
      </c>
      <c r="H16" s="372" t="s">
        <v>112</v>
      </c>
      <c r="I16" s="88"/>
      <c r="J16" s="461">
        <v>2020016019</v>
      </c>
      <c r="K16" s="462">
        <v>43801</v>
      </c>
      <c r="L16" s="212"/>
      <c r="M16" s="212" t="s">
        <v>777</v>
      </c>
      <c r="N16" s="209"/>
    </row>
    <row r="17" spans="1:23" s="56" customFormat="1" ht="16.5" customHeight="1">
      <c r="A17" s="457">
        <v>81</v>
      </c>
      <c r="B17" s="212" t="s">
        <v>428</v>
      </c>
      <c r="C17" s="213" t="s">
        <v>452</v>
      </c>
      <c r="D17" s="460">
        <v>2935900090</v>
      </c>
      <c r="E17" s="212" t="s">
        <v>559</v>
      </c>
      <c r="F17" s="212" t="s">
        <v>115</v>
      </c>
      <c r="G17" s="228" t="s">
        <v>548</v>
      </c>
      <c r="H17" s="372" t="s">
        <v>112</v>
      </c>
      <c r="I17" s="88"/>
      <c r="J17" s="461">
        <v>2020015987</v>
      </c>
      <c r="K17" s="462">
        <v>43801</v>
      </c>
      <c r="L17" s="212"/>
      <c r="M17" s="212" t="s">
        <v>392</v>
      </c>
      <c r="N17" s="209"/>
    </row>
    <row r="18" spans="1:23" s="56" customFormat="1" ht="16.5" customHeight="1">
      <c r="A18" s="457">
        <v>82</v>
      </c>
      <c r="B18" s="212" t="s">
        <v>429</v>
      </c>
      <c r="C18" s="213" t="s">
        <v>453</v>
      </c>
      <c r="D18" s="460">
        <v>2935900090</v>
      </c>
      <c r="E18" s="212" t="s">
        <v>559</v>
      </c>
      <c r="F18" s="212" t="s">
        <v>1397</v>
      </c>
      <c r="G18" s="228" t="s">
        <v>538</v>
      </c>
      <c r="H18" s="372" t="s">
        <v>112</v>
      </c>
      <c r="I18" s="88"/>
      <c r="J18" s="461">
        <v>2020015883</v>
      </c>
      <c r="K18" s="462">
        <v>43801</v>
      </c>
      <c r="L18" s="212"/>
      <c r="M18" s="212" t="s">
        <v>393</v>
      </c>
      <c r="N18" s="209"/>
    </row>
    <row r="19" spans="1:23" s="54" customFormat="1" ht="17.25" customHeight="1">
      <c r="A19" s="457">
        <v>83</v>
      </c>
      <c r="B19" s="212" t="s">
        <v>1275</v>
      </c>
      <c r="C19" s="213" t="s">
        <v>1347</v>
      </c>
      <c r="D19" s="460">
        <v>2935900090</v>
      </c>
      <c r="E19" s="212" t="s">
        <v>559</v>
      </c>
      <c r="F19" s="212" t="s">
        <v>1389</v>
      </c>
      <c r="G19" s="228" t="s">
        <v>566</v>
      </c>
      <c r="H19" s="372" t="s">
        <v>112</v>
      </c>
      <c r="I19" s="88"/>
      <c r="J19" s="461">
        <v>2020016039</v>
      </c>
      <c r="K19" s="462">
        <v>43801</v>
      </c>
      <c r="L19" s="212"/>
      <c r="M19" s="212" t="s">
        <v>778</v>
      </c>
      <c r="N19" s="209"/>
      <c r="O19" s="56"/>
      <c r="P19" s="56"/>
      <c r="Q19" s="56"/>
      <c r="R19" s="56"/>
      <c r="S19" s="56"/>
      <c r="T19" s="56"/>
      <c r="U19" s="56"/>
      <c r="V19" s="56"/>
      <c r="W19" s="56"/>
    </row>
    <row r="20" spans="1:23" s="54" customFormat="1" ht="17.25" customHeight="1">
      <c r="A20" s="457">
        <v>93</v>
      </c>
      <c r="B20" s="212" t="s">
        <v>431</v>
      </c>
      <c r="C20" s="213" t="s">
        <v>456</v>
      </c>
      <c r="D20" s="228">
        <v>2930909099</v>
      </c>
      <c r="E20" s="212" t="s">
        <v>734</v>
      </c>
      <c r="F20" s="212" t="s">
        <v>1398</v>
      </c>
      <c r="G20" s="228" t="s">
        <v>553</v>
      </c>
      <c r="H20" s="372" t="s">
        <v>112</v>
      </c>
      <c r="I20" s="88"/>
      <c r="J20" s="461">
        <v>2020015933</v>
      </c>
      <c r="K20" s="462">
        <v>43801</v>
      </c>
      <c r="L20" s="212"/>
      <c r="M20" s="212" t="s">
        <v>460</v>
      </c>
      <c r="N20" s="209"/>
      <c r="O20" s="56"/>
      <c r="P20" s="56"/>
      <c r="Q20" s="56"/>
      <c r="R20" s="56"/>
      <c r="S20" s="56"/>
      <c r="T20" s="56"/>
      <c r="U20" s="56"/>
      <c r="V20" s="56"/>
      <c r="W20" s="56"/>
    </row>
    <row r="21" spans="1:23">
      <c r="A21" s="457">
        <v>94</v>
      </c>
      <c r="B21" s="212" t="s">
        <v>1276</v>
      </c>
      <c r="C21" s="213" t="s">
        <v>1348</v>
      </c>
      <c r="D21" s="228">
        <v>2930909099</v>
      </c>
      <c r="E21" s="212" t="s">
        <v>734</v>
      </c>
      <c r="F21" s="212" t="s">
        <v>1389</v>
      </c>
      <c r="G21" s="228" t="s">
        <v>565</v>
      </c>
      <c r="H21" s="372" t="s">
        <v>112</v>
      </c>
      <c r="I21" s="88"/>
      <c r="J21" s="461">
        <v>2020016049</v>
      </c>
      <c r="K21" s="462">
        <v>43801</v>
      </c>
      <c r="L21" s="212"/>
      <c r="M21" s="212" t="s">
        <v>775</v>
      </c>
      <c r="N21" s="209"/>
    </row>
    <row r="22" spans="1:23">
      <c r="A22" s="457">
        <v>95</v>
      </c>
      <c r="B22" s="212" t="s">
        <v>430</v>
      </c>
      <c r="C22" s="213" t="s">
        <v>454</v>
      </c>
      <c r="D22" s="212">
        <v>2930909099</v>
      </c>
      <c r="E22" s="212" t="s">
        <v>734</v>
      </c>
      <c r="F22" s="212" t="s">
        <v>1399</v>
      </c>
      <c r="G22" s="228" t="s">
        <v>538</v>
      </c>
      <c r="H22" s="372" t="s">
        <v>112</v>
      </c>
      <c r="I22" s="88"/>
      <c r="J22" s="461">
        <v>2020015893</v>
      </c>
      <c r="K22" s="462">
        <v>43801</v>
      </c>
      <c r="L22" s="212"/>
      <c r="M22" s="212" t="s">
        <v>394</v>
      </c>
      <c r="N22" s="209"/>
    </row>
    <row r="23" spans="1:23" ht="15">
      <c r="A23" s="457">
        <v>96</v>
      </c>
      <c r="B23" s="212" t="s">
        <v>1277</v>
      </c>
      <c r="C23" s="213" t="s">
        <v>1349</v>
      </c>
      <c r="D23" s="228">
        <v>2930909099</v>
      </c>
      <c r="E23" s="212" t="s">
        <v>734</v>
      </c>
      <c r="F23" s="212" t="s">
        <v>1400</v>
      </c>
      <c r="G23" s="228" t="s">
        <v>547</v>
      </c>
      <c r="H23" s="372" t="s">
        <v>112</v>
      </c>
      <c r="I23" s="88"/>
      <c r="J23" s="461">
        <v>2020015918</v>
      </c>
      <c r="K23" s="462">
        <v>43801</v>
      </c>
      <c r="L23" s="212"/>
      <c r="M23" s="212" t="s">
        <v>776</v>
      </c>
      <c r="N23" s="209"/>
    </row>
    <row r="24" spans="1:23">
      <c r="A24" s="457">
        <v>97</v>
      </c>
      <c r="B24" s="212" t="s">
        <v>1278</v>
      </c>
      <c r="C24" s="213" t="s">
        <v>455</v>
      </c>
      <c r="D24" s="228">
        <v>2930909099</v>
      </c>
      <c r="E24" s="212" t="s">
        <v>734</v>
      </c>
      <c r="F24" s="212" t="s">
        <v>1388</v>
      </c>
      <c r="G24" s="228" t="s">
        <v>560</v>
      </c>
      <c r="H24" s="372" t="s">
        <v>112</v>
      </c>
      <c r="I24" s="80"/>
      <c r="J24" s="461">
        <v>2020015951</v>
      </c>
      <c r="K24" s="462">
        <v>43801</v>
      </c>
      <c r="L24" s="212"/>
      <c r="M24" s="212" t="s">
        <v>459</v>
      </c>
      <c r="N24" s="208"/>
    </row>
    <row r="25" spans="1:23">
      <c r="A25" s="457">
        <v>99</v>
      </c>
      <c r="B25" s="212" t="s">
        <v>1279</v>
      </c>
      <c r="C25" s="213" t="s">
        <v>1350</v>
      </c>
      <c r="D25" s="212">
        <v>2930909099</v>
      </c>
      <c r="E25" s="212" t="s">
        <v>734</v>
      </c>
      <c r="F25" s="212" t="s">
        <v>1401</v>
      </c>
      <c r="G25" s="228" t="s">
        <v>548</v>
      </c>
      <c r="H25" s="372" t="s">
        <v>112</v>
      </c>
      <c r="I25" s="88"/>
      <c r="J25" s="461">
        <v>2020015952</v>
      </c>
      <c r="K25" s="462">
        <v>43801</v>
      </c>
      <c r="L25" s="212"/>
      <c r="M25" s="212" t="s">
        <v>735</v>
      </c>
      <c r="N25" s="209"/>
    </row>
    <row r="26" spans="1:23">
      <c r="A26" s="457">
        <v>111</v>
      </c>
      <c r="B26" s="212" t="s">
        <v>427</v>
      </c>
      <c r="C26" s="213" t="s">
        <v>451</v>
      </c>
      <c r="D26" s="212">
        <v>2903399090</v>
      </c>
      <c r="E26" s="212" t="s">
        <v>558</v>
      </c>
      <c r="F26" s="212" t="s">
        <v>115</v>
      </c>
      <c r="G26" s="228" t="s">
        <v>548</v>
      </c>
      <c r="H26" s="372" t="s">
        <v>112</v>
      </c>
      <c r="I26" s="88"/>
      <c r="J26" s="461">
        <v>2020015927</v>
      </c>
      <c r="K26" s="462">
        <v>43801</v>
      </c>
      <c r="L26" s="212"/>
      <c r="M26" s="212" t="s">
        <v>395</v>
      </c>
      <c r="N26" s="375"/>
    </row>
    <row r="27" spans="1:23">
      <c r="A27" s="457">
        <v>152</v>
      </c>
      <c r="B27" s="212" t="s">
        <v>420</v>
      </c>
      <c r="C27" s="213" t="s">
        <v>444</v>
      </c>
      <c r="D27" s="212">
        <v>2932999099</v>
      </c>
      <c r="E27" s="212" t="s">
        <v>554</v>
      </c>
      <c r="F27" s="212" t="s">
        <v>1389</v>
      </c>
      <c r="G27" s="228" t="s">
        <v>546</v>
      </c>
      <c r="H27" s="372" t="s">
        <v>112</v>
      </c>
      <c r="I27" s="88"/>
      <c r="J27" s="461">
        <v>2020015842</v>
      </c>
      <c r="K27" s="462">
        <v>43801</v>
      </c>
      <c r="L27" s="212"/>
      <c r="M27" s="212" t="s">
        <v>368</v>
      </c>
      <c r="N27" s="375"/>
    </row>
    <row r="28" spans="1:23">
      <c r="A28" s="457">
        <v>153</v>
      </c>
      <c r="B28" s="212" t="s">
        <v>422</v>
      </c>
      <c r="C28" s="213" t="s">
        <v>446</v>
      </c>
      <c r="D28" s="212">
        <v>2932209090</v>
      </c>
      <c r="E28" s="212" t="s">
        <v>556</v>
      </c>
      <c r="F28" s="212" t="s">
        <v>115</v>
      </c>
      <c r="G28" s="228" t="s">
        <v>555</v>
      </c>
      <c r="H28" s="372" t="s">
        <v>112</v>
      </c>
      <c r="I28" s="88"/>
      <c r="J28" s="461">
        <v>2020015868</v>
      </c>
      <c r="K28" s="462">
        <v>43801</v>
      </c>
      <c r="L28" s="212"/>
      <c r="M28" s="212" t="s">
        <v>326</v>
      </c>
      <c r="N28" s="375"/>
    </row>
    <row r="29" spans="1:23">
      <c r="A29" s="457">
        <v>154</v>
      </c>
      <c r="B29" s="212" t="s">
        <v>423</v>
      </c>
      <c r="C29" s="213" t="s">
        <v>447</v>
      </c>
      <c r="D29" s="212">
        <v>2932999099</v>
      </c>
      <c r="E29" s="212" t="s">
        <v>554</v>
      </c>
      <c r="F29" s="212" t="s">
        <v>1397</v>
      </c>
      <c r="G29" s="228" t="s">
        <v>535</v>
      </c>
      <c r="H29" s="372" t="s">
        <v>112</v>
      </c>
      <c r="I29" s="88"/>
      <c r="J29" s="461">
        <v>2020015851</v>
      </c>
      <c r="K29" s="462">
        <v>43801</v>
      </c>
      <c r="L29" s="212"/>
      <c r="M29" s="212" t="s">
        <v>327</v>
      </c>
      <c r="N29" s="375"/>
    </row>
    <row r="30" spans="1:23">
      <c r="A30" s="457">
        <v>156</v>
      </c>
      <c r="B30" s="212" t="s">
        <v>424</v>
      </c>
      <c r="C30" s="213" t="s">
        <v>448</v>
      </c>
      <c r="D30" s="212">
        <v>2932999099</v>
      </c>
      <c r="E30" s="212" t="s">
        <v>554</v>
      </c>
      <c r="F30" s="212" t="s">
        <v>1388</v>
      </c>
      <c r="G30" s="228" t="s">
        <v>540</v>
      </c>
      <c r="H30" s="372" t="s">
        <v>112</v>
      </c>
      <c r="I30" s="88"/>
      <c r="J30" s="461">
        <v>2020015837</v>
      </c>
      <c r="K30" s="462">
        <v>43801</v>
      </c>
      <c r="L30" s="212"/>
      <c r="M30" s="212" t="s">
        <v>328</v>
      </c>
      <c r="N30" s="375"/>
    </row>
    <row r="31" spans="1:23">
      <c r="A31" s="457">
        <v>159</v>
      </c>
      <c r="B31" s="212" t="s">
        <v>425</v>
      </c>
      <c r="C31" s="213" t="s">
        <v>449</v>
      </c>
      <c r="D31" s="212">
        <v>2932999099</v>
      </c>
      <c r="E31" s="212" t="s">
        <v>554</v>
      </c>
      <c r="F31" s="212" t="s">
        <v>1388</v>
      </c>
      <c r="G31" s="228" t="s">
        <v>533</v>
      </c>
      <c r="H31" s="372" t="s">
        <v>112</v>
      </c>
      <c r="I31" s="88"/>
      <c r="J31" s="461">
        <v>2020015899</v>
      </c>
      <c r="K31" s="462">
        <v>43801</v>
      </c>
      <c r="L31" s="212"/>
      <c r="M31" s="212" t="s">
        <v>329</v>
      </c>
      <c r="N31" s="375"/>
    </row>
    <row r="32" spans="1:23">
      <c r="A32" s="457">
        <v>164</v>
      </c>
      <c r="B32" s="212" t="s">
        <v>416</v>
      </c>
      <c r="C32" s="213" t="s">
        <v>438</v>
      </c>
      <c r="D32" s="212">
        <v>2903999090</v>
      </c>
      <c r="E32" s="212" t="s">
        <v>545</v>
      </c>
      <c r="F32" s="212" t="s">
        <v>1388</v>
      </c>
      <c r="G32" s="228" t="s">
        <v>546</v>
      </c>
      <c r="H32" s="372" t="s">
        <v>112</v>
      </c>
      <c r="I32" s="88"/>
      <c r="J32" s="461">
        <v>2020015980</v>
      </c>
      <c r="K32" s="462">
        <v>43801</v>
      </c>
      <c r="L32" s="212"/>
      <c r="M32" s="212" t="s">
        <v>458</v>
      </c>
      <c r="N32" s="375"/>
    </row>
    <row r="33" spans="1:14">
      <c r="A33" s="457">
        <v>167</v>
      </c>
      <c r="B33" s="212" t="s">
        <v>1280</v>
      </c>
      <c r="C33" s="213" t="s">
        <v>1351</v>
      </c>
      <c r="D33" s="212">
        <v>2903999090</v>
      </c>
      <c r="E33" s="212" t="s">
        <v>545</v>
      </c>
      <c r="F33" s="212" t="s">
        <v>1402</v>
      </c>
      <c r="G33" s="228" t="s">
        <v>561</v>
      </c>
      <c r="H33" s="372" t="s">
        <v>112</v>
      </c>
      <c r="I33" s="88"/>
      <c r="J33" s="461">
        <v>2020015929</v>
      </c>
      <c r="K33" s="462">
        <v>43801</v>
      </c>
      <c r="L33" s="212"/>
      <c r="M33" s="212" t="s">
        <v>736</v>
      </c>
      <c r="N33" s="375"/>
    </row>
    <row r="34" spans="1:14">
      <c r="A34" s="457">
        <v>211</v>
      </c>
      <c r="B34" s="228" t="s">
        <v>1281</v>
      </c>
      <c r="C34" s="376" t="s">
        <v>1352</v>
      </c>
      <c r="D34" s="212">
        <v>2903399090</v>
      </c>
      <c r="E34" s="212" t="s">
        <v>558</v>
      </c>
      <c r="F34" s="212" t="s">
        <v>1388</v>
      </c>
      <c r="G34" s="228" t="s">
        <v>665</v>
      </c>
      <c r="H34" s="372" t="s">
        <v>112</v>
      </c>
      <c r="I34" s="88"/>
      <c r="J34" s="461">
        <v>2020015968</v>
      </c>
      <c r="K34" s="462">
        <v>43801</v>
      </c>
      <c r="L34" s="212"/>
      <c r="M34" s="212" t="s">
        <v>666</v>
      </c>
      <c r="N34" s="375"/>
    </row>
    <row r="35" spans="1:14">
      <c r="A35" s="457">
        <v>212</v>
      </c>
      <c r="B35" s="212" t="s">
        <v>1282</v>
      </c>
      <c r="C35" s="377" t="s">
        <v>1353</v>
      </c>
      <c r="D35" s="212">
        <v>2903399090</v>
      </c>
      <c r="E35" s="212" t="s">
        <v>558</v>
      </c>
      <c r="F35" s="212" t="s">
        <v>115</v>
      </c>
      <c r="G35" s="228" t="s">
        <v>757</v>
      </c>
      <c r="H35" s="372" t="s">
        <v>112</v>
      </c>
      <c r="I35" s="88"/>
      <c r="J35" s="461">
        <v>2020015902</v>
      </c>
      <c r="K35" s="462">
        <v>43801</v>
      </c>
      <c r="L35" s="212"/>
      <c r="M35" s="212" t="s">
        <v>758</v>
      </c>
      <c r="N35" s="375"/>
    </row>
    <row r="36" spans="1:14">
      <c r="A36" s="457">
        <v>213</v>
      </c>
      <c r="B36" s="228" t="s">
        <v>1283</v>
      </c>
      <c r="C36" s="376" t="s">
        <v>1354</v>
      </c>
      <c r="D36" s="212">
        <v>2903399090</v>
      </c>
      <c r="E36" s="212" t="s">
        <v>558</v>
      </c>
      <c r="F36" s="212" t="s">
        <v>116</v>
      </c>
      <c r="G36" s="228" t="s">
        <v>565</v>
      </c>
      <c r="H36" s="372" t="s">
        <v>112</v>
      </c>
      <c r="I36" s="88"/>
      <c r="J36" s="461">
        <v>2020015870</v>
      </c>
      <c r="K36" s="462">
        <v>43801</v>
      </c>
      <c r="L36" s="212"/>
      <c r="M36" s="212" t="s">
        <v>759</v>
      </c>
      <c r="N36" s="375"/>
    </row>
    <row r="37" spans="1:14">
      <c r="A37" s="457">
        <v>214</v>
      </c>
      <c r="B37" s="228" t="s">
        <v>1284</v>
      </c>
      <c r="C37" s="376" t="s">
        <v>1355</v>
      </c>
      <c r="D37" s="212">
        <v>2903399090</v>
      </c>
      <c r="E37" s="212" t="s">
        <v>558</v>
      </c>
      <c r="F37" s="212" t="s">
        <v>1403</v>
      </c>
      <c r="G37" s="228" t="s">
        <v>665</v>
      </c>
      <c r="H37" s="372" t="s">
        <v>112</v>
      </c>
      <c r="I37" s="88"/>
      <c r="J37" s="461">
        <v>2020015856</v>
      </c>
      <c r="K37" s="462">
        <v>43801</v>
      </c>
      <c r="L37" s="212"/>
      <c r="M37" s="212" t="s">
        <v>760</v>
      </c>
      <c r="N37" s="375"/>
    </row>
    <row r="38" spans="1:14">
      <c r="A38" s="457">
        <v>215</v>
      </c>
      <c r="B38" s="228" t="s">
        <v>1285</v>
      </c>
      <c r="C38" s="376" t="s">
        <v>1356</v>
      </c>
      <c r="D38" s="212">
        <v>2903399090</v>
      </c>
      <c r="E38" s="212" t="s">
        <v>558</v>
      </c>
      <c r="F38" s="212" t="s">
        <v>1393</v>
      </c>
      <c r="G38" s="228" t="s">
        <v>665</v>
      </c>
      <c r="H38" s="372" t="s">
        <v>1220</v>
      </c>
      <c r="I38" s="88"/>
      <c r="J38" s="461">
        <v>2020016009</v>
      </c>
      <c r="K38" s="462">
        <v>43801</v>
      </c>
      <c r="L38" s="212"/>
      <c r="M38" s="212" t="s">
        <v>761</v>
      </c>
      <c r="N38" s="375"/>
    </row>
    <row r="39" spans="1:14">
      <c r="A39" s="457">
        <v>216</v>
      </c>
      <c r="B39" s="228" t="s">
        <v>1286</v>
      </c>
      <c r="C39" s="376" t="s">
        <v>1357</v>
      </c>
      <c r="D39" s="212">
        <v>2903399090</v>
      </c>
      <c r="E39" s="212" t="s">
        <v>558</v>
      </c>
      <c r="F39" s="212" t="s">
        <v>1404</v>
      </c>
      <c r="G39" s="228" t="s">
        <v>557</v>
      </c>
      <c r="H39" s="372" t="s">
        <v>112</v>
      </c>
      <c r="I39" s="88"/>
      <c r="J39" s="461">
        <v>2020016054</v>
      </c>
      <c r="K39" s="462">
        <v>43801</v>
      </c>
      <c r="L39" s="212"/>
      <c r="M39" s="212" t="s">
        <v>763</v>
      </c>
      <c r="N39" s="375"/>
    </row>
    <row r="40" spans="1:14">
      <c r="A40" s="457">
        <v>219</v>
      </c>
      <c r="B40" s="459" t="s">
        <v>1287</v>
      </c>
      <c r="C40" s="377" t="s">
        <v>1358</v>
      </c>
      <c r="D40" s="212">
        <v>2917190090</v>
      </c>
      <c r="E40" s="212" t="s">
        <v>562</v>
      </c>
      <c r="F40" s="212" t="s">
        <v>1388</v>
      </c>
      <c r="G40" s="228" t="s">
        <v>665</v>
      </c>
      <c r="H40" s="372" t="s">
        <v>112</v>
      </c>
      <c r="I40" s="88"/>
      <c r="J40" s="461">
        <v>2020015845</v>
      </c>
      <c r="K40" s="462">
        <v>43801</v>
      </c>
      <c r="L40" s="212" t="s">
        <v>1382</v>
      </c>
      <c r="M40" s="212" t="s">
        <v>762</v>
      </c>
      <c r="N40" s="375"/>
    </row>
    <row r="41" spans="1:14">
      <c r="A41" s="457">
        <v>317</v>
      </c>
      <c r="B41" s="212" t="s">
        <v>1288</v>
      </c>
      <c r="C41" s="377" t="s">
        <v>1359</v>
      </c>
      <c r="D41" s="212">
        <v>2924299099</v>
      </c>
      <c r="E41" s="212" t="s">
        <v>668</v>
      </c>
      <c r="F41" s="212" t="s">
        <v>1392</v>
      </c>
      <c r="G41" s="228" t="s">
        <v>555</v>
      </c>
      <c r="H41" s="372" t="s">
        <v>112</v>
      </c>
      <c r="I41" s="88"/>
      <c r="J41" s="461">
        <v>2020015922</v>
      </c>
      <c r="K41" s="462">
        <v>43801</v>
      </c>
      <c r="L41" s="212" t="s">
        <v>1381</v>
      </c>
      <c r="M41" s="212" t="s">
        <v>671</v>
      </c>
      <c r="N41" s="375"/>
    </row>
    <row r="42" spans="1:14">
      <c r="A42" s="457">
        <v>318</v>
      </c>
      <c r="B42" s="212" t="s">
        <v>1289</v>
      </c>
      <c r="C42" s="377" t="s">
        <v>1360</v>
      </c>
      <c r="D42" s="212">
        <v>2922199090</v>
      </c>
      <c r="E42" s="212" t="s">
        <v>667</v>
      </c>
      <c r="F42" s="212" t="s">
        <v>1401</v>
      </c>
      <c r="G42" s="228" t="s">
        <v>563</v>
      </c>
      <c r="H42" s="372" t="s">
        <v>112</v>
      </c>
      <c r="I42" s="88"/>
      <c r="J42" s="461">
        <v>2020016077</v>
      </c>
      <c r="K42" s="462">
        <v>43801</v>
      </c>
      <c r="L42" s="212" t="s">
        <v>1383</v>
      </c>
      <c r="M42" s="212" t="s">
        <v>672</v>
      </c>
      <c r="N42" s="375"/>
    </row>
    <row r="43" spans="1:14">
      <c r="A43" s="457">
        <v>319</v>
      </c>
      <c r="B43" s="212" t="s">
        <v>1290</v>
      </c>
      <c r="C43" s="377" t="s">
        <v>1361</v>
      </c>
      <c r="D43" s="212">
        <v>2924299099</v>
      </c>
      <c r="E43" s="212" t="s">
        <v>668</v>
      </c>
      <c r="F43" s="212" t="s">
        <v>115</v>
      </c>
      <c r="G43" s="228" t="s">
        <v>669</v>
      </c>
      <c r="H43" s="372" t="s">
        <v>112</v>
      </c>
      <c r="I43" s="88"/>
      <c r="J43" s="461">
        <v>2020015911</v>
      </c>
      <c r="K43" s="462">
        <v>43801</v>
      </c>
      <c r="L43" s="212" t="s">
        <v>1381</v>
      </c>
      <c r="M43" s="212" t="s">
        <v>670</v>
      </c>
      <c r="N43" s="375"/>
    </row>
    <row r="44" spans="1:14">
      <c r="A44" s="457">
        <v>422</v>
      </c>
      <c r="B44" s="212" t="s">
        <v>1291</v>
      </c>
      <c r="C44" s="377" t="s">
        <v>1224</v>
      </c>
      <c r="D44" s="212">
        <v>2918190090</v>
      </c>
      <c r="E44" s="212" t="s">
        <v>1225</v>
      </c>
      <c r="F44" s="212" t="s">
        <v>1405</v>
      </c>
      <c r="G44" s="228" t="s">
        <v>1376</v>
      </c>
      <c r="H44" s="372" t="s">
        <v>112</v>
      </c>
      <c r="I44" s="88"/>
      <c r="J44" s="461">
        <v>2020379542</v>
      </c>
      <c r="K44" s="462">
        <v>43823</v>
      </c>
      <c r="L44" s="212"/>
      <c r="M44" s="212" t="s">
        <v>1438</v>
      </c>
      <c r="N44" s="375"/>
    </row>
    <row r="45" spans="1:14">
      <c r="A45" s="457">
        <v>613</v>
      </c>
      <c r="B45" s="212" t="s">
        <v>1292</v>
      </c>
      <c r="C45" s="213" t="s">
        <v>1362</v>
      </c>
      <c r="D45" s="228">
        <v>2916399090</v>
      </c>
      <c r="E45" s="212" t="s">
        <v>542</v>
      </c>
      <c r="F45" s="212" t="s">
        <v>1406</v>
      </c>
      <c r="G45" s="228" t="s">
        <v>552</v>
      </c>
      <c r="H45" s="372" t="s">
        <v>112</v>
      </c>
      <c r="I45" s="88"/>
      <c r="J45" s="461">
        <v>2020016004</v>
      </c>
      <c r="K45" s="462">
        <v>43801</v>
      </c>
      <c r="L45" s="212" t="s">
        <v>1466</v>
      </c>
      <c r="M45" s="212" t="s">
        <v>391</v>
      </c>
      <c r="N45" s="375"/>
    </row>
    <row r="46" spans="1:14">
      <c r="A46" s="457">
        <v>630</v>
      </c>
      <c r="B46" s="212" t="s">
        <v>1293</v>
      </c>
      <c r="C46" s="376" t="s">
        <v>1363</v>
      </c>
      <c r="D46" s="212">
        <v>2933990099</v>
      </c>
      <c r="E46" s="212" t="s">
        <v>706</v>
      </c>
      <c r="F46" s="212" t="s">
        <v>1407</v>
      </c>
      <c r="G46" s="228" t="s">
        <v>721</v>
      </c>
      <c r="H46" s="372" t="s">
        <v>112</v>
      </c>
      <c r="I46" s="88"/>
      <c r="J46" s="461">
        <v>2020016075</v>
      </c>
      <c r="K46" s="462">
        <v>43801</v>
      </c>
      <c r="L46" s="212" t="s">
        <v>1385</v>
      </c>
      <c r="M46" s="212" t="s">
        <v>722</v>
      </c>
      <c r="N46" s="375"/>
    </row>
    <row r="47" spans="1:14">
      <c r="A47" s="457">
        <v>631</v>
      </c>
      <c r="B47" s="212" t="s">
        <v>1294</v>
      </c>
      <c r="C47" s="376" t="s">
        <v>717</v>
      </c>
      <c r="D47" s="212">
        <v>2933990099</v>
      </c>
      <c r="E47" s="212" t="s">
        <v>706</v>
      </c>
      <c r="F47" s="212" t="s">
        <v>115</v>
      </c>
      <c r="G47" s="228" t="s">
        <v>555</v>
      </c>
      <c r="H47" s="372" t="s">
        <v>112</v>
      </c>
      <c r="I47" s="88"/>
      <c r="J47" s="461">
        <v>2020016088</v>
      </c>
      <c r="K47" s="462">
        <v>43801</v>
      </c>
      <c r="L47" s="212" t="s">
        <v>1385</v>
      </c>
      <c r="M47" s="212" t="s">
        <v>718</v>
      </c>
      <c r="N47" s="375"/>
    </row>
    <row r="48" spans="1:14">
      <c r="A48" s="457">
        <v>633</v>
      </c>
      <c r="B48" s="212" t="s">
        <v>1295</v>
      </c>
      <c r="C48" s="376" t="s">
        <v>719</v>
      </c>
      <c r="D48" s="212">
        <v>2933990099</v>
      </c>
      <c r="E48" s="212" t="s">
        <v>706</v>
      </c>
      <c r="F48" s="212" t="s">
        <v>115</v>
      </c>
      <c r="G48" s="228" t="s">
        <v>555</v>
      </c>
      <c r="H48" s="372" t="s">
        <v>112</v>
      </c>
      <c r="I48" s="88"/>
      <c r="J48" s="461">
        <v>2020016036</v>
      </c>
      <c r="K48" s="462">
        <v>43801</v>
      </c>
      <c r="L48" s="212" t="s">
        <v>1385</v>
      </c>
      <c r="M48" s="461" t="s">
        <v>720</v>
      </c>
      <c r="N48" s="375"/>
    </row>
    <row r="49" spans="1:14" ht="18.75" customHeight="1">
      <c r="A49" s="458">
        <v>635</v>
      </c>
      <c r="B49" s="212" t="s">
        <v>1296</v>
      </c>
      <c r="C49" s="376" t="s">
        <v>738</v>
      </c>
      <c r="D49" s="212">
        <v>2933399099</v>
      </c>
      <c r="E49" s="212" t="s">
        <v>702</v>
      </c>
      <c r="F49" s="212" t="s">
        <v>1408</v>
      </c>
      <c r="G49" s="228" t="s">
        <v>739</v>
      </c>
      <c r="H49" s="372" t="s">
        <v>112</v>
      </c>
      <c r="I49" s="88"/>
      <c r="J49" s="461">
        <v>2020015858</v>
      </c>
      <c r="K49" s="462">
        <v>43801</v>
      </c>
      <c r="L49" s="212" t="s">
        <v>1385</v>
      </c>
      <c r="M49" s="463" t="s">
        <v>740</v>
      </c>
      <c r="N49" s="375"/>
    </row>
    <row r="50" spans="1:14">
      <c r="A50" s="458">
        <v>636</v>
      </c>
      <c r="B50" s="212" t="s">
        <v>1297</v>
      </c>
      <c r="C50" s="376" t="s">
        <v>709</v>
      </c>
      <c r="D50" s="212">
        <v>2933399099</v>
      </c>
      <c r="E50" s="212" t="s">
        <v>702</v>
      </c>
      <c r="F50" s="212" t="s">
        <v>1388</v>
      </c>
      <c r="G50" s="228" t="s">
        <v>665</v>
      </c>
      <c r="H50" s="372" t="s">
        <v>112</v>
      </c>
      <c r="I50" s="88"/>
      <c r="J50" s="461">
        <v>2020015983</v>
      </c>
      <c r="K50" s="462">
        <v>43801</v>
      </c>
      <c r="L50" s="212" t="s">
        <v>1385</v>
      </c>
      <c r="M50" s="212" t="s">
        <v>710</v>
      </c>
      <c r="N50" s="375"/>
    </row>
    <row r="51" spans="1:14">
      <c r="A51" s="457">
        <v>637</v>
      </c>
      <c r="B51" s="212" t="s">
        <v>1298</v>
      </c>
      <c r="C51" s="376" t="s">
        <v>741</v>
      </c>
      <c r="D51" s="212">
        <v>2933990099</v>
      </c>
      <c r="E51" s="212" t="s">
        <v>706</v>
      </c>
      <c r="F51" s="212" t="s">
        <v>1409</v>
      </c>
      <c r="G51" s="228" t="s">
        <v>539</v>
      </c>
      <c r="H51" s="372" t="s">
        <v>112</v>
      </c>
      <c r="I51" s="88"/>
      <c r="J51" s="461">
        <v>2020015975</v>
      </c>
      <c r="K51" s="462">
        <v>43801</v>
      </c>
      <c r="L51" s="212" t="s">
        <v>1385</v>
      </c>
      <c r="M51" s="212" t="s">
        <v>742</v>
      </c>
      <c r="N51" s="375"/>
    </row>
    <row r="52" spans="1:14">
      <c r="A52" s="458">
        <v>638</v>
      </c>
      <c r="B52" s="212" t="s">
        <v>1299</v>
      </c>
      <c r="C52" s="376" t="s">
        <v>701</v>
      </c>
      <c r="D52" s="212">
        <v>2933399099</v>
      </c>
      <c r="E52" s="212" t="s">
        <v>702</v>
      </c>
      <c r="F52" s="212" t="s">
        <v>1227</v>
      </c>
      <c r="G52" s="228" t="s">
        <v>703</v>
      </c>
      <c r="H52" s="372" t="s">
        <v>112</v>
      </c>
      <c r="I52" s="88"/>
      <c r="J52" s="461">
        <v>2020015886</v>
      </c>
      <c r="K52" s="462">
        <v>43801</v>
      </c>
      <c r="L52" s="212" t="s">
        <v>1385</v>
      </c>
      <c r="M52" s="212" t="s">
        <v>704</v>
      </c>
      <c r="N52" s="375"/>
    </row>
    <row r="53" spans="1:14">
      <c r="A53" s="458">
        <v>640</v>
      </c>
      <c r="B53" s="212" t="s">
        <v>1300</v>
      </c>
      <c r="C53" s="376" t="s">
        <v>713</v>
      </c>
      <c r="D53" s="212">
        <v>2933399099</v>
      </c>
      <c r="E53" s="212" t="s">
        <v>702</v>
      </c>
      <c r="F53" s="212" t="s">
        <v>114</v>
      </c>
      <c r="G53" s="228" t="s">
        <v>547</v>
      </c>
      <c r="H53" s="372" t="s">
        <v>112</v>
      </c>
      <c r="I53" s="88"/>
      <c r="J53" s="461">
        <v>2020016005</v>
      </c>
      <c r="K53" s="462">
        <v>43801</v>
      </c>
      <c r="L53" s="212" t="s">
        <v>1385</v>
      </c>
      <c r="M53" s="212" t="s">
        <v>714</v>
      </c>
      <c r="N53" s="375"/>
    </row>
    <row r="54" spans="1:14">
      <c r="A54" s="458">
        <v>641</v>
      </c>
      <c r="B54" s="212" t="s">
        <v>1301</v>
      </c>
      <c r="C54" s="376" t="s">
        <v>711</v>
      </c>
      <c r="D54" s="212">
        <v>2933399099</v>
      </c>
      <c r="E54" s="212" t="s">
        <v>702</v>
      </c>
      <c r="F54" s="212" t="s">
        <v>1388</v>
      </c>
      <c r="G54" s="228" t="s">
        <v>665</v>
      </c>
      <c r="H54" s="372" t="s">
        <v>112</v>
      </c>
      <c r="I54" s="88"/>
      <c r="J54" s="461">
        <v>2020015879</v>
      </c>
      <c r="K54" s="462">
        <v>43801</v>
      </c>
      <c r="L54" s="212" t="s">
        <v>1385</v>
      </c>
      <c r="M54" s="212" t="s">
        <v>712</v>
      </c>
      <c r="N54" s="375"/>
    </row>
    <row r="55" spans="1:14">
      <c r="A55" s="457">
        <v>644</v>
      </c>
      <c r="B55" s="212" t="s">
        <v>1302</v>
      </c>
      <c r="C55" s="376" t="s">
        <v>743</v>
      </c>
      <c r="D55" s="212">
        <v>2933990099</v>
      </c>
      <c r="E55" s="212" t="s">
        <v>706</v>
      </c>
      <c r="F55" s="212" t="s">
        <v>1410</v>
      </c>
      <c r="G55" s="228" t="s">
        <v>744</v>
      </c>
      <c r="H55" s="372" t="s">
        <v>112</v>
      </c>
      <c r="I55" s="88"/>
      <c r="J55" s="461">
        <v>2020015897</v>
      </c>
      <c r="K55" s="462">
        <v>43801</v>
      </c>
      <c r="L55" s="212" t="s">
        <v>1385</v>
      </c>
      <c r="M55" s="212" t="s">
        <v>745</v>
      </c>
      <c r="N55" s="375"/>
    </row>
    <row r="56" spans="1:14">
      <c r="A56" s="457">
        <v>645</v>
      </c>
      <c r="B56" s="212" t="s">
        <v>1303</v>
      </c>
      <c r="C56" s="376" t="s">
        <v>705</v>
      </c>
      <c r="D56" s="212">
        <v>2933990099</v>
      </c>
      <c r="E56" s="212" t="s">
        <v>706</v>
      </c>
      <c r="F56" s="212" t="s">
        <v>1411</v>
      </c>
      <c r="G56" s="228" t="s">
        <v>707</v>
      </c>
      <c r="H56" s="372" t="s">
        <v>112</v>
      </c>
      <c r="I56" s="88"/>
      <c r="J56" s="461">
        <v>2020015914</v>
      </c>
      <c r="K56" s="462">
        <v>43801</v>
      </c>
      <c r="L56" s="212" t="s">
        <v>1385</v>
      </c>
      <c r="M56" s="212" t="s">
        <v>708</v>
      </c>
      <c r="N56" s="375"/>
    </row>
    <row r="57" spans="1:14">
      <c r="A57" s="457">
        <v>646</v>
      </c>
      <c r="B57" s="212" t="s">
        <v>1304</v>
      </c>
      <c r="C57" s="376" t="s">
        <v>1364</v>
      </c>
      <c r="D57" s="212">
        <v>2933990099</v>
      </c>
      <c r="E57" s="212" t="s">
        <v>706</v>
      </c>
      <c r="F57" s="212" t="s">
        <v>1412</v>
      </c>
      <c r="G57" s="228" t="s">
        <v>723</v>
      </c>
      <c r="H57" s="372" t="s">
        <v>112</v>
      </c>
      <c r="I57" s="88"/>
      <c r="J57" s="461">
        <v>2020015961</v>
      </c>
      <c r="K57" s="462">
        <v>43801</v>
      </c>
      <c r="L57" s="212" t="s">
        <v>1385</v>
      </c>
      <c r="M57" s="461" t="s">
        <v>724</v>
      </c>
      <c r="N57" s="375"/>
    </row>
    <row r="58" spans="1:14">
      <c r="A58" s="458">
        <v>648</v>
      </c>
      <c r="B58" s="212" t="s">
        <v>1305</v>
      </c>
      <c r="C58" s="376" t="s">
        <v>1365</v>
      </c>
      <c r="D58" s="212">
        <v>2933399099</v>
      </c>
      <c r="E58" s="212" t="s">
        <v>702</v>
      </c>
      <c r="F58" s="212" t="s">
        <v>115</v>
      </c>
      <c r="G58" s="228" t="s">
        <v>555</v>
      </c>
      <c r="H58" s="372" t="s">
        <v>112</v>
      </c>
      <c r="I58" s="88"/>
      <c r="J58" s="461">
        <v>2020016069</v>
      </c>
      <c r="K58" s="462">
        <v>43801</v>
      </c>
      <c r="L58" s="212" t="s">
        <v>1385</v>
      </c>
      <c r="M58" s="461" t="s">
        <v>716</v>
      </c>
      <c r="N58" s="375"/>
    </row>
    <row r="59" spans="1:14">
      <c r="A59" s="457">
        <v>649</v>
      </c>
      <c r="B59" s="212" t="s">
        <v>1306</v>
      </c>
      <c r="C59" s="376" t="s">
        <v>1366</v>
      </c>
      <c r="D59" s="212">
        <v>2933990099</v>
      </c>
      <c r="E59" s="212" t="s">
        <v>706</v>
      </c>
      <c r="F59" s="212" t="s">
        <v>1413</v>
      </c>
      <c r="G59" s="228" t="s">
        <v>746</v>
      </c>
      <c r="H59" s="372" t="s">
        <v>112</v>
      </c>
      <c r="I59" s="88"/>
      <c r="J59" s="461">
        <v>2020016066</v>
      </c>
      <c r="K59" s="462">
        <v>43801</v>
      </c>
      <c r="L59" s="212" t="s">
        <v>1385</v>
      </c>
      <c r="M59" s="461" t="s">
        <v>747</v>
      </c>
      <c r="N59" s="375"/>
    </row>
    <row r="60" spans="1:14">
      <c r="A60" s="457">
        <v>653</v>
      </c>
      <c r="B60" s="212" t="s">
        <v>1307</v>
      </c>
      <c r="C60" s="377" t="s">
        <v>1219</v>
      </c>
      <c r="D60" s="212">
        <v>2933990099</v>
      </c>
      <c r="E60" s="212" t="s">
        <v>706</v>
      </c>
      <c r="F60" s="212" t="s">
        <v>1414</v>
      </c>
      <c r="G60" s="228" t="s">
        <v>553</v>
      </c>
      <c r="H60" s="372" t="s">
        <v>112</v>
      </c>
      <c r="I60" s="88"/>
      <c r="J60" s="461">
        <v>2020379539</v>
      </c>
      <c r="K60" s="462">
        <v>43823</v>
      </c>
      <c r="L60" s="212" t="s">
        <v>1385</v>
      </c>
      <c r="M60" s="212" t="s">
        <v>1439</v>
      </c>
      <c r="N60" s="375"/>
    </row>
    <row r="61" spans="1:14">
      <c r="A61" s="457">
        <v>655</v>
      </c>
      <c r="B61" s="212" t="s">
        <v>1308</v>
      </c>
      <c r="C61" s="377" t="s">
        <v>1221</v>
      </c>
      <c r="D61" s="212">
        <v>2933599099</v>
      </c>
      <c r="E61" s="212" t="s">
        <v>549</v>
      </c>
      <c r="F61" s="212" t="s">
        <v>1405</v>
      </c>
      <c r="G61" s="228" t="s">
        <v>715</v>
      </c>
      <c r="H61" s="372" t="s">
        <v>112</v>
      </c>
      <c r="I61" s="88"/>
      <c r="J61" s="461">
        <v>2020379552</v>
      </c>
      <c r="K61" s="462">
        <v>43823</v>
      </c>
      <c r="L61" s="212" t="s">
        <v>1385</v>
      </c>
      <c r="M61" s="212" t="s">
        <v>1440</v>
      </c>
      <c r="N61" s="375"/>
    </row>
    <row r="62" spans="1:14">
      <c r="A62" s="458">
        <v>711</v>
      </c>
      <c r="B62" s="212" t="s">
        <v>1309</v>
      </c>
      <c r="C62" s="213" t="s">
        <v>1367</v>
      </c>
      <c r="D62" s="212">
        <v>2934999099</v>
      </c>
      <c r="E62" s="228" t="s">
        <v>699</v>
      </c>
      <c r="F62" s="212" t="s">
        <v>1415</v>
      </c>
      <c r="G62" s="228" t="s">
        <v>510</v>
      </c>
      <c r="H62" s="372" t="s">
        <v>112</v>
      </c>
      <c r="I62" s="88"/>
      <c r="J62" s="461">
        <v>2020015926</v>
      </c>
      <c r="K62" s="462">
        <v>43801</v>
      </c>
      <c r="L62" s="212"/>
      <c r="M62" s="212" t="s">
        <v>700</v>
      </c>
      <c r="N62" s="375"/>
    </row>
    <row r="63" spans="1:14">
      <c r="A63" s="458">
        <v>712</v>
      </c>
      <c r="B63" s="212" t="s">
        <v>1310</v>
      </c>
      <c r="C63" s="377" t="s">
        <v>1368</v>
      </c>
      <c r="D63" s="212">
        <v>2934999099</v>
      </c>
      <c r="E63" s="212" t="s">
        <v>699</v>
      </c>
      <c r="F63" s="212" t="s">
        <v>1416</v>
      </c>
      <c r="G63" s="228" t="s">
        <v>544</v>
      </c>
      <c r="H63" s="372" t="s">
        <v>112</v>
      </c>
      <c r="I63" s="88"/>
      <c r="J63" s="461" t="s">
        <v>1379</v>
      </c>
      <c r="K63" s="462">
        <v>43823</v>
      </c>
      <c r="L63" s="212"/>
      <c r="M63" s="212" t="s">
        <v>1441</v>
      </c>
      <c r="N63" s="375"/>
    </row>
    <row r="64" spans="1:14">
      <c r="A64" s="458">
        <v>714</v>
      </c>
      <c r="B64" s="212" t="s">
        <v>1311</v>
      </c>
      <c r="C64" s="377" t="s">
        <v>1369</v>
      </c>
      <c r="D64" s="212">
        <v>2934999099</v>
      </c>
      <c r="E64" s="212" t="s">
        <v>699</v>
      </c>
      <c r="F64" s="212" t="s">
        <v>1417</v>
      </c>
      <c r="G64" s="228" t="s">
        <v>538</v>
      </c>
      <c r="H64" s="372" t="s">
        <v>112</v>
      </c>
      <c r="I64" s="88"/>
      <c r="J64" s="461" t="s">
        <v>1380</v>
      </c>
      <c r="K64" s="462">
        <v>43823</v>
      </c>
      <c r="L64" s="212"/>
      <c r="M64" s="212" t="s">
        <v>1442</v>
      </c>
      <c r="N64" s="210"/>
    </row>
    <row r="65" spans="1:14">
      <c r="A65" s="457">
        <v>1510</v>
      </c>
      <c r="B65" s="212" t="s">
        <v>421</v>
      </c>
      <c r="C65" s="213" t="s">
        <v>445</v>
      </c>
      <c r="D65" s="212">
        <v>2932999099</v>
      </c>
      <c r="E65" s="212" t="s">
        <v>554</v>
      </c>
      <c r="F65" s="212" t="s">
        <v>1418</v>
      </c>
      <c r="G65" s="228" t="s">
        <v>551</v>
      </c>
      <c r="H65" s="372" t="s">
        <v>112</v>
      </c>
      <c r="I65" s="88"/>
      <c r="J65" s="461">
        <v>2020016087</v>
      </c>
      <c r="K65" s="462">
        <v>43801</v>
      </c>
      <c r="L65" s="212"/>
      <c r="M65" s="212" t="s">
        <v>390</v>
      </c>
      <c r="N65" s="210"/>
    </row>
    <row r="66" spans="1:14" ht="15" customHeight="1">
      <c r="A66" s="457">
        <v>1518</v>
      </c>
      <c r="B66" s="212" t="s">
        <v>1312</v>
      </c>
      <c r="C66" s="377" t="s">
        <v>1370</v>
      </c>
      <c r="D66" s="212">
        <v>2932999099</v>
      </c>
      <c r="E66" s="212" t="s">
        <v>554</v>
      </c>
      <c r="F66" s="212" t="s">
        <v>115</v>
      </c>
      <c r="G66" s="228" t="s">
        <v>669</v>
      </c>
      <c r="H66" s="372" t="s">
        <v>112</v>
      </c>
      <c r="I66" s="88"/>
      <c r="J66" s="461">
        <v>2020016079</v>
      </c>
      <c r="K66" s="462">
        <v>43801</v>
      </c>
      <c r="L66" s="212"/>
      <c r="M66" s="212" t="s">
        <v>731</v>
      </c>
      <c r="N66" s="210"/>
    </row>
    <row r="67" spans="1:14" ht="15" customHeight="1">
      <c r="A67" s="457">
        <v>1519</v>
      </c>
      <c r="B67" s="212" t="s">
        <v>1313</v>
      </c>
      <c r="C67" s="377" t="s">
        <v>725</v>
      </c>
      <c r="D67" s="212">
        <v>2932999099</v>
      </c>
      <c r="E67" s="212" t="s">
        <v>554</v>
      </c>
      <c r="F67" s="212" t="s">
        <v>1401</v>
      </c>
      <c r="G67" s="228" t="s">
        <v>563</v>
      </c>
      <c r="H67" s="372" t="s">
        <v>112</v>
      </c>
      <c r="I67" s="88"/>
      <c r="J67" s="461">
        <v>2020015942</v>
      </c>
      <c r="K67" s="462">
        <v>43801</v>
      </c>
      <c r="L67" s="212"/>
      <c r="M67" s="212" t="s">
        <v>726</v>
      </c>
      <c r="N67" s="210"/>
    </row>
    <row r="68" spans="1:14">
      <c r="A68" s="457">
        <v>1521</v>
      </c>
      <c r="B68" s="212" t="s">
        <v>1314</v>
      </c>
      <c r="C68" s="377" t="s">
        <v>729</v>
      </c>
      <c r="D68" s="212">
        <v>2932999099</v>
      </c>
      <c r="E68" s="212" t="s">
        <v>554</v>
      </c>
      <c r="F68" s="212" t="s">
        <v>115</v>
      </c>
      <c r="G68" s="228" t="s">
        <v>555</v>
      </c>
      <c r="H68" s="372" t="s">
        <v>112</v>
      </c>
      <c r="I68" s="88"/>
      <c r="J68" s="461">
        <v>2020015921</v>
      </c>
      <c r="K68" s="462">
        <v>43801</v>
      </c>
      <c r="L68" s="212"/>
      <c r="M68" s="212" t="s">
        <v>730</v>
      </c>
      <c r="N68" s="210"/>
    </row>
    <row r="69" spans="1:14">
      <c r="A69" s="457">
        <v>1522</v>
      </c>
      <c r="B69" s="212" t="s">
        <v>1315</v>
      </c>
      <c r="C69" s="377" t="s">
        <v>727</v>
      </c>
      <c r="D69" s="212">
        <v>2932999099</v>
      </c>
      <c r="E69" s="212" t="s">
        <v>554</v>
      </c>
      <c r="F69" s="212" t="s">
        <v>1419</v>
      </c>
      <c r="G69" s="228" t="s">
        <v>563</v>
      </c>
      <c r="H69" s="372" t="s">
        <v>112</v>
      </c>
      <c r="I69" s="88"/>
      <c r="J69" s="461">
        <v>2020016068</v>
      </c>
      <c r="K69" s="462">
        <v>43801</v>
      </c>
      <c r="L69" s="212"/>
      <c r="M69" s="212" t="s">
        <v>728</v>
      </c>
      <c r="N69" s="210"/>
    </row>
    <row r="70" spans="1:14">
      <c r="A70" s="457">
        <v>1523</v>
      </c>
      <c r="B70" s="212" t="s">
        <v>1316</v>
      </c>
      <c r="C70" s="377" t="s">
        <v>732</v>
      </c>
      <c r="D70" s="212">
        <v>2932999099</v>
      </c>
      <c r="E70" s="212" t="s">
        <v>554</v>
      </c>
      <c r="F70" s="212" t="s">
        <v>1420</v>
      </c>
      <c r="G70" s="228" t="s">
        <v>557</v>
      </c>
      <c r="H70" s="372" t="s">
        <v>112</v>
      </c>
      <c r="I70" s="88"/>
      <c r="J70" s="461">
        <v>2020016085</v>
      </c>
      <c r="K70" s="462">
        <v>43801</v>
      </c>
      <c r="L70" s="212"/>
      <c r="M70" s="212" t="s">
        <v>733</v>
      </c>
      <c r="N70" s="210"/>
    </row>
    <row r="71" spans="1:14">
      <c r="A71" s="457">
        <v>1524</v>
      </c>
      <c r="B71" s="212" t="s">
        <v>1317</v>
      </c>
      <c r="C71" s="377" t="s">
        <v>766</v>
      </c>
      <c r="D71" s="212">
        <v>2932999099</v>
      </c>
      <c r="E71" s="212" t="s">
        <v>554</v>
      </c>
      <c r="F71" s="212" t="s">
        <v>1421</v>
      </c>
      <c r="G71" s="228" t="s">
        <v>767</v>
      </c>
      <c r="H71" s="372" t="s">
        <v>112</v>
      </c>
      <c r="I71" s="88"/>
      <c r="J71" s="461">
        <v>2020015940</v>
      </c>
      <c r="K71" s="462">
        <v>43801</v>
      </c>
      <c r="L71" s="212"/>
      <c r="M71" s="212" t="s">
        <v>768</v>
      </c>
      <c r="N71" s="210"/>
    </row>
    <row r="72" spans="1:14">
      <c r="A72" s="457">
        <v>1525</v>
      </c>
      <c r="B72" s="212" t="s">
        <v>1318</v>
      </c>
      <c r="C72" s="377" t="s">
        <v>769</v>
      </c>
      <c r="D72" s="212">
        <v>2932999099</v>
      </c>
      <c r="E72" s="212" t="s">
        <v>554</v>
      </c>
      <c r="F72" s="212" t="s">
        <v>1409</v>
      </c>
      <c r="G72" s="228" t="s">
        <v>770</v>
      </c>
      <c r="H72" s="372" t="s">
        <v>112</v>
      </c>
      <c r="I72" s="88"/>
      <c r="J72" s="461">
        <v>2020015945</v>
      </c>
      <c r="K72" s="462">
        <v>43801</v>
      </c>
      <c r="L72" s="212"/>
      <c r="M72" s="212" t="s">
        <v>771</v>
      </c>
      <c r="N72" s="210"/>
    </row>
    <row r="73" spans="1:14">
      <c r="A73" s="457">
        <v>1526</v>
      </c>
      <c r="B73" s="212" t="s">
        <v>1319</v>
      </c>
      <c r="C73" s="377" t="s">
        <v>772</v>
      </c>
      <c r="D73" s="212">
        <v>2932999099</v>
      </c>
      <c r="E73" s="212" t="s">
        <v>554</v>
      </c>
      <c r="F73" s="212" t="s">
        <v>1422</v>
      </c>
      <c r="G73" s="228" t="s">
        <v>773</v>
      </c>
      <c r="H73" s="372" t="s">
        <v>112</v>
      </c>
      <c r="I73" s="88"/>
      <c r="J73" s="461">
        <v>2020015833</v>
      </c>
      <c r="K73" s="462">
        <v>43801</v>
      </c>
      <c r="L73" s="212"/>
      <c r="M73" s="212" t="s">
        <v>774</v>
      </c>
      <c r="N73" s="210"/>
    </row>
    <row r="74" spans="1:14">
      <c r="A74" s="457">
        <v>1611</v>
      </c>
      <c r="B74" s="212" t="s">
        <v>415</v>
      </c>
      <c r="C74" s="213" t="s">
        <v>436</v>
      </c>
      <c r="D74" s="212">
        <v>2916399090</v>
      </c>
      <c r="E74" s="212" t="s">
        <v>542</v>
      </c>
      <c r="F74" s="212" t="s">
        <v>1423</v>
      </c>
      <c r="G74" s="228" t="s">
        <v>543</v>
      </c>
      <c r="H74" s="372" t="s">
        <v>112</v>
      </c>
      <c r="I74" s="88"/>
      <c r="J74" s="461">
        <v>2020016024</v>
      </c>
      <c r="K74" s="462">
        <v>43801</v>
      </c>
      <c r="L74" s="212" t="s">
        <v>1468</v>
      </c>
      <c r="M74" s="212" t="s">
        <v>324</v>
      </c>
      <c r="N74" s="210"/>
    </row>
    <row r="75" spans="1:14">
      <c r="A75" s="457">
        <v>1626</v>
      </c>
      <c r="B75" s="212" t="s">
        <v>1320</v>
      </c>
      <c r="C75" s="377" t="s">
        <v>1371</v>
      </c>
      <c r="D75" s="212">
        <v>2914790090</v>
      </c>
      <c r="E75" s="212" t="s">
        <v>688</v>
      </c>
      <c r="F75" s="212" t="s">
        <v>1388</v>
      </c>
      <c r="G75" s="228" t="s">
        <v>665</v>
      </c>
      <c r="H75" s="372" t="s">
        <v>112</v>
      </c>
      <c r="I75" s="88"/>
      <c r="J75" s="461">
        <v>2020015831</v>
      </c>
      <c r="K75" s="462">
        <v>43801</v>
      </c>
      <c r="L75" s="212" t="s">
        <v>1386</v>
      </c>
      <c r="M75" s="212" t="s">
        <v>780</v>
      </c>
      <c r="N75" s="210"/>
    </row>
    <row r="76" spans="1:14">
      <c r="A76" s="457">
        <v>1629</v>
      </c>
      <c r="B76" s="212" t="s">
        <v>1321</v>
      </c>
      <c r="C76" s="377" t="s">
        <v>755</v>
      </c>
      <c r="D76" s="212">
        <v>2916399090</v>
      </c>
      <c r="E76" s="212" t="s">
        <v>542</v>
      </c>
      <c r="F76" s="212" t="s">
        <v>115</v>
      </c>
      <c r="G76" s="228" t="s">
        <v>539</v>
      </c>
      <c r="H76" s="372" t="s">
        <v>112</v>
      </c>
      <c r="I76" s="88"/>
      <c r="J76" s="461">
        <v>2020015905</v>
      </c>
      <c r="K76" s="462">
        <v>43801</v>
      </c>
      <c r="L76" s="212" t="s">
        <v>1467</v>
      </c>
      <c r="M76" s="212" t="s">
        <v>756</v>
      </c>
      <c r="N76" s="210"/>
    </row>
    <row r="77" spans="1:14">
      <c r="A77" s="457">
        <v>1630</v>
      </c>
      <c r="B77" s="212" t="s">
        <v>1322</v>
      </c>
      <c r="C77" s="377" t="s">
        <v>687</v>
      </c>
      <c r="D77" s="212">
        <v>2914790090</v>
      </c>
      <c r="E77" s="212" t="s">
        <v>688</v>
      </c>
      <c r="F77" s="212" t="s">
        <v>1424</v>
      </c>
      <c r="G77" s="228" t="s">
        <v>689</v>
      </c>
      <c r="H77" s="372" t="s">
        <v>112</v>
      </c>
      <c r="I77" s="88"/>
      <c r="J77" s="461">
        <v>2020015908</v>
      </c>
      <c r="K77" s="462">
        <v>43801</v>
      </c>
      <c r="L77" s="212" t="s">
        <v>1386</v>
      </c>
      <c r="M77" s="212" t="s">
        <v>690</v>
      </c>
      <c r="N77" s="210"/>
    </row>
    <row r="78" spans="1:14">
      <c r="A78" s="457">
        <v>1631</v>
      </c>
      <c r="B78" s="212" t="s">
        <v>1323</v>
      </c>
      <c r="C78" s="376" t="s">
        <v>685</v>
      </c>
      <c r="D78" s="212">
        <v>2916399090</v>
      </c>
      <c r="E78" s="212" t="s">
        <v>542</v>
      </c>
      <c r="F78" s="212" t="s">
        <v>1425</v>
      </c>
      <c r="G78" s="228" t="s">
        <v>564</v>
      </c>
      <c r="H78" s="372" t="s">
        <v>112</v>
      </c>
      <c r="I78" s="88"/>
      <c r="J78" s="461">
        <v>2020016061</v>
      </c>
      <c r="K78" s="462">
        <v>43801</v>
      </c>
      <c r="L78" s="212" t="s">
        <v>1469</v>
      </c>
      <c r="M78" s="461" t="s">
        <v>686</v>
      </c>
      <c r="N78" s="210"/>
    </row>
    <row r="79" spans="1:14">
      <c r="A79" s="457">
        <v>1633</v>
      </c>
      <c r="B79" s="212" t="s">
        <v>1324</v>
      </c>
      <c r="C79" s="377" t="s">
        <v>682</v>
      </c>
      <c r="D79" s="212">
        <v>2903999090</v>
      </c>
      <c r="E79" s="212" t="s">
        <v>545</v>
      </c>
      <c r="F79" s="212" t="s">
        <v>1426</v>
      </c>
      <c r="G79" s="228" t="s">
        <v>683</v>
      </c>
      <c r="H79" s="372" t="s">
        <v>112</v>
      </c>
      <c r="I79" s="88"/>
      <c r="J79" s="461">
        <v>2020016030</v>
      </c>
      <c r="K79" s="462">
        <v>43801</v>
      </c>
      <c r="L79" s="212"/>
      <c r="M79" s="212" t="s">
        <v>684</v>
      </c>
      <c r="N79" s="210"/>
    </row>
    <row r="80" spans="1:14">
      <c r="A80" s="457">
        <v>1634</v>
      </c>
      <c r="B80" s="212" t="s">
        <v>1325</v>
      </c>
      <c r="C80" s="377" t="s">
        <v>679</v>
      </c>
      <c r="D80" s="212">
        <v>2903999090</v>
      </c>
      <c r="E80" s="212" t="s">
        <v>545</v>
      </c>
      <c r="F80" s="212" t="s">
        <v>1227</v>
      </c>
      <c r="G80" s="228" t="s">
        <v>680</v>
      </c>
      <c r="H80" s="372" t="s">
        <v>112</v>
      </c>
      <c r="I80" s="88"/>
      <c r="J80" s="461">
        <v>2020016081</v>
      </c>
      <c r="K80" s="462">
        <v>43801</v>
      </c>
      <c r="L80" s="212"/>
      <c r="M80" s="212" t="s">
        <v>681</v>
      </c>
      <c r="N80" s="210"/>
    </row>
    <row r="81" spans="1:14">
      <c r="A81" s="457">
        <v>1635</v>
      </c>
      <c r="B81" s="212" t="s">
        <v>1447</v>
      </c>
      <c r="C81" s="377" t="s">
        <v>783</v>
      </c>
      <c r="D81" s="212">
        <v>2903999090</v>
      </c>
      <c r="E81" s="212" t="s">
        <v>545</v>
      </c>
      <c r="F81" s="212" t="s">
        <v>1427</v>
      </c>
      <c r="G81" s="228" t="s">
        <v>784</v>
      </c>
      <c r="H81" s="372" t="s">
        <v>112</v>
      </c>
      <c r="I81" s="88"/>
      <c r="J81" s="461">
        <v>2020015860</v>
      </c>
      <c r="K81" s="462">
        <v>43801</v>
      </c>
      <c r="L81" s="212"/>
      <c r="M81" s="212" t="s">
        <v>785</v>
      </c>
      <c r="N81" s="210"/>
    </row>
    <row r="82" spans="1:14">
      <c r="A82" s="457">
        <v>1636</v>
      </c>
      <c r="B82" s="212" t="s">
        <v>1326</v>
      </c>
      <c r="C82" s="377" t="s">
        <v>749</v>
      </c>
      <c r="D82" s="212">
        <v>2916399090</v>
      </c>
      <c r="E82" s="212" t="s">
        <v>542</v>
      </c>
      <c r="F82" s="212" t="s">
        <v>115</v>
      </c>
      <c r="G82" s="228" t="s">
        <v>555</v>
      </c>
      <c r="H82" s="372" t="s">
        <v>112</v>
      </c>
      <c r="I82" s="88"/>
      <c r="J82" s="461">
        <v>2020016083</v>
      </c>
      <c r="K82" s="462">
        <v>43801</v>
      </c>
      <c r="L82" s="212" t="s">
        <v>1467</v>
      </c>
      <c r="M82" s="212" t="s">
        <v>750</v>
      </c>
      <c r="N82" s="210"/>
    </row>
    <row r="83" spans="1:14">
      <c r="A83" s="457">
        <v>1640</v>
      </c>
      <c r="B83" s="212" t="s">
        <v>1327</v>
      </c>
      <c r="C83" s="377" t="s">
        <v>788</v>
      </c>
      <c r="D83" s="212">
        <v>2903999090</v>
      </c>
      <c r="E83" s="212" t="s">
        <v>545</v>
      </c>
      <c r="F83" s="212" t="s">
        <v>114</v>
      </c>
      <c r="G83" s="228" t="s">
        <v>547</v>
      </c>
      <c r="H83" s="372" t="s">
        <v>112</v>
      </c>
      <c r="I83" s="374"/>
      <c r="J83" s="461">
        <v>2020015889</v>
      </c>
      <c r="K83" s="462">
        <v>43801</v>
      </c>
      <c r="L83" s="212"/>
      <c r="M83" s="212" t="s">
        <v>1443</v>
      </c>
      <c r="N83" s="374"/>
    </row>
    <row r="84" spans="1:14">
      <c r="A84" s="457">
        <v>1641</v>
      </c>
      <c r="B84" s="212" t="s">
        <v>1328</v>
      </c>
      <c r="C84" s="377" t="s">
        <v>697</v>
      </c>
      <c r="D84" s="212">
        <v>2903999090</v>
      </c>
      <c r="E84" s="212" t="s">
        <v>545</v>
      </c>
      <c r="F84" s="212" t="s">
        <v>1388</v>
      </c>
      <c r="G84" s="228" t="s">
        <v>665</v>
      </c>
      <c r="H84" s="372" t="s">
        <v>112</v>
      </c>
      <c r="I84" s="211"/>
      <c r="J84" s="461">
        <v>2020015977</v>
      </c>
      <c r="K84" s="462">
        <v>43801</v>
      </c>
      <c r="L84" s="212"/>
      <c r="M84" s="212" t="s">
        <v>698</v>
      </c>
      <c r="N84" s="378"/>
    </row>
    <row r="85" spans="1:14">
      <c r="A85" s="457">
        <v>1642</v>
      </c>
      <c r="B85" s="212" t="s">
        <v>1329</v>
      </c>
      <c r="C85" s="377" t="s">
        <v>786</v>
      </c>
      <c r="D85" s="212">
        <v>2916399090</v>
      </c>
      <c r="E85" s="212" t="s">
        <v>542</v>
      </c>
      <c r="F85" s="212" t="s">
        <v>1389</v>
      </c>
      <c r="G85" s="228" t="s">
        <v>566</v>
      </c>
      <c r="H85" s="372" t="s">
        <v>112</v>
      </c>
      <c r="I85" s="375"/>
      <c r="J85" s="461">
        <v>2020016041</v>
      </c>
      <c r="K85" s="462">
        <v>43801</v>
      </c>
      <c r="L85" s="212" t="s">
        <v>1470</v>
      </c>
      <c r="M85" s="212" t="s">
        <v>787</v>
      </c>
      <c r="N85" s="375"/>
    </row>
    <row r="86" spans="1:14">
      <c r="A86" s="457">
        <v>1643</v>
      </c>
      <c r="B86" s="212" t="s">
        <v>1330</v>
      </c>
      <c r="C86" s="377" t="s">
        <v>691</v>
      </c>
      <c r="D86" s="212">
        <v>2916399090</v>
      </c>
      <c r="E86" s="212" t="s">
        <v>542</v>
      </c>
      <c r="F86" s="212" t="s">
        <v>115</v>
      </c>
      <c r="G86" s="228" t="s">
        <v>692</v>
      </c>
      <c r="H86" s="372" t="s">
        <v>112</v>
      </c>
      <c r="I86" s="375"/>
      <c r="J86" s="461">
        <v>2020016056</v>
      </c>
      <c r="K86" s="462">
        <v>43801</v>
      </c>
      <c r="L86" s="212" t="s">
        <v>1467</v>
      </c>
      <c r="M86" s="212" t="s">
        <v>693</v>
      </c>
      <c r="N86" s="375"/>
    </row>
    <row r="87" spans="1:14" s="205" customFormat="1">
      <c r="A87" s="457">
        <v>1646</v>
      </c>
      <c r="B87" s="212" t="s">
        <v>1331</v>
      </c>
      <c r="C87" s="377" t="s">
        <v>673</v>
      </c>
      <c r="D87" s="212">
        <v>2918990090</v>
      </c>
      <c r="E87" s="212" t="s">
        <v>486</v>
      </c>
      <c r="F87" s="212" t="s">
        <v>115</v>
      </c>
      <c r="G87" s="228" t="s">
        <v>674</v>
      </c>
      <c r="H87" s="372" t="s">
        <v>112</v>
      </c>
      <c r="I87" s="375"/>
      <c r="J87" s="461">
        <v>2020016003</v>
      </c>
      <c r="K87" s="462">
        <v>43801</v>
      </c>
      <c r="L87" s="212"/>
      <c r="M87" s="212" t="s">
        <v>675</v>
      </c>
      <c r="N87" s="375"/>
    </row>
    <row r="88" spans="1:14" s="28" customFormat="1">
      <c r="A88" s="457">
        <v>1647</v>
      </c>
      <c r="B88" s="212" t="s">
        <v>1332</v>
      </c>
      <c r="C88" s="377" t="s">
        <v>781</v>
      </c>
      <c r="D88" s="212">
        <v>2903999090</v>
      </c>
      <c r="E88" s="212" t="s">
        <v>545</v>
      </c>
      <c r="F88" s="212" t="s">
        <v>1403</v>
      </c>
      <c r="G88" s="228" t="s">
        <v>540</v>
      </c>
      <c r="H88" s="372" t="s">
        <v>112</v>
      </c>
      <c r="I88" s="375"/>
      <c r="J88" s="461">
        <v>2020015847</v>
      </c>
      <c r="K88" s="462">
        <v>43801</v>
      </c>
      <c r="L88" s="212"/>
      <c r="M88" s="212" t="s">
        <v>782</v>
      </c>
      <c r="N88" s="375"/>
    </row>
    <row r="89" spans="1:14">
      <c r="A89" s="457">
        <v>1648</v>
      </c>
      <c r="B89" s="212" t="s">
        <v>1333</v>
      </c>
      <c r="C89" s="377" t="s">
        <v>694</v>
      </c>
      <c r="D89" s="212">
        <v>2914790090</v>
      </c>
      <c r="E89" s="212" t="s">
        <v>688</v>
      </c>
      <c r="F89" s="212" t="s">
        <v>1428</v>
      </c>
      <c r="G89" s="228" t="s">
        <v>695</v>
      </c>
      <c r="H89" s="372" t="s">
        <v>112</v>
      </c>
      <c r="I89" s="375"/>
      <c r="J89" s="461">
        <v>2020016028</v>
      </c>
      <c r="K89" s="462">
        <v>43801</v>
      </c>
      <c r="L89" s="212" t="s">
        <v>1386</v>
      </c>
      <c r="M89" s="212" t="s">
        <v>696</v>
      </c>
      <c r="N89" s="375"/>
    </row>
    <row r="90" spans="1:14">
      <c r="A90" s="457">
        <v>1650</v>
      </c>
      <c r="B90" s="212" t="s">
        <v>1334</v>
      </c>
      <c r="C90" s="377" t="s">
        <v>751</v>
      </c>
      <c r="D90" s="212">
        <v>2916399090</v>
      </c>
      <c r="E90" s="212" t="s">
        <v>542</v>
      </c>
      <c r="F90" s="212" t="s">
        <v>115</v>
      </c>
      <c r="G90" s="228" t="s">
        <v>555</v>
      </c>
      <c r="H90" s="372" t="s">
        <v>112</v>
      </c>
      <c r="I90" s="375"/>
      <c r="J90" s="461">
        <v>2020015863</v>
      </c>
      <c r="K90" s="462">
        <v>43801</v>
      </c>
      <c r="L90" s="212" t="s">
        <v>1467</v>
      </c>
      <c r="M90" s="212" t="s">
        <v>752</v>
      </c>
      <c r="N90" s="375"/>
    </row>
    <row r="91" spans="1:14">
      <c r="A91" s="457">
        <v>1651</v>
      </c>
      <c r="B91" s="212" t="s">
        <v>1335</v>
      </c>
      <c r="C91" s="377" t="s">
        <v>753</v>
      </c>
      <c r="D91" s="212">
        <v>2916399090</v>
      </c>
      <c r="E91" s="212" t="s">
        <v>542</v>
      </c>
      <c r="F91" s="212" t="s">
        <v>115</v>
      </c>
      <c r="G91" s="228" t="s">
        <v>555</v>
      </c>
      <c r="H91" s="372" t="s">
        <v>112</v>
      </c>
      <c r="I91" s="375"/>
      <c r="J91" s="461">
        <v>2020015964</v>
      </c>
      <c r="K91" s="462">
        <v>43801</v>
      </c>
      <c r="L91" s="212" t="s">
        <v>1467</v>
      </c>
      <c r="M91" s="212" t="s">
        <v>754</v>
      </c>
      <c r="N91" s="375"/>
    </row>
    <row r="92" spans="1:14">
      <c r="A92" s="457">
        <v>1653</v>
      </c>
      <c r="B92" s="212" t="s">
        <v>1336</v>
      </c>
      <c r="C92" s="377" t="s">
        <v>676</v>
      </c>
      <c r="D92" s="212">
        <v>2916399090</v>
      </c>
      <c r="E92" s="212" t="s">
        <v>542</v>
      </c>
      <c r="F92" s="212" t="s">
        <v>1426</v>
      </c>
      <c r="G92" s="228" t="s">
        <v>677</v>
      </c>
      <c r="H92" s="372" t="s">
        <v>112</v>
      </c>
      <c r="I92" s="375"/>
      <c r="J92" s="461">
        <v>2020015938</v>
      </c>
      <c r="K92" s="462">
        <v>43801</v>
      </c>
      <c r="L92" s="212" t="s">
        <v>1471</v>
      </c>
      <c r="M92" s="212" t="s">
        <v>678</v>
      </c>
      <c r="N92" s="375"/>
    </row>
    <row r="93" spans="1:14">
      <c r="A93" s="457">
        <v>1655</v>
      </c>
      <c r="B93" s="212" t="s">
        <v>1337</v>
      </c>
      <c r="C93" s="377" t="s">
        <v>1372</v>
      </c>
      <c r="D93" s="212">
        <v>2922199090</v>
      </c>
      <c r="E93" s="212" t="s">
        <v>667</v>
      </c>
      <c r="F93" s="212" t="s">
        <v>1429</v>
      </c>
      <c r="G93" s="228" t="s">
        <v>539</v>
      </c>
      <c r="H93" s="372" t="s">
        <v>112</v>
      </c>
      <c r="I93" s="375"/>
      <c r="J93" s="461">
        <v>2020016047</v>
      </c>
      <c r="K93" s="462">
        <v>43801</v>
      </c>
      <c r="L93" s="212" t="s">
        <v>1383</v>
      </c>
      <c r="M93" s="212" t="s">
        <v>1444</v>
      </c>
      <c r="N93" s="375"/>
    </row>
    <row r="94" spans="1:14">
      <c r="A94" s="457">
        <v>1657</v>
      </c>
      <c r="B94" s="212" t="s">
        <v>1338</v>
      </c>
      <c r="C94" s="377" t="s">
        <v>1373</v>
      </c>
      <c r="D94" s="212">
        <v>2903999090</v>
      </c>
      <c r="E94" s="212" t="s">
        <v>545</v>
      </c>
      <c r="F94" s="212" t="s">
        <v>1430</v>
      </c>
      <c r="G94" s="228" t="s">
        <v>485</v>
      </c>
      <c r="H94" s="372" t="s">
        <v>112</v>
      </c>
      <c r="I94" s="375"/>
      <c r="J94" s="461">
        <v>2020016052</v>
      </c>
      <c r="K94" s="462">
        <v>43801</v>
      </c>
      <c r="L94" s="212"/>
      <c r="M94" s="212" t="s">
        <v>1445</v>
      </c>
      <c r="N94" s="375"/>
    </row>
    <row r="95" spans="1:14">
      <c r="A95" s="457">
        <v>1660</v>
      </c>
      <c r="B95" s="212" t="s">
        <v>1339</v>
      </c>
      <c r="C95" s="377" t="s">
        <v>1222</v>
      </c>
      <c r="D95" s="212">
        <v>2914790090</v>
      </c>
      <c r="E95" s="212" t="s">
        <v>688</v>
      </c>
      <c r="F95" s="212" t="s">
        <v>1431</v>
      </c>
      <c r="G95" s="228" t="s">
        <v>1223</v>
      </c>
      <c r="H95" s="372" t="s">
        <v>112</v>
      </c>
      <c r="I95" s="375"/>
      <c r="J95" s="461">
        <v>2020379530</v>
      </c>
      <c r="K95" s="462">
        <v>43823</v>
      </c>
      <c r="L95" s="212" t="s">
        <v>1386</v>
      </c>
      <c r="M95" s="212" t="s">
        <v>1446</v>
      </c>
      <c r="N95" s="375"/>
    </row>
    <row r="96" spans="1:14">
      <c r="A96" s="457" t="s">
        <v>450</v>
      </c>
      <c r="B96" s="212" t="s">
        <v>426</v>
      </c>
      <c r="C96" s="213" t="s">
        <v>450</v>
      </c>
      <c r="D96" s="212"/>
      <c r="F96" s="212" t="s">
        <v>1432</v>
      </c>
      <c r="G96" s="228" t="s">
        <v>532</v>
      </c>
      <c r="H96" s="372" t="s">
        <v>112</v>
      </c>
      <c r="I96" s="375"/>
      <c r="J96" s="461">
        <v>2020015829</v>
      </c>
      <c r="K96" s="462">
        <v>43801</v>
      </c>
      <c r="L96" s="212"/>
      <c r="M96" s="212"/>
      <c r="N96" s="375"/>
    </row>
    <row r="97" spans="1:14">
      <c r="A97" s="457" t="s">
        <v>1264</v>
      </c>
      <c r="B97" s="212" t="s">
        <v>1340</v>
      </c>
      <c r="C97" s="213" t="s">
        <v>1374</v>
      </c>
      <c r="D97" s="211"/>
      <c r="F97" s="212" t="s">
        <v>1433</v>
      </c>
      <c r="G97" s="228" t="s">
        <v>532</v>
      </c>
      <c r="H97" s="372" t="s">
        <v>112</v>
      </c>
      <c r="I97" s="375"/>
      <c r="J97" s="461">
        <v>2020015826</v>
      </c>
      <c r="K97" s="462">
        <v>43801</v>
      </c>
      <c r="L97" s="212"/>
      <c r="M97" s="212"/>
      <c r="N97" s="375"/>
    </row>
    <row r="98" spans="1:14">
      <c r="L98" s="11"/>
    </row>
  </sheetData>
  <phoneticPr fontId="1" type="noConversion"/>
  <conditionalFormatting sqref="O1:O2 O5:O20 O4:P4">
    <cfRule type="expression" dxfId="302" priority="12">
      <formula>$H$11&lt;1</formula>
    </cfRule>
  </conditionalFormatting>
  <conditionalFormatting sqref="L1:N1 M2:N2 N5:N19">
    <cfRule type="expression" dxfId="301" priority="6">
      <formula>$H$11&lt;1</formula>
    </cfRule>
  </conditionalFormatting>
  <conditionalFormatting sqref="C94">
    <cfRule type="duplicateValues" dxfId="300" priority="1"/>
  </conditionalFormatting>
  <pageMargins left="0.7" right="0.7" top="0.75" bottom="0.75" header="0.3" footer="0.3"/>
  <pageSetup paperSize="9" orientation="landscape"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CG73"/>
  <sheetViews>
    <sheetView workbookViewId="0">
      <selection activeCell="C36" sqref="C36"/>
    </sheetView>
  </sheetViews>
  <sheetFormatPr defaultRowHeight="14.25"/>
  <cols>
    <col min="1" max="1" width="9" style="183"/>
    <col min="2" max="2" width="6.75" style="183" customWidth="1"/>
    <col min="3" max="3" width="5.25" style="183" customWidth="1"/>
    <col min="4" max="4" width="6.125" style="183" customWidth="1"/>
    <col min="5" max="5" width="6" style="183" customWidth="1"/>
    <col min="6" max="6" width="15.375" style="183" customWidth="1"/>
    <col min="7" max="7" width="4.75" style="183" customWidth="1"/>
    <col min="8" max="10" width="6" style="183" customWidth="1"/>
    <col min="11" max="11" width="4.5" style="183" customWidth="1"/>
    <col min="12" max="12" width="5.875" style="183" customWidth="1"/>
    <col min="13" max="13" width="5.625" style="183" customWidth="1"/>
    <col min="14" max="14" width="4.625" style="183" customWidth="1"/>
    <col min="15" max="15" width="4.5" style="183" customWidth="1"/>
    <col min="16" max="17" width="4.625" style="183" customWidth="1"/>
    <col min="18" max="18" width="9" style="183"/>
    <col min="19" max="19" width="9" style="343"/>
    <col min="20" max="21" width="9" style="183"/>
    <col min="22" max="22" width="4.375" style="183" customWidth="1"/>
    <col min="23" max="23" width="4" style="183" customWidth="1"/>
    <col min="24" max="24" width="3.875" style="183" customWidth="1"/>
    <col min="25" max="25" width="5.125" style="183" customWidth="1"/>
    <col min="26" max="26" width="7" style="183" customWidth="1"/>
    <col min="27" max="27" width="15.625" style="183" customWidth="1"/>
    <col min="28" max="16384" width="9" style="183"/>
  </cols>
  <sheetData>
    <row r="1" spans="1:85" s="28" customFormat="1" ht="18" customHeight="1">
      <c r="A1" s="226" t="s">
        <v>1228</v>
      </c>
      <c r="B1" s="226" t="s">
        <v>367</v>
      </c>
      <c r="C1" s="226" t="s">
        <v>1229</v>
      </c>
      <c r="D1" s="341" t="s">
        <v>366</v>
      </c>
      <c r="E1" s="435" t="s">
        <v>1230</v>
      </c>
      <c r="F1" s="226" t="s">
        <v>1231</v>
      </c>
      <c r="G1" s="226" t="s">
        <v>1232</v>
      </c>
      <c r="H1" s="226" t="s">
        <v>1233</v>
      </c>
      <c r="I1" s="226" t="s">
        <v>1234</v>
      </c>
      <c r="J1" s="226" t="s">
        <v>1235</v>
      </c>
      <c r="K1" s="226" t="s">
        <v>1236</v>
      </c>
      <c r="L1" s="226" t="s">
        <v>1237</v>
      </c>
      <c r="M1" s="226" t="s">
        <v>1238</v>
      </c>
      <c r="N1" s="226" t="s">
        <v>1239</v>
      </c>
      <c r="O1" s="226" t="s">
        <v>1240</v>
      </c>
      <c r="P1" s="226" t="s">
        <v>365</v>
      </c>
      <c r="Q1" s="226" t="s">
        <v>1241</v>
      </c>
      <c r="R1" s="226" t="s">
        <v>364</v>
      </c>
      <c r="S1" s="343" t="s">
        <v>1242</v>
      </c>
      <c r="T1" s="236" t="s">
        <v>363</v>
      </c>
      <c r="U1" s="237" t="s">
        <v>332</v>
      </c>
      <c r="V1" s="238" t="s">
        <v>360</v>
      </c>
      <c r="W1" s="238" t="s">
        <v>362</v>
      </c>
      <c r="X1" s="239" t="s">
        <v>361</v>
      </c>
      <c r="Y1" s="436" t="s">
        <v>359</v>
      </c>
      <c r="Z1" s="436" t="s">
        <v>358</v>
      </c>
      <c r="AA1" s="436" t="s">
        <v>107</v>
      </c>
      <c r="AB1" s="436" t="s">
        <v>357</v>
      </c>
      <c r="AC1" s="226" t="s">
        <v>356</v>
      </c>
      <c r="AD1" s="240" t="s">
        <v>355</v>
      </c>
      <c r="AE1" s="241" t="s">
        <v>354</v>
      </c>
      <c r="AF1" s="226" t="s">
        <v>330</v>
      </c>
      <c r="AG1" s="226" t="s">
        <v>323</v>
      </c>
      <c r="AH1" s="242" t="s">
        <v>353</v>
      </c>
      <c r="AI1" s="226" t="s">
        <v>352</v>
      </c>
      <c r="AJ1" s="226" t="s">
        <v>351</v>
      </c>
      <c r="AK1" s="226" t="s">
        <v>350</v>
      </c>
      <c r="AL1" s="226" t="s">
        <v>349</v>
      </c>
      <c r="AM1" s="226" t="s">
        <v>1243</v>
      </c>
      <c r="AN1" s="226" t="s">
        <v>1244</v>
      </c>
      <c r="AO1" s="226" t="s">
        <v>348</v>
      </c>
      <c r="AP1" s="242" t="s">
        <v>1245</v>
      </c>
      <c r="AQ1" s="226" t="s">
        <v>347</v>
      </c>
      <c r="AR1" s="226" t="s">
        <v>511</v>
      </c>
      <c r="AS1" s="226" t="s">
        <v>346</v>
      </c>
      <c r="AT1" s="226" t="s">
        <v>345</v>
      </c>
      <c r="AU1" s="226" t="s">
        <v>344</v>
      </c>
      <c r="AV1" s="226" t="s">
        <v>343</v>
      </c>
      <c r="AW1" s="226" t="s">
        <v>342</v>
      </c>
      <c r="AX1" s="226" t="s">
        <v>341</v>
      </c>
      <c r="AY1" s="226" t="s">
        <v>340</v>
      </c>
      <c r="AZ1" s="236" t="s">
        <v>339</v>
      </c>
      <c r="BA1" s="236" t="s">
        <v>338</v>
      </c>
      <c r="BB1" s="236" t="s">
        <v>337</v>
      </c>
      <c r="BC1" s="243" t="s">
        <v>336</v>
      </c>
      <c r="BD1" s="236" t="s">
        <v>335</v>
      </c>
      <c r="BE1" s="244" t="s">
        <v>334</v>
      </c>
      <c r="BF1" s="236" t="s">
        <v>1246</v>
      </c>
      <c r="BG1" s="236" t="s">
        <v>333</v>
      </c>
      <c r="BH1" s="236" t="s">
        <v>1247</v>
      </c>
      <c r="BI1" s="236" t="s">
        <v>1248</v>
      </c>
      <c r="BJ1" s="236" t="s">
        <v>1249</v>
      </c>
      <c r="BK1" s="236" t="s">
        <v>1250</v>
      </c>
      <c r="BL1" s="236" t="s">
        <v>1251</v>
      </c>
      <c r="BM1" s="236" t="s">
        <v>1252</v>
      </c>
      <c r="BN1" s="236" t="s">
        <v>1253</v>
      </c>
      <c r="BO1" s="236" t="s">
        <v>1254</v>
      </c>
      <c r="BP1" s="236" t="s">
        <v>1255</v>
      </c>
      <c r="BQ1" s="236" t="s">
        <v>1256</v>
      </c>
      <c r="BR1" s="28" t="s">
        <v>1257</v>
      </c>
      <c r="BS1" s="28" t="s">
        <v>623</v>
      </c>
      <c r="BT1" s="28" t="s">
        <v>624</v>
      </c>
      <c r="BU1" s="28" t="s">
        <v>1258</v>
      </c>
      <c r="BV1" s="28" t="s">
        <v>1259</v>
      </c>
      <c r="BW1" s="236" t="s">
        <v>1260</v>
      </c>
      <c r="BX1" s="236" t="s">
        <v>512</v>
      </c>
      <c r="BY1" s="236" t="s">
        <v>1261</v>
      </c>
      <c r="BZ1" s="236" t="s">
        <v>1262</v>
      </c>
      <c r="CA1" s="342" t="s">
        <v>1263</v>
      </c>
      <c r="CB1" s="237" t="s">
        <v>332</v>
      </c>
    </row>
    <row r="2" spans="1:85" s="17" customFormat="1" ht="15">
      <c r="A2" s="298">
        <v>1660</v>
      </c>
      <c r="B2" s="17" t="s">
        <v>1539</v>
      </c>
      <c r="C2" s="17" t="s">
        <v>1212</v>
      </c>
      <c r="D2" s="17" t="s">
        <v>1509</v>
      </c>
      <c r="E2" s="17" t="s">
        <v>1510</v>
      </c>
      <c r="F2" s="17" t="s">
        <v>1811</v>
      </c>
      <c r="G2" s="17" t="s">
        <v>1195</v>
      </c>
      <c r="H2" s="17" t="s">
        <v>1540</v>
      </c>
      <c r="I2" s="17" t="s">
        <v>1541</v>
      </c>
      <c r="J2" s="17">
        <v>25</v>
      </c>
      <c r="K2" s="17">
        <v>1</v>
      </c>
      <c r="L2" s="17">
        <v>1</v>
      </c>
      <c r="M2" s="17">
        <v>25</v>
      </c>
      <c r="N2" s="17" t="s">
        <v>1428</v>
      </c>
      <c r="O2" s="17" t="s">
        <v>1542</v>
      </c>
      <c r="P2" s="17" t="s">
        <v>1543</v>
      </c>
      <c r="Q2" s="17" t="s">
        <v>1198</v>
      </c>
      <c r="R2" s="17" t="s">
        <v>1196</v>
      </c>
      <c r="S2" s="343" t="s">
        <v>1544</v>
      </c>
      <c r="T2" s="17">
        <v>21.7</v>
      </c>
      <c r="U2" s="17">
        <v>21.7</v>
      </c>
      <c r="Y2" s="17">
        <v>6</v>
      </c>
      <c r="Z2" s="17">
        <v>2</v>
      </c>
      <c r="AA2" s="17" t="s">
        <v>1545</v>
      </c>
      <c r="AB2" s="17" t="s">
        <v>1544</v>
      </c>
      <c r="AC2" s="17" t="s">
        <v>1546</v>
      </c>
      <c r="AD2" s="17" t="s">
        <v>1495</v>
      </c>
      <c r="AE2" s="17" t="s">
        <v>1495</v>
      </c>
      <c r="AF2" s="17" t="s">
        <v>1547</v>
      </c>
      <c r="AG2" s="17" t="s">
        <v>1548</v>
      </c>
      <c r="AH2" s="17" t="s">
        <v>1528</v>
      </c>
      <c r="AI2" s="17" t="s">
        <v>1208</v>
      </c>
      <c r="AJ2" s="17" t="s">
        <v>1197</v>
      </c>
      <c r="AK2" s="17" t="s">
        <v>1198</v>
      </c>
      <c r="AL2" s="17" t="s">
        <v>1198</v>
      </c>
      <c r="AM2" s="17" t="s">
        <v>1450</v>
      </c>
      <c r="AN2" s="17" t="s">
        <v>1216</v>
      </c>
      <c r="AO2" s="17" t="s">
        <v>1226</v>
      </c>
      <c r="AP2" s="17" t="s">
        <v>1199</v>
      </c>
      <c r="AQ2" s="17" t="s">
        <v>1198</v>
      </c>
      <c r="AR2" s="17" t="s">
        <v>1200</v>
      </c>
      <c r="AS2" s="17" t="s">
        <v>1549</v>
      </c>
      <c r="AT2" s="17" t="s">
        <v>1198</v>
      </c>
      <c r="AU2" s="17" t="s">
        <v>1211</v>
      </c>
      <c r="AV2" s="17" t="s">
        <v>1213</v>
      </c>
      <c r="AW2" s="17" t="s">
        <v>1472</v>
      </c>
      <c r="AX2" s="17" t="s">
        <v>1550</v>
      </c>
      <c r="AY2" s="17" t="s">
        <v>1551</v>
      </c>
      <c r="AZ2" s="17" t="s">
        <v>1464</v>
      </c>
      <c r="BA2" s="17" t="s">
        <v>1196</v>
      </c>
      <c r="BB2" s="17" t="s">
        <v>1452</v>
      </c>
      <c r="BC2" s="17" t="s">
        <v>1201</v>
      </c>
      <c r="BD2" s="17" t="s">
        <v>1202</v>
      </c>
      <c r="BE2" s="17" t="s">
        <v>1552</v>
      </c>
      <c r="BF2" s="17" t="s">
        <v>1198</v>
      </c>
      <c r="BG2" s="17" t="s">
        <v>1198</v>
      </c>
      <c r="BH2" s="17" t="s">
        <v>1198</v>
      </c>
      <c r="BI2" s="17" t="s">
        <v>1198</v>
      </c>
      <c r="BJ2" s="17" t="s">
        <v>1553</v>
      </c>
      <c r="BK2" s="17" t="s">
        <v>1198</v>
      </c>
      <c r="BL2" s="17" t="s">
        <v>1202</v>
      </c>
      <c r="BM2" s="17" t="s">
        <v>1554</v>
      </c>
      <c r="BN2" s="17" t="s">
        <v>1555</v>
      </c>
      <c r="BO2" s="17" t="s">
        <v>1452</v>
      </c>
      <c r="BP2" s="17" t="s">
        <v>1452</v>
      </c>
      <c r="BQ2" s="17" t="s">
        <v>1556</v>
      </c>
      <c r="BR2" s="17" t="s">
        <v>1465</v>
      </c>
      <c r="BS2" s="17" t="s">
        <v>1465</v>
      </c>
      <c r="BT2" s="17" t="s">
        <v>1205</v>
      </c>
      <c r="BU2" s="17" t="s">
        <v>1203</v>
      </c>
      <c r="BV2" s="17" t="s">
        <v>1204</v>
      </c>
      <c r="BW2" s="17" t="s">
        <v>1557</v>
      </c>
      <c r="BX2" s="17" t="s">
        <v>1558</v>
      </c>
      <c r="BY2" s="17" t="s">
        <v>1559</v>
      </c>
      <c r="BZ2" s="17" t="s">
        <v>1560</v>
      </c>
    </row>
    <row r="3" spans="1:85" s="17" customFormat="1" ht="15">
      <c r="A3" s="298">
        <v>1655</v>
      </c>
      <c r="B3" s="17" t="s">
        <v>1539</v>
      </c>
      <c r="C3" s="17" t="s">
        <v>1212</v>
      </c>
      <c r="D3" s="17" t="s">
        <v>1509</v>
      </c>
      <c r="F3" s="17" t="s">
        <v>1811</v>
      </c>
      <c r="G3" s="17" t="s">
        <v>1195</v>
      </c>
      <c r="H3" s="17" t="s">
        <v>1561</v>
      </c>
      <c r="I3" s="17" t="s">
        <v>1562</v>
      </c>
      <c r="J3" s="17">
        <v>25</v>
      </c>
      <c r="K3" s="17">
        <v>1</v>
      </c>
      <c r="L3" s="17">
        <v>25</v>
      </c>
      <c r="M3" s="17">
        <v>25</v>
      </c>
      <c r="N3" s="17" t="s">
        <v>1429</v>
      </c>
      <c r="O3" s="17" t="s">
        <v>1563</v>
      </c>
      <c r="P3" s="17" t="s">
        <v>1564</v>
      </c>
      <c r="Q3" s="17" t="s">
        <v>1198</v>
      </c>
      <c r="R3" s="17" t="s">
        <v>1196</v>
      </c>
      <c r="S3" s="343" t="s">
        <v>1544</v>
      </c>
      <c r="T3" s="17">
        <v>9.8000000000000007</v>
      </c>
      <c r="U3" s="17">
        <v>9.8000000000000007</v>
      </c>
      <c r="AC3" s="17" t="s">
        <v>1546</v>
      </c>
      <c r="AD3" s="17" t="s">
        <v>1495</v>
      </c>
      <c r="AE3" s="17" t="s">
        <v>1495</v>
      </c>
      <c r="AF3" s="17" t="s">
        <v>1565</v>
      </c>
      <c r="AG3" s="17" t="s">
        <v>1566</v>
      </c>
      <c r="AH3" s="17" t="s">
        <v>1567</v>
      </c>
      <c r="AI3" s="17" t="s">
        <v>1449</v>
      </c>
      <c r="AJ3" s="17" t="s">
        <v>1197</v>
      </c>
      <c r="AK3" s="17" t="s">
        <v>1198</v>
      </c>
      <c r="AL3" s="17" t="s">
        <v>1198</v>
      </c>
      <c r="AM3" s="17" t="s">
        <v>1568</v>
      </c>
      <c r="AN3" s="17" t="s">
        <v>1569</v>
      </c>
      <c r="AO3" s="17" t="s">
        <v>1453</v>
      </c>
      <c r="AP3" s="17" t="s">
        <v>1199</v>
      </c>
      <c r="AQ3" s="17" t="s">
        <v>1198</v>
      </c>
      <c r="AR3" s="17" t="s">
        <v>1200</v>
      </c>
      <c r="AS3" s="17" t="s">
        <v>1570</v>
      </c>
      <c r="AT3" s="17" t="s">
        <v>1198</v>
      </c>
      <c r="AU3" s="17" t="s">
        <v>1211</v>
      </c>
      <c r="AV3" s="17" t="s">
        <v>1213</v>
      </c>
      <c r="AW3" s="17" t="s">
        <v>1472</v>
      </c>
      <c r="AX3" s="17" t="s">
        <v>1550</v>
      </c>
      <c r="AY3" s="17" t="s">
        <v>1571</v>
      </c>
      <c r="AZ3" s="17" t="s">
        <v>1464</v>
      </c>
      <c r="BA3" s="17" t="s">
        <v>1196</v>
      </c>
      <c r="BB3" s="17" t="s">
        <v>1572</v>
      </c>
      <c r="BC3" s="17" t="s">
        <v>1201</v>
      </c>
      <c r="BD3" s="17" t="s">
        <v>1202</v>
      </c>
      <c r="BE3" s="17" t="s">
        <v>1573</v>
      </c>
      <c r="BF3" s="17" t="s">
        <v>1198</v>
      </c>
      <c r="BG3" s="17" t="s">
        <v>1198</v>
      </c>
      <c r="BH3" s="17" t="s">
        <v>1198</v>
      </c>
      <c r="BI3" s="17" t="s">
        <v>1198</v>
      </c>
      <c r="BJ3" s="17" t="s">
        <v>1574</v>
      </c>
      <c r="BK3" s="17" t="s">
        <v>1198</v>
      </c>
      <c r="BL3" s="17" t="s">
        <v>1202</v>
      </c>
      <c r="BM3" s="17" t="s">
        <v>1508</v>
      </c>
      <c r="BN3" s="17" t="s">
        <v>1575</v>
      </c>
      <c r="BO3" s="17" t="s">
        <v>1572</v>
      </c>
      <c r="BP3" s="17" t="s">
        <v>1572</v>
      </c>
      <c r="BQ3" s="17" t="s">
        <v>1576</v>
      </c>
      <c r="BR3" s="17" t="s">
        <v>1577</v>
      </c>
      <c r="BS3" s="17" t="s">
        <v>1460</v>
      </c>
      <c r="BT3" s="17" t="s">
        <v>1205</v>
      </c>
      <c r="BU3" s="17" t="s">
        <v>1203</v>
      </c>
      <c r="BV3" s="17" t="s">
        <v>1204</v>
      </c>
      <c r="BW3" s="17" t="s">
        <v>1578</v>
      </c>
      <c r="BX3" s="17" t="s">
        <v>1579</v>
      </c>
      <c r="BY3" s="17" t="s">
        <v>1580</v>
      </c>
      <c r="BZ3" s="17" t="s">
        <v>1581</v>
      </c>
    </row>
    <row r="4" spans="1:85" s="17" customFormat="1" ht="15">
      <c r="A4" s="298">
        <v>1647</v>
      </c>
      <c r="B4" s="17" t="s">
        <v>1539</v>
      </c>
      <c r="C4" s="17" t="s">
        <v>1212</v>
      </c>
      <c r="D4" s="17" t="s">
        <v>1509</v>
      </c>
      <c r="F4" s="17" t="s">
        <v>1811</v>
      </c>
      <c r="G4" s="17" t="s">
        <v>1195</v>
      </c>
      <c r="H4" s="17" t="s">
        <v>1582</v>
      </c>
      <c r="I4" s="17" t="s">
        <v>1583</v>
      </c>
      <c r="J4" s="17">
        <v>100</v>
      </c>
      <c r="K4" s="17">
        <v>1</v>
      </c>
      <c r="L4" s="17">
        <v>1</v>
      </c>
      <c r="M4" s="17">
        <v>100</v>
      </c>
      <c r="N4" s="17" t="s">
        <v>1403</v>
      </c>
      <c r="O4" s="17" t="s">
        <v>1403</v>
      </c>
      <c r="P4" s="17" t="s">
        <v>1584</v>
      </c>
      <c r="Q4" s="17" t="s">
        <v>1198</v>
      </c>
      <c r="R4" s="17" t="s">
        <v>1196</v>
      </c>
      <c r="S4" s="343" t="s">
        <v>1544</v>
      </c>
      <c r="T4" s="17">
        <v>39.200000000000003</v>
      </c>
      <c r="U4" s="17">
        <v>39.200000000000003</v>
      </c>
      <c r="AC4" s="17" t="s">
        <v>1546</v>
      </c>
      <c r="AD4" s="17" t="s">
        <v>1495</v>
      </c>
      <c r="AE4" s="17" t="s">
        <v>1495</v>
      </c>
      <c r="AF4" s="17" t="s">
        <v>1585</v>
      </c>
      <c r="AG4" s="17" t="s">
        <v>1586</v>
      </c>
      <c r="AH4" s="17" t="s">
        <v>1587</v>
      </c>
      <c r="AI4" s="17" t="s">
        <v>1208</v>
      </c>
      <c r="AJ4" s="17" t="s">
        <v>1197</v>
      </c>
      <c r="AK4" s="17" t="s">
        <v>1198</v>
      </c>
      <c r="AL4" s="17" t="s">
        <v>1198</v>
      </c>
      <c r="AM4" s="17" t="s">
        <v>1588</v>
      </c>
      <c r="AN4" s="17" t="s">
        <v>1569</v>
      </c>
      <c r="AO4" s="17" t="s">
        <v>1453</v>
      </c>
      <c r="AP4" s="17" t="s">
        <v>1199</v>
      </c>
      <c r="AQ4" s="17" t="s">
        <v>1198</v>
      </c>
      <c r="AR4" s="17" t="s">
        <v>1200</v>
      </c>
      <c r="AS4" s="17" t="s">
        <v>1589</v>
      </c>
      <c r="AT4" s="17" t="s">
        <v>1198</v>
      </c>
      <c r="AU4" s="17" t="s">
        <v>1211</v>
      </c>
      <c r="AV4" s="17" t="s">
        <v>1213</v>
      </c>
      <c r="AW4" s="17" t="s">
        <v>1472</v>
      </c>
      <c r="AX4" s="17" t="s">
        <v>1550</v>
      </c>
      <c r="AY4" s="17" t="s">
        <v>1590</v>
      </c>
      <c r="AZ4" s="17" t="s">
        <v>1464</v>
      </c>
      <c r="BA4" s="17" t="s">
        <v>1196</v>
      </c>
      <c r="BB4" s="17" t="s">
        <v>1217</v>
      </c>
      <c r="BC4" s="17" t="s">
        <v>1201</v>
      </c>
      <c r="BD4" s="17" t="s">
        <v>1202</v>
      </c>
      <c r="BE4" s="17" t="s">
        <v>1591</v>
      </c>
      <c r="BF4" s="17" t="s">
        <v>1198</v>
      </c>
      <c r="BG4" s="17" t="s">
        <v>1198</v>
      </c>
      <c r="BH4" s="17" t="s">
        <v>1198</v>
      </c>
      <c r="BI4" s="17" t="s">
        <v>1198</v>
      </c>
      <c r="BJ4" s="17" t="s">
        <v>1592</v>
      </c>
      <c r="BK4" s="17" t="s">
        <v>1198</v>
      </c>
      <c r="BL4" s="17" t="s">
        <v>1202</v>
      </c>
      <c r="BM4" s="17" t="s">
        <v>1593</v>
      </c>
      <c r="BN4" s="17" t="s">
        <v>1594</v>
      </c>
      <c r="BO4" s="17" t="s">
        <v>1217</v>
      </c>
      <c r="BP4" s="17" t="s">
        <v>1217</v>
      </c>
      <c r="BQ4" s="17" t="s">
        <v>1595</v>
      </c>
      <c r="BR4" s="17" t="s">
        <v>1531</v>
      </c>
      <c r="BS4" s="17" t="s">
        <v>1474</v>
      </c>
      <c r="BT4" s="17" t="s">
        <v>1205</v>
      </c>
      <c r="BU4" s="17" t="s">
        <v>1203</v>
      </c>
      <c r="BV4" s="17" t="s">
        <v>1204</v>
      </c>
      <c r="BW4" s="17" t="s">
        <v>1596</v>
      </c>
      <c r="BX4" s="17" t="s">
        <v>1597</v>
      </c>
      <c r="BY4" s="17" t="s">
        <v>1598</v>
      </c>
      <c r="BZ4" s="17" t="s">
        <v>1599</v>
      </c>
    </row>
    <row r="5" spans="1:85" s="17" customFormat="1" ht="15">
      <c r="A5" s="298">
        <v>1636</v>
      </c>
      <c r="B5" s="17" t="s">
        <v>1539</v>
      </c>
      <c r="C5" s="17" t="s">
        <v>1212</v>
      </c>
      <c r="D5" s="17" t="s">
        <v>1509</v>
      </c>
      <c r="F5" s="17" t="s">
        <v>1811</v>
      </c>
      <c r="G5" s="17" t="s">
        <v>1195</v>
      </c>
      <c r="H5" s="17" t="s">
        <v>1600</v>
      </c>
      <c r="I5" s="17" t="s">
        <v>1601</v>
      </c>
      <c r="J5" s="17">
        <v>25</v>
      </c>
      <c r="K5" s="17">
        <v>1</v>
      </c>
      <c r="L5" s="17">
        <v>25</v>
      </c>
      <c r="M5" s="17">
        <v>25</v>
      </c>
      <c r="N5" s="17" t="s">
        <v>115</v>
      </c>
      <c r="O5" s="17" t="s">
        <v>115</v>
      </c>
      <c r="P5" s="17" t="s">
        <v>1457</v>
      </c>
      <c r="Q5" s="17" t="s">
        <v>1198</v>
      </c>
      <c r="R5" s="17" t="s">
        <v>1196</v>
      </c>
      <c r="S5" s="343" t="s">
        <v>1544</v>
      </c>
      <c r="T5" s="17">
        <v>9.1</v>
      </c>
      <c r="U5" s="17">
        <v>9.1</v>
      </c>
      <c r="AC5" s="17" t="s">
        <v>1546</v>
      </c>
      <c r="AD5" s="17" t="s">
        <v>1495</v>
      </c>
      <c r="AE5" s="17" t="s">
        <v>1495</v>
      </c>
      <c r="AF5" s="17" t="s">
        <v>1602</v>
      </c>
      <c r="AG5" s="17" t="s">
        <v>1603</v>
      </c>
      <c r="AH5" s="17" t="s">
        <v>1604</v>
      </c>
      <c r="AI5" s="17" t="s">
        <v>1208</v>
      </c>
      <c r="AJ5" s="17" t="s">
        <v>1197</v>
      </c>
      <c r="AK5" s="17" t="s">
        <v>1198</v>
      </c>
      <c r="AL5" s="17" t="s">
        <v>1198</v>
      </c>
      <c r="AM5" s="17" t="s">
        <v>1450</v>
      </c>
      <c r="AN5" s="17" t="s">
        <v>1216</v>
      </c>
      <c r="AO5" s="17" t="s">
        <v>1451</v>
      </c>
      <c r="AP5" s="17" t="s">
        <v>1199</v>
      </c>
      <c r="AQ5" s="17" t="s">
        <v>1198</v>
      </c>
      <c r="AR5" s="17" t="s">
        <v>1200</v>
      </c>
      <c r="AS5" s="17" t="s">
        <v>1605</v>
      </c>
      <c r="AT5" s="17" t="s">
        <v>1198</v>
      </c>
      <c r="AU5" s="17" t="s">
        <v>1211</v>
      </c>
      <c r="AV5" s="17" t="s">
        <v>1213</v>
      </c>
      <c r="AW5" s="17" t="s">
        <v>1472</v>
      </c>
      <c r="AX5" s="17" t="s">
        <v>1550</v>
      </c>
      <c r="AY5" s="17" t="s">
        <v>1606</v>
      </c>
      <c r="AZ5" s="17" t="s">
        <v>1464</v>
      </c>
      <c r="BA5" s="17" t="s">
        <v>1196</v>
      </c>
      <c r="BB5" s="17" t="s">
        <v>1456</v>
      </c>
      <c r="BC5" s="17" t="s">
        <v>1201</v>
      </c>
      <c r="BD5" s="17" t="s">
        <v>1202</v>
      </c>
      <c r="BE5" s="17" t="s">
        <v>1607</v>
      </c>
      <c r="BF5" s="17" t="s">
        <v>1198</v>
      </c>
      <c r="BG5" s="17" t="s">
        <v>1198</v>
      </c>
      <c r="BH5" s="17" t="s">
        <v>1198</v>
      </c>
      <c r="BI5" s="17" t="s">
        <v>1198</v>
      </c>
      <c r="BJ5" s="17" t="s">
        <v>1608</v>
      </c>
      <c r="BK5" s="17" t="s">
        <v>1198</v>
      </c>
      <c r="BL5" s="17" t="s">
        <v>1202</v>
      </c>
      <c r="BM5" s="17" t="s">
        <v>1609</v>
      </c>
      <c r="BN5" s="17" t="s">
        <v>1610</v>
      </c>
      <c r="BO5" s="17" t="s">
        <v>1456</v>
      </c>
      <c r="BP5" s="17" t="s">
        <v>1456</v>
      </c>
      <c r="BQ5" s="17" t="s">
        <v>1611</v>
      </c>
      <c r="BR5" s="17" t="s">
        <v>1612</v>
      </c>
      <c r="BS5" s="17" t="s">
        <v>1198</v>
      </c>
      <c r="BT5" s="17" t="s">
        <v>1205</v>
      </c>
      <c r="BU5" s="17" t="s">
        <v>1203</v>
      </c>
      <c r="BV5" s="17" t="s">
        <v>1204</v>
      </c>
      <c r="BW5" s="17" t="s">
        <v>1613</v>
      </c>
      <c r="BX5" s="17" t="s">
        <v>1614</v>
      </c>
      <c r="BY5" s="17" t="s">
        <v>1615</v>
      </c>
      <c r="BZ5" s="17" t="s">
        <v>1616</v>
      </c>
    </row>
    <row r="6" spans="1:85" s="229" customFormat="1" ht="15">
      <c r="A6" s="298">
        <v>1636</v>
      </c>
      <c r="B6" s="229" t="s">
        <v>1617</v>
      </c>
      <c r="C6" s="229" t="s">
        <v>1212</v>
      </c>
      <c r="D6" s="17" t="s">
        <v>1509</v>
      </c>
      <c r="E6" s="299"/>
      <c r="F6" s="17" t="s">
        <v>1811</v>
      </c>
      <c r="G6" s="229" t="s">
        <v>1195</v>
      </c>
      <c r="H6" s="300" t="s">
        <v>1618</v>
      </c>
      <c r="I6" s="229" t="s">
        <v>1619</v>
      </c>
      <c r="J6" s="229">
        <v>25</v>
      </c>
      <c r="K6" s="229">
        <v>4</v>
      </c>
      <c r="L6" s="301">
        <v>100</v>
      </c>
      <c r="M6" s="301">
        <v>25</v>
      </c>
      <c r="N6" s="301" t="s">
        <v>115</v>
      </c>
      <c r="O6" s="17" t="s">
        <v>115</v>
      </c>
      <c r="P6" s="301" t="s">
        <v>1457</v>
      </c>
      <c r="Q6" s="301" t="s">
        <v>1198</v>
      </c>
      <c r="R6" s="229" t="s">
        <v>1196</v>
      </c>
      <c r="S6" s="343" t="s">
        <v>1544</v>
      </c>
      <c r="T6" s="229">
        <v>11.38</v>
      </c>
      <c r="U6" s="229">
        <v>11.38</v>
      </c>
      <c r="AC6" s="229" t="s">
        <v>1546</v>
      </c>
      <c r="AD6" s="301" t="s">
        <v>1495</v>
      </c>
      <c r="AE6" s="301" t="s">
        <v>1495</v>
      </c>
      <c r="AF6" s="302" t="s">
        <v>1620</v>
      </c>
      <c r="AG6" s="301" t="s">
        <v>1621</v>
      </c>
      <c r="AH6" s="301" t="s">
        <v>1622</v>
      </c>
      <c r="AI6" s="301" t="s">
        <v>1449</v>
      </c>
      <c r="AJ6" s="301" t="s">
        <v>1197</v>
      </c>
      <c r="AK6" s="301" t="s">
        <v>1198</v>
      </c>
      <c r="AL6" s="301" t="s">
        <v>1198</v>
      </c>
      <c r="AM6" s="229" t="s">
        <v>1450</v>
      </c>
      <c r="AN6" s="229" t="s">
        <v>1216</v>
      </c>
      <c r="AO6" s="229" t="s">
        <v>1505</v>
      </c>
      <c r="AP6" s="229" t="s">
        <v>1199</v>
      </c>
      <c r="AQ6" s="229" t="s">
        <v>1198</v>
      </c>
      <c r="AR6" s="229" t="s">
        <v>1200</v>
      </c>
      <c r="AS6" s="229" t="s">
        <v>1623</v>
      </c>
      <c r="AT6" s="229" t="s">
        <v>1198</v>
      </c>
      <c r="AU6" s="229" t="s">
        <v>1211</v>
      </c>
      <c r="AV6" s="229" t="s">
        <v>1525</v>
      </c>
      <c r="AW6" s="229" t="s">
        <v>1530</v>
      </c>
      <c r="AX6" s="229" t="s">
        <v>1550</v>
      </c>
      <c r="AY6" s="229" t="s">
        <v>1624</v>
      </c>
      <c r="AZ6" s="229" t="s">
        <v>1464</v>
      </c>
      <c r="BA6" s="229" t="s">
        <v>1196</v>
      </c>
      <c r="BB6" s="229" t="s">
        <v>1534</v>
      </c>
      <c r="BC6" s="229" t="s">
        <v>1201</v>
      </c>
      <c r="BD6" s="229" t="s">
        <v>1202</v>
      </c>
      <c r="BE6" s="229" t="s">
        <v>1625</v>
      </c>
      <c r="BF6" s="229" t="s">
        <v>1198</v>
      </c>
      <c r="BG6" s="229" t="s">
        <v>1198</v>
      </c>
      <c r="BH6" s="229" t="s">
        <v>1198</v>
      </c>
      <c r="BI6" s="229" t="s">
        <v>1198</v>
      </c>
      <c r="BJ6" s="229" t="s">
        <v>1626</v>
      </c>
      <c r="BK6" s="229" t="s">
        <v>1198</v>
      </c>
      <c r="BL6" s="229" t="s">
        <v>1202</v>
      </c>
      <c r="BM6" s="229" t="s">
        <v>1627</v>
      </c>
      <c r="BN6" s="229" t="s">
        <v>1628</v>
      </c>
      <c r="BO6" s="229" t="s">
        <v>1217</v>
      </c>
      <c r="BP6" s="229" t="s">
        <v>1217</v>
      </c>
      <c r="BQ6" s="229" t="s">
        <v>1629</v>
      </c>
      <c r="BR6" s="229" t="s">
        <v>1491</v>
      </c>
      <c r="BS6" s="229" t="s">
        <v>1465</v>
      </c>
      <c r="BT6" s="229" t="s">
        <v>1492</v>
      </c>
      <c r="BU6" s="229" t="s">
        <v>1203</v>
      </c>
      <c r="BV6" s="229" t="s">
        <v>1204</v>
      </c>
      <c r="BW6" s="229" t="s">
        <v>1630</v>
      </c>
      <c r="BX6" s="229" t="s">
        <v>1631</v>
      </c>
      <c r="BY6" s="229" t="s">
        <v>1632</v>
      </c>
      <c r="BZ6" s="229" t="s">
        <v>1633</v>
      </c>
      <c r="CF6" s="17"/>
      <c r="CG6" s="17"/>
    </row>
    <row r="7" spans="1:85" s="17" customFormat="1" ht="15">
      <c r="A7" s="298">
        <v>1636</v>
      </c>
      <c r="B7" s="17" t="s">
        <v>1617</v>
      </c>
      <c r="C7" s="17" t="s">
        <v>1212</v>
      </c>
      <c r="D7" s="17" t="s">
        <v>1509</v>
      </c>
      <c r="F7" s="17" t="s">
        <v>1811</v>
      </c>
      <c r="G7" s="17" t="s">
        <v>1195</v>
      </c>
      <c r="H7" s="17" t="s">
        <v>1618</v>
      </c>
      <c r="I7" s="17" t="s">
        <v>1619</v>
      </c>
      <c r="J7" s="17">
        <v>25</v>
      </c>
      <c r="K7" s="17">
        <v>4</v>
      </c>
      <c r="L7" s="17">
        <v>100</v>
      </c>
      <c r="M7" s="17">
        <v>25</v>
      </c>
      <c r="N7" s="17" t="s">
        <v>115</v>
      </c>
      <c r="O7" s="17" t="s">
        <v>115</v>
      </c>
      <c r="P7" s="17" t="s">
        <v>1457</v>
      </c>
      <c r="Q7" s="17" t="s">
        <v>1198</v>
      </c>
      <c r="R7" s="17" t="s">
        <v>1196</v>
      </c>
      <c r="S7" s="343" t="s">
        <v>1544</v>
      </c>
      <c r="T7" s="17">
        <v>11.38</v>
      </c>
      <c r="U7" s="17">
        <v>11.38</v>
      </c>
      <c r="AC7" s="17" t="s">
        <v>1546</v>
      </c>
      <c r="AD7" s="17" t="s">
        <v>1495</v>
      </c>
      <c r="AE7" s="17" t="s">
        <v>1495</v>
      </c>
      <c r="AF7" s="17" t="s">
        <v>1620</v>
      </c>
      <c r="AG7" s="17" t="s">
        <v>1621</v>
      </c>
      <c r="AH7" s="17" t="s">
        <v>1622</v>
      </c>
      <c r="AI7" s="17" t="s">
        <v>1449</v>
      </c>
      <c r="AJ7" s="17" t="s">
        <v>1197</v>
      </c>
      <c r="AK7" s="17" t="s">
        <v>1198</v>
      </c>
      <c r="AL7" s="17" t="s">
        <v>1198</v>
      </c>
      <c r="AM7" s="17" t="s">
        <v>1450</v>
      </c>
      <c r="AN7" s="17" t="s">
        <v>1216</v>
      </c>
      <c r="AO7" s="17" t="s">
        <v>1505</v>
      </c>
      <c r="AP7" s="17" t="s">
        <v>1199</v>
      </c>
      <c r="AQ7" s="17" t="s">
        <v>1198</v>
      </c>
      <c r="AR7" s="17" t="s">
        <v>1200</v>
      </c>
      <c r="AS7" s="17" t="s">
        <v>1623</v>
      </c>
      <c r="AT7" s="17" t="s">
        <v>1198</v>
      </c>
      <c r="AU7" s="17" t="s">
        <v>1211</v>
      </c>
      <c r="AV7" s="17" t="s">
        <v>1525</v>
      </c>
      <c r="AW7" s="17" t="s">
        <v>1530</v>
      </c>
      <c r="AX7" s="17" t="s">
        <v>1550</v>
      </c>
      <c r="AY7" s="17" t="s">
        <v>1624</v>
      </c>
      <c r="AZ7" s="17" t="s">
        <v>1464</v>
      </c>
      <c r="BA7" s="17" t="s">
        <v>1196</v>
      </c>
      <c r="BB7" s="17" t="s">
        <v>1534</v>
      </c>
      <c r="BC7" s="17" t="s">
        <v>1201</v>
      </c>
      <c r="BD7" s="17" t="s">
        <v>1202</v>
      </c>
      <c r="BE7" s="17" t="s">
        <v>1625</v>
      </c>
      <c r="BF7" s="17" t="s">
        <v>1198</v>
      </c>
      <c r="BG7" s="17" t="s">
        <v>1198</v>
      </c>
      <c r="BH7" s="17" t="s">
        <v>1198</v>
      </c>
      <c r="BI7" s="17" t="s">
        <v>1198</v>
      </c>
      <c r="BJ7" s="17" t="s">
        <v>1626</v>
      </c>
      <c r="BK7" s="17" t="s">
        <v>1198</v>
      </c>
      <c r="BL7" s="17" t="s">
        <v>1202</v>
      </c>
      <c r="BM7" s="17" t="s">
        <v>1627</v>
      </c>
      <c r="BN7" s="17" t="s">
        <v>1628</v>
      </c>
      <c r="BO7" s="17" t="s">
        <v>1217</v>
      </c>
      <c r="BP7" s="17" t="s">
        <v>1217</v>
      </c>
      <c r="BQ7" s="17" t="s">
        <v>1629</v>
      </c>
      <c r="BR7" s="17" t="s">
        <v>1491</v>
      </c>
      <c r="BS7" s="17" t="s">
        <v>1465</v>
      </c>
      <c r="BT7" s="17" t="s">
        <v>1492</v>
      </c>
      <c r="BU7" s="17" t="s">
        <v>1203</v>
      </c>
      <c r="BV7" s="17" t="s">
        <v>1204</v>
      </c>
      <c r="BW7" s="17" t="s">
        <v>1634</v>
      </c>
      <c r="BX7" s="17" t="s">
        <v>1635</v>
      </c>
      <c r="BY7" s="17" t="s">
        <v>1632</v>
      </c>
      <c r="BZ7" s="17" t="s">
        <v>1633</v>
      </c>
    </row>
    <row r="8" spans="1:85" s="17" customFormat="1" ht="15">
      <c r="A8" s="298">
        <v>1636</v>
      </c>
      <c r="B8" s="17" t="s">
        <v>1617</v>
      </c>
      <c r="C8" s="17" t="s">
        <v>1212</v>
      </c>
      <c r="D8" s="17" t="s">
        <v>1509</v>
      </c>
      <c r="F8" s="17" t="s">
        <v>1811</v>
      </c>
      <c r="G8" s="17" t="s">
        <v>1195</v>
      </c>
      <c r="H8" s="17" t="s">
        <v>1618</v>
      </c>
      <c r="I8" s="17" t="s">
        <v>1619</v>
      </c>
      <c r="J8" s="17">
        <v>25</v>
      </c>
      <c r="K8" s="17">
        <v>4</v>
      </c>
      <c r="L8" s="17">
        <v>100</v>
      </c>
      <c r="M8" s="17">
        <v>25</v>
      </c>
      <c r="N8" s="17" t="s">
        <v>115</v>
      </c>
      <c r="O8" s="17" t="s">
        <v>115</v>
      </c>
      <c r="P8" s="17" t="s">
        <v>1457</v>
      </c>
      <c r="Q8" s="17" t="s">
        <v>1198</v>
      </c>
      <c r="R8" s="17" t="s">
        <v>1196</v>
      </c>
      <c r="S8" s="343" t="s">
        <v>1544</v>
      </c>
      <c r="T8" s="17">
        <v>11.38</v>
      </c>
      <c r="U8" s="17">
        <v>11.38</v>
      </c>
      <c r="AC8" s="17" t="s">
        <v>1546</v>
      </c>
      <c r="AD8" s="17" t="s">
        <v>1495</v>
      </c>
      <c r="AE8" s="17" t="s">
        <v>1495</v>
      </c>
      <c r="AF8" s="17" t="s">
        <v>1620</v>
      </c>
      <c r="AG8" s="17" t="s">
        <v>1621</v>
      </c>
      <c r="AH8" s="17" t="s">
        <v>1622</v>
      </c>
      <c r="AI8" s="17" t="s">
        <v>1449</v>
      </c>
      <c r="AJ8" s="17" t="s">
        <v>1197</v>
      </c>
      <c r="AK8" s="17" t="s">
        <v>1198</v>
      </c>
      <c r="AL8" s="17" t="s">
        <v>1198</v>
      </c>
      <c r="AM8" s="17" t="s">
        <v>1450</v>
      </c>
      <c r="AN8" s="17" t="s">
        <v>1216</v>
      </c>
      <c r="AO8" s="17" t="s">
        <v>1505</v>
      </c>
      <c r="AP8" s="17" t="s">
        <v>1199</v>
      </c>
      <c r="AQ8" s="17" t="s">
        <v>1198</v>
      </c>
      <c r="AR8" s="17" t="s">
        <v>1200</v>
      </c>
      <c r="AS8" s="17" t="s">
        <v>1623</v>
      </c>
      <c r="AT8" s="17" t="s">
        <v>1198</v>
      </c>
      <c r="AU8" s="17" t="s">
        <v>1211</v>
      </c>
      <c r="AV8" s="17" t="s">
        <v>1525</v>
      </c>
      <c r="AW8" s="17" t="s">
        <v>1530</v>
      </c>
      <c r="AX8" s="17" t="s">
        <v>1550</v>
      </c>
      <c r="AY8" s="17" t="s">
        <v>1624</v>
      </c>
      <c r="AZ8" s="17" t="s">
        <v>1464</v>
      </c>
      <c r="BA8" s="17" t="s">
        <v>1196</v>
      </c>
      <c r="BB8" s="17" t="s">
        <v>1534</v>
      </c>
      <c r="BC8" s="17" t="s">
        <v>1201</v>
      </c>
      <c r="BD8" s="17" t="s">
        <v>1202</v>
      </c>
      <c r="BE8" s="17" t="s">
        <v>1625</v>
      </c>
      <c r="BF8" s="17" t="s">
        <v>1198</v>
      </c>
      <c r="BG8" s="17" t="s">
        <v>1198</v>
      </c>
      <c r="BH8" s="17" t="s">
        <v>1198</v>
      </c>
      <c r="BI8" s="17" t="s">
        <v>1198</v>
      </c>
      <c r="BJ8" s="17" t="s">
        <v>1626</v>
      </c>
      <c r="BK8" s="17" t="s">
        <v>1198</v>
      </c>
      <c r="BL8" s="17" t="s">
        <v>1202</v>
      </c>
      <c r="BM8" s="17" t="s">
        <v>1627</v>
      </c>
      <c r="BN8" s="17" t="s">
        <v>1628</v>
      </c>
      <c r="BO8" s="17" t="s">
        <v>1217</v>
      </c>
      <c r="BP8" s="17" t="s">
        <v>1217</v>
      </c>
      <c r="BQ8" s="17" t="s">
        <v>1629</v>
      </c>
      <c r="BR8" s="17" t="s">
        <v>1491</v>
      </c>
      <c r="BS8" s="17" t="s">
        <v>1465</v>
      </c>
      <c r="BT8" s="17" t="s">
        <v>1492</v>
      </c>
      <c r="BU8" s="17" t="s">
        <v>1203</v>
      </c>
      <c r="BV8" s="17" t="s">
        <v>1204</v>
      </c>
      <c r="BW8" s="17" t="s">
        <v>1636</v>
      </c>
      <c r="BX8" s="17" t="s">
        <v>1637</v>
      </c>
      <c r="BY8" s="17" t="s">
        <v>1632</v>
      </c>
      <c r="BZ8" s="17" t="s">
        <v>1633</v>
      </c>
    </row>
    <row r="9" spans="1:85" s="17" customFormat="1" ht="15">
      <c r="A9" s="298">
        <v>1636</v>
      </c>
      <c r="B9" s="17" t="s">
        <v>1617</v>
      </c>
      <c r="C9" s="17" t="s">
        <v>1212</v>
      </c>
      <c r="D9" s="17" t="s">
        <v>1509</v>
      </c>
      <c r="F9" s="17" t="s">
        <v>1811</v>
      </c>
      <c r="G9" s="17" t="s">
        <v>1195</v>
      </c>
      <c r="H9" s="17" t="s">
        <v>1618</v>
      </c>
      <c r="I9" s="17" t="s">
        <v>1619</v>
      </c>
      <c r="J9" s="17">
        <v>25</v>
      </c>
      <c r="K9" s="17">
        <v>4</v>
      </c>
      <c r="L9" s="17">
        <v>100</v>
      </c>
      <c r="M9" s="17">
        <v>25</v>
      </c>
      <c r="N9" s="17" t="s">
        <v>115</v>
      </c>
      <c r="O9" s="17" t="s">
        <v>115</v>
      </c>
      <c r="P9" s="17" t="s">
        <v>1457</v>
      </c>
      <c r="Q9" s="17" t="s">
        <v>1198</v>
      </c>
      <c r="R9" s="17" t="s">
        <v>1196</v>
      </c>
      <c r="S9" s="343" t="s">
        <v>1544</v>
      </c>
      <c r="T9" s="17">
        <v>11.38</v>
      </c>
      <c r="U9" s="17">
        <v>11.38</v>
      </c>
      <c r="AC9" s="17" t="s">
        <v>1546</v>
      </c>
      <c r="AD9" s="17" t="s">
        <v>1495</v>
      </c>
      <c r="AE9" s="17" t="s">
        <v>1495</v>
      </c>
      <c r="AF9" s="17" t="s">
        <v>1620</v>
      </c>
      <c r="AG9" s="17" t="s">
        <v>1621</v>
      </c>
      <c r="AH9" s="17" t="s">
        <v>1622</v>
      </c>
      <c r="AI9" s="17" t="s">
        <v>1449</v>
      </c>
      <c r="AJ9" s="17" t="s">
        <v>1197</v>
      </c>
      <c r="AK9" s="17" t="s">
        <v>1198</v>
      </c>
      <c r="AL9" s="17" t="s">
        <v>1198</v>
      </c>
      <c r="AM9" s="17" t="s">
        <v>1450</v>
      </c>
      <c r="AN9" s="17" t="s">
        <v>1216</v>
      </c>
      <c r="AO9" s="17" t="s">
        <v>1505</v>
      </c>
      <c r="AP9" s="17" t="s">
        <v>1199</v>
      </c>
      <c r="AQ9" s="17" t="s">
        <v>1198</v>
      </c>
      <c r="AR9" s="17" t="s">
        <v>1200</v>
      </c>
      <c r="AS9" s="17" t="s">
        <v>1623</v>
      </c>
      <c r="AT9" s="17" t="s">
        <v>1198</v>
      </c>
      <c r="AU9" s="17" t="s">
        <v>1211</v>
      </c>
      <c r="AV9" s="17" t="s">
        <v>1525</v>
      </c>
      <c r="AW9" s="17" t="s">
        <v>1530</v>
      </c>
      <c r="AX9" s="17" t="s">
        <v>1550</v>
      </c>
      <c r="AY9" s="17" t="s">
        <v>1624</v>
      </c>
      <c r="AZ9" s="17" t="s">
        <v>1464</v>
      </c>
      <c r="BA9" s="17" t="s">
        <v>1196</v>
      </c>
      <c r="BB9" s="17" t="s">
        <v>1534</v>
      </c>
      <c r="BC9" s="17" t="s">
        <v>1201</v>
      </c>
      <c r="BD9" s="17" t="s">
        <v>1202</v>
      </c>
      <c r="BE9" s="17" t="s">
        <v>1625</v>
      </c>
      <c r="BF9" s="17" t="s">
        <v>1198</v>
      </c>
      <c r="BG9" s="17" t="s">
        <v>1198</v>
      </c>
      <c r="BH9" s="17" t="s">
        <v>1198</v>
      </c>
      <c r="BI9" s="17" t="s">
        <v>1198</v>
      </c>
      <c r="BJ9" s="17" t="s">
        <v>1626</v>
      </c>
      <c r="BK9" s="17" t="s">
        <v>1198</v>
      </c>
      <c r="BL9" s="17" t="s">
        <v>1202</v>
      </c>
      <c r="BM9" s="17" t="s">
        <v>1627</v>
      </c>
      <c r="BN9" s="17" t="s">
        <v>1628</v>
      </c>
      <c r="BO9" s="17" t="s">
        <v>1217</v>
      </c>
      <c r="BP9" s="17" t="s">
        <v>1217</v>
      </c>
      <c r="BQ9" s="17" t="s">
        <v>1629</v>
      </c>
      <c r="BR9" s="17" t="s">
        <v>1491</v>
      </c>
      <c r="BS9" s="17" t="s">
        <v>1465</v>
      </c>
      <c r="BT9" s="17" t="s">
        <v>1492</v>
      </c>
      <c r="BU9" s="17" t="s">
        <v>1203</v>
      </c>
      <c r="BV9" s="17" t="s">
        <v>1204</v>
      </c>
      <c r="BW9" s="17" t="s">
        <v>1638</v>
      </c>
      <c r="BX9" s="17" t="s">
        <v>1639</v>
      </c>
      <c r="BY9" s="17" t="s">
        <v>1632</v>
      </c>
      <c r="BZ9" s="17" t="s">
        <v>1633</v>
      </c>
    </row>
    <row r="10" spans="1:85" s="17" customFormat="1" ht="15">
      <c r="A10" s="298">
        <v>1633</v>
      </c>
      <c r="B10" s="17" t="s">
        <v>1539</v>
      </c>
      <c r="C10" s="17" t="s">
        <v>1212</v>
      </c>
      <c r="D10" s="17" t="s">
        <v>1509</v>
      </c>
      <c r="F10" s="17" t="s">
        <v>1811</v>
      </c>
      <c r="G10" s="17" t="s">
        <v>1195</v>
      </c>
      <c r="H10" s="17" t="s">
        <v>1640</v>
      </c>
      <c r="I10" s="17" t="s">
        <v>1641</v>
      </c>
      <c r="J10" s="17">
        <v>10</v>
      </c>
      <c r="K10" s="17">
        <v>1</v>
      </c>
      <c r="L10" s="17">
        <v>1</v>
      </c>
      <c r="M10" s="17">
        <v>10</v>
      </c>
      <c r="N10" s="17" t="s">
        <v>1426</v>
      </c>
      <c r="O10" s="17" t="s">
        <v>403</v>
      </c>
      <c r="P10" s="17" t="s">
        <v>1497</v>
      </c>
      <c r="Q10" s="17" t="s">
        <v>1198</v>
      </c>
      <c r="R10" s="17" t="s">
        <v>1196</v>
      </c>
      <c r="S10" s="343" t="s">
        <v>1544</v>
      </c>
      <c r="T10" s="17">
        <v>38.5</v>
      </c>
      <c r="U10" s="17">
        <v>38.5</v>
      </c>
      <c r="AC10" s="17" t="s">
        <v>1546</v>
      </c>
      <c r="AD10" s="17" t="s">
        <v>1495</v>
      </c>
      <c r="AE10" s="17" t="s">
        <v>1495</v>
      </c>
      <c r="AF10" s="17" t="s">
        <v>1642</v>
      </c>
      <c r="AG10" s="17" t="s">
        <v>1643</v>
      </c>
      <c r="AH10" s="17" t="s">
        <v>1644</v>
      </c>
      <c r="AI10" s="17" t="s">
        <v>1208</v>
      </c>
      <c r="AJ10" s="17" t="s">
        <v>1197</v>
      </c>
      <c r="AK10" s="17" t="s">
        <v>1198</v>
      </c>
      <c r="AL10" s="17" t="s">
        <v>1198</v>
      </c>
      <c r="AM10" s="17" t="s">
        <v>1512</v>
      </c>
      <c r="AN10" s="17" t="s">
        <v>1504</v>
      </c>
      <c r="AO10" s="17" t="s">
        <v>1455</v>
      </c>
      <c r="AP10" s="17" t="s">
        <v>1199</v>
      </c>
      <c r="AQ10" s="17" t="s">
        <v>1198</v>
      </c>
      <c r="AR10" s="17" t="s">
        <v>1200</v>
      </c>
      <c r="AS10" s="17" t="s">
        <v>1645</v>
      </c>
      <c r="AT10" s="17" t="s">
        <v>1198</v>
      </c>
      <c r="AU10" s="17" t="s">
        <v>1211</v>
      </c>
      <c r="AV10" s="17" t="s">
        <v>1213</v>
      </c>
      <c r="AW10" s="17" t="s">
        <v>1472</v>
      </c>
      <c r="AX10" s="17" t="s">
        <v>1550</v>
      </c>
      <c r="AY10" s="17" t="s">
        <v>1646</v>
      </c>
      <c r="AZ10" s="17" t="s">
        <v>1464</v>
      </c>
      <c r="BA10" s="17" t="s">
        <v>1196</v>
      </c>
      <c r="BB10" s="17" t="s">
        <v>1647</v>
      </c>
      <c r="BC10" s="17" t="s">
        <v>1201</v>
      </c>
      <c r="BD10" s="17" t="s">
        <v>1202</v>
      </c>
      <c r="BE10" s="17" t="s">
        <v>1648</v>
      </c>
      <c r="BF10" s="17" t="s">
        <v>1198</v>
      </c>
      <c r="BG10" s="17" t="s">
        <v>1198</v>
      </c>
      <c r="BH10" s="17" t="s">
        <v>1198</v>
      </c>
      <c r="BI10" s="17" t="s">
        <v>1198</v>
      </c>
      <c r="BJ10" s="17" t="s">
        <v>1649</v>
      </c>
      <c r="BK10" s="17" t="s">
        <v>1198</v>
      </c>
      <c r="BL10" s="17" t="s">
        <v>1202</v>
      </c>
      <c r="BM10" s="17" t="s">
        <v>1198</v>
      </c>
      <c r="BN10" s="17" t="s">
        <v>1650</v>
      </c>
      <c r="BO10" s="17" t="s">
        <v>1217</v>
      </c>
      <c r="BP10" s="17" t="s">
        <v>1217</v>
      </c>
      <c r="BQ10" s="17" t="s">
        <v>1651</v>
      </c>
      <c r="BR10" s="17" t="s">
        <v>1498</v>
      </c>
      <c r="BS10" s="17" t="s">
        <v>1474</v>
      </c>
      <c r="BT10" s="17" t="s">
        <v>1205</v>
      </c>
      <c r="BU10" s="17" t="s">
        <v>1203</v>
      </c>
      <c r="BV10" s="17" t="s">
        <v>1204</v>
      </c>
      <c r="BW10" s="17" t="s">
        <v>1652</v>
      </c>
      <c r="BX10" s="17" t="s">
        <v>1653</v>
      </c>
      <c r="BY10" s="17" t="s">
        <v>1654</v>
      </c>
      <c r="BZ10" s="17" t="s">
        <v>1655</v>
      </c>
    </row>
    <row r="11" spans="1:85" s="17" customFormat="1" ht="15">
      <c r="A11" s="298">
        <v>1633</v>
      </c>
      <c r="B11" s="17" t="s">
        <v>1539</v>
      </c>
      <c r="C11" s="17" t="s">
        <v>1212</v>
      </c>
      <c r="D11" s="17" t="s">
        <v>1509</v>
      </c>
      <c r="F11" s="17" t="s">
        <v>1811</v>
      </c>
      <c r="G11" s="17" t="s">
        <v>1195</v>
      </c>
      <c r="H11" s="17" t="s">
        <v>1656</v>
      </c>
      <c r="I11" s="17" t="s">
        <v>1657</v>
      </c>
      <c r="J11" s="17">
        <v>1</v>
      </c>
      <c r="K11" s="17">
        <v>1</v>
      </c>
      <c r="L11" s="17">
        <v>1</v>
      </c>
      <c r="M11" s="17">
        <v>1</v>
      </c>
      <c r="N11" s="17" t="s">
        <v>1426</v>
      </c>
      <c r="O11" s="17" t="s">
        <v>1506</v>
      </c>
      <c r="P11" s="17" t="s">
        <v>1507</v>
      </c>
      <c r="Q11" s="17" t="s">
        <v>1198</v>
      </c>
      <c r="R11" s="17" t="s">
        <v>1196</v>
      </c>
      <c r="S11" s="343" t="s">
        <v>1544</v>
      </c>
      <c r="T11" s="17">
        <v>74.2</v>
      </c>
      <c r="U11" s="17">
        <v>74.2</v>
      </c>
      <c r="AC11" s="17" t="s">
        <v>1546</v>
      </c>
      <c r="AD11" s="17" t="s">
        <v>1495</v>
      </c>
      <c r="AE11" s="17" t="s">
        <v>1495</v>
      </c>
      <c r="AF11" s="17" t="s">
        <v>1658</v>
      </c>
      <c r="AG11" s="17" t="s">
        <v>1659</v>
      </c>
      <c r="AH11" s="17" t="s">
        <v>1660</v>
      </c>
      <c r="AI11" s="17" t="s">
        <v>1208</v>
      </c>
      <c r="AJ11" s="17" t="s">
        <v>1197</v>
      </c>
      <c r="AK11" s="17" t="s">
        <v>1198</v>
      </c>
      <c r="AL11" s="17" t="s">
        <v>1198</v>
      </c>
      <c r="AM11" s="17" t="s">
        <v>1568</v>
      </c>
      <c r="AN11" s="17" t="s">
        <v>1661</v>
      </c>
      <c r="AO11" s="17" t="s">
        <v>1453</v>
      </c>
      <c r="AP11" s="17" t="s">
        <v>1199</v>
      </c>
      <c r="AQ11" s="17" t="s">
        <v>1198</v>
      </c>
      <c r="AR11" s="17" t="s">
        <v>1200</v>
      </c>
      <c r="AS11" s="17" t="s">
        <v>1662</v>
      </c>
      <c r="AT11" s="17" t="s">
        <v>1198</v>
      </c>
      <c r="AU11" s="17" t="s">
        <v>1211</v>
      </c>
      <c r="AV11" s="17" t="s">
        <v>1213</v>
      </c>
      <c r="AW11" s="17" t="s">
        <v>1472</v>
      </c>
      <c r="AX11" s="17" t="s">
        <v>1550</v>
      </c>
      <c r="AY11" s="17" t="s">
        <v>1663</v>
      </c>
      <c r="AZ11" s="17" t="s">
        <v>1464</v>
      </c>
      <c r="BA11" s="17" t="s">
        <v>1196</v>
      </c>
      <c r="BB11" s="17" t="s">
        <v>1456</v>
      </c>
      <c r="BC11" s="17" t="s">
        <v>1201</v>
      </c>
      <c r="BD11" s="17" t="s">
        <v>1202</v>
      </c>
      <c r="BE11" s="17" t="s">
        <v>1483</v>
      </c>
      <c r="BF11" s="17" t="s">
        <v>1198</v>
      </c>
      <c r="BG11" s="17" t="s">
        <v>1198</v>
      </c>
      <c r="BH11" s="17" t="s">
        <v>1198</v>
      </c>
      <c r="BI11" s="17" t="s">
        <v>1198</v>
      </c>
      <c r="BJ11" s="17" t="s">
        <v>1664</v>
      </c>
      <c r="BK11" s="17" t="s">
        <v>1198</v>
      </c>
      <c r="BL11" s="17" t="s">
        <v>1202</v>
      </c>
      <c r="BM11" s="17" t="s">
        <v>1198</v>
      </c>
      <c r="BN11" s="17" t="s">
        <v>1665</v>
      </c>
      <c r="BO11" s="17" t="s">
        <v>1456</v>
      </c>
      <c r="BP11" s="17" t="s">
        <v>1456</v>
      </c>
      <c r="BQ11" s="17" t="s">
        <v>1666</v>
      </c>
      <c r="BR11" s="17" t="s">
        <v>1667</v>
      </c>
      <c r="BS11" s="17" t="s">
        <v>1198</v>
      </c>
      <c r="BT11" s="17" t="s">
        <v>1205</v>
      </c>
      <c r="BU11" s="17" t="s">
        <v>1203</v>
      </c>
      <c r="BV11" s="17" t="s">
        <v>1204</v>
      </c>
      <c r="BW11" s="17" t="s">
        <v>1668</v>
      </c>
      <c r="BX11" s="17" t="s">
        <v>1669</v>
      </c>
      <c r="BY11" s="17" t="s">
        <v>1670</v>
      </c>
      <c r="BZ11" s="17" t="s">
        <v>1671</v>
      </c>
    </row>
    <row r="12" spans="1:85" s="17" customFormat="1" ht="15">
      <c r="A12" s="298">
        <v>1626</v>
      </c>
      <c r="B12" s="17" t="s">
        <v>1539</v>
      </c>
      <c r="C12" s="17" t="s">
        <v>1212</v>
      </c>
      <c r="D12" s="17" t="s">
        <v>1509</v>
      </c>
      <c r="F12" s="17" t="s">
        <v>1811</v>
      </c>
      <c r="G12" s="17" t="s">
        <v>1195</v>
      </c>
      <c r="H12" s="17" t="s">
        <v>1672</v>
      </c>
      <c r="I12" s="17" t="s">
        <v>1673</v>
      </c>
      <c r="J12" s="17">
        <v>100</v>
      </c>
      <c r="K12" s="17">
        <v>2</v>
      </c>
      <c r="L12" s="17">
        <v>1</v>
      </c>
      <c r="M12" s="17">
        <v>100</v>
      </c>
      <c r="N12" s="17" t="s">
        <v>1388</v>
      </c>
      <c r="O12" s="17" t="s">
        <v>1461</v>
      </c>
      <c r="P12" s="17" t="s">
        <v>1462</v>
      </c>
      <c r="Q12" s="17" t="s">
        <v>1198</v>
      </c>
      <c r="R12" s="17" t="s">
        <v>1196</v>
      </c>
      <c r="S12" s="343" t="s">
        <v>1544</v>
      </c>
      <c r="T12" s="17">
        <v>75.599999999999994</v>
      </c>
      <c r="U12" s="17">
        <v>37.799999999999997</v>
      </c>
      <c r="AC12" s="17" t="s">
        <v>1546</v>
      </c>
      <c r="AD12" s="17" t="s">
        <v>1495</v>
      </c>
      <c r="AE12" s="17" t="s">
        <v>1495</v>
      </c>
      <c r="AF12" s="17" t="s">
        <v>1674</v>
      </c>
      <c r="AG12" s="17" t="s">
        <v>1675</v>
      </c>
      <c r="AH12" s="17" t="s">
        <v>1529</v>
      </c>
      <c r="AI12" s="17" t="s">
        <v>1208</v>
      </c>
      <c r="AJ12" s="17" t="s">
        <v>1197</v>
      </c>
      <c r="AK12" s="17" t="s">
        <v>1198</v>
      </c>
      <c r="AL12" s="17" t="s">
        <v>1198</v>
      </c>
      <c r="AM12" s="17" t="s">
        <v>1215</v>
      </c>
      <c r="AN12" s="17" t="s">
        <v>1216</v>
      </c>
      <c r="AO12" s="17" t="s">
        <v>1226</v>
      </c>
      <c r="AP12" s="17" t="s">
        <v>1199</v>
      </c>
      <c r="AQ12" s="17" t="s">
        <v>1198</v>
      </c>
      <c r="AR12" s="17" t="s">
        <v>1200</v>
      </c>
      <c r="AS12" s="17" t="s">
        <v>1676</v>
      </c>
      <c r="AT12" s="17" t="s">
        <v>1198</v>
      </c>
      <c r="AU12" s="17" t="s">
        <v>1211</v>
      </c>
      <c r="AV12" s="17" t="s">
        <v>1213</v>
      </c>
      <c r="AW12" s="17" t="s">
        <v>1538</v>
      </c>
      <c r="AX12" s="17" t="s">
        <v>1550</v>
      </c>
      <c r="AY12" s="17" t="s">
        <v>1677</v>
      </c>
      <c r="AZ12" s="17" t="s">
        <v>1464</v>
      </c>
      <c r="BA12" s="17" t="s">
        <v>1196</v>
      </c>
      <c r="BB12" s="17" t="s">
        <v>1678</v>
      </c>
      <c r="BC12" s="17" t="s">
        <v>1201</v>
      </c>
      <c r="BD12" s="17" t="s">
        <v>1202</v>
      </c>
      <c r="BE12" s="17" t="s">
        <v>1679</v>
      </c>
      <c r="BF12" s="17" t="s">
        <v>1198</v>
      </c>
      <c r="BG12" s="17" t="s">
        <v>1198</v>
      </c>
      <c r="BH12" s="17" t="s">
        <v>1198</v>
      </c>
      <c r="BI12" s="17" t="s">
        <v>1198</v>
      </c>
      <c r="BJ12" s="17" t="s">
        <v>1680</v>
      </c>
      <c r="BK12" s="17" t="s">
        <v>1198</v>
      </c>
      <c r="BL12" s="17" t="s">
        <v>1202</v>
      </c>
      <c r="BM12" s="17" t="s">
        <v>1681</v>
      </c>
      <c r="BN12" s="17" t="s">
        <v>1682</v>
      </c>
      <c r="BO12" s="17" t="s">
        <v>1217</v>
      </c>
      <c r="BP12" s="17" t="s">
        <v>1217</v>
      </c>
      <c r="BQ12" s="17" t="s">
        <v>1683</v>
      </c>
      <c r="BR12" s="17" t="s">
        <v>1481</v>
      </c>
      <c r="BS12" s="17" t="s">
        <v>1481</v>
      </c>
      <c r="BT12" s="17" t="s">
        <v>1205</v>
      </c>
      <c r="BU12" s="17" t="s">
        <v>1203</v>
      </c>
      <c r="BV12" s="17" t="s">
        <v>1204</v>
      </c>
      <c r="BW12" s="17" t="s">
        <v>1684</v>
      </c>
      <c r="BX12" s="17" t="s">
        <v>1685</v>
      </c>
      <c r="BY12" s="17" t="s">
        <v>1686</v>
      </c>
      <c r="BZ12" s="17" t="s">
        <v>1687</v>
      </c>
    </row>
    <row r="13" spans="1:85" s="17" customFormat="1" ht="15">
      <c r="A13" s="298">
        <v>1626</v>
      </c>
      <c r="B13" s="17" t="s">
        <v>1539</v>
      </c>
      <c r="C13" s="17" t="s">
        <v>1212</v>
      </c>
      <c r="D13" s="17" t="s">
        <v>1509</v>
      </c>
      <c r="F13" s="17" t="s">
        <v>1811</v>
      </c>
      <c r="G13" s="17" t="s">
        <v>1195</v>
      </c>
      <c r="H13" s="17" t="s">
        <v>1672</v>
      </c>
      <c r="I13" s="17" t="s">
        <v>1673</v>
      </c>
      <c r="J13" s="17">
        <v>100</v>
      </c>
      <c r="K13" s="17">
        <v>2</v>
      </c>
      <c r="L13" s="17">
        <v>1</v>
      </c>
      <c r="M13" s="17">
        <v>100</v>
      </c>
      <c r="N13" s="17" t="s">
        <v>1388</v>
      </c>
      <c r="O13" s="17" t="s">
        <v>1461</v>
      </c>
      <c r="P13" s="17" t="s">
        <v>1462</v>
      </c>
      <c r="Q13" s="17" t="s">
        <v>1198</v>
      </c>
      <c r="R13" s="17" t="s">
        <v>1196</v>
      </c>
      <c r="S13" s="343" t="s">
        <v>1544</v>
      </c>
      <c r="T13" s="17">
        <v>75.599999999999994</v>
      </c>
      <c r="U13" s="17">
        <v>37.799999999999997</v>
      </c>
      <c r="AC13" s="17" t="s">
        <v>1546</v>
      </c>
      <c r="AD13" s="17" t="s">
        <v>1495</v>
      </c>
      <c r="AE13" s="17" t="s">
        <v>1495</v>
      </c>
      <c r="AF13" s="17" t="s">
        <v>1674</v>
      </c>
      <c r="AG13" s="17" t="s">
        <v>1675</v>
      </c>
      <c r="AH13" s="17" t="s">
        <v>1529</v>
      </c>
      <c r="AI13" s="17" t="s">
        <v>1208</v>
      </c>
      <c r="AJ13" s="17" t="s">
        <v>1197</v>
      </c>
      <c r="AK13" s="17" t="s">
        <v>1198</v>
      </c>
      <c r="AL13" s="17" t="s">
        <v>1198</v>
      </c>
      <c r="AM13" s="17" t="s">
        <v>1215</v>
      </c>
      <c r="AN13" s="17" t="s">
        <v>1216</v>
      </c>
      <c r="AO13" s="17" t="s">
        <v>1226</v>
      </c>
      <c r="AP13" s="17" t="s">
        <v>1199</v>
      </c>
      <c r="AQ13" s="17" t="s">
        <v>1198</v>
      </c>
      <c r="AR13" s="17" t="s">
        <v>1200</v>
      </c>
      <c r="AS13" s="17" t="s">
        <v>1676</v>
      </c>
      <c r="AT13" s="17" t="s">
        <v>1198</v>
      </c>
      <c r="AU13" s="17" t="s">
        <v>1211</v>
      </c>
      <c r="AV13" s="17" t="s">
        <v>1213</v>
      </c>
      <c r="AW13" s="17" t="s">
        <v>1538</v>
      </c>
      <c r="AX13" s="17" t="s">
        <v>1550</v>
      </c>
      <c r="AY13" s="17" t="s">
        <v>1688</v>
      </c>
      <c r="AZ13" s="17" t="s">
        <v>1464</v>
      </c>
      <c r="BA13" s="17" t="s">
        <v>1196</v>
      </c>
      <c r="BB13" s="17" t="s">
        <v>1678</v>
      </c>
      <c r="BC13" s="17" t="s">
        <v>1201</v>
      </c>
      <c r="BD13" s="17" t="s">
        <v>1202</v>
      </c>
      <c r="BE13" s="17" t="s">
        <v>1679</v>
      </c>
      <c r="BF13" s="17" t="s">
        <v>1198</v>
      </c>
      <c r="BG13" s="17" t="s">
        <v>1198</v>
      </c>
      <c r="BH13" s="17" t="s">
        <v>1198</v>
      </c>
      <c r="BI13" s="17" t="s">
        <v>1198</v>
      </c>
      <c r="BJ13" s="17" t="s">
        <v>1680</v>
      </c>
      <c r="BK13" s="17" t="s">
        <v>1198</v>
      </c>
      <c r="BL13" s="17" t="s">
        <v>1202</v>
      </c>
      <c r="BM13" s="17" t="s">
        <v>1681</v>
      </c>
      <c r="BN13" s="17" t="s">
        <v>1682</v>
      </c>
      <c r="BO13" s="17" t="s">
        <v>1217</v>
      </c>
      <c r="BP13" s="17" t="s">
        <v>1217</v>
      </c>
      <c r="BQ13" s="17" t="s">
        <v>1683</v>
      </c>
      <c r="BR13" s="17" t="s">
        <v>1481</v>
      </c>
      <c r="BS13" s="17" t="s">
        <v>1481</v>
      </c>
      <c r="BT13" s="17" t="s">
        <v>1205</v>
      </c>
      <c r="BU13" s="17" t="s">
        <v>1203</v>
      </c>
      <c r="BV13" s="17" t="s">
        <v>1204</v>
      </c>
      <c r="BW13" s="17" t="s">
        <v>1689</v>
      </c>
      <c r="BX13" s="17" t="s">
        <v>1690</v>
      </c>
      <c r="BY13" s="17" t="s">
        <v>1686</v>
      </c>
      <c r="BZ13" s="17" t="s">
        <v>1687</v>
      </c>
    </row>
    <row r="14" spans="1:85" s="17" customFormat="1" ht="15">
      <c r="A14" s="298">
        <v>1626</v>
      </c>
      <c r="B14" s="17" t="s">
        <v>1539</v>
      </c>
      <c r="C14" s="17" t="s">
        <v>1212</v>
      </c>
      <c r="D14" s="17" t="s">
        <v>1509</v>
      </c>
      <c r="F14" s="17" t="s">
        <v>1811</v>
      </c>
      <c r="G14" s="17" t="s">
        <v>1195</v>
      </c>
      <c r="H14" s="17" t="s">
        <v>1691</v>
      </c>
      <c r="I14" s="17" t="s">
        <v>1692</v>
      </c>
      <c r="J14" s="17">
        <v>0.25</v>
      </c>
      <c r="K14" s="17">
        <v>1</v>
      </c>
      <c r="L14" s="17">
        <v>0.25</v>
      </c>
      <c r="M14" s="17">
        <v>0.25</v>
      </c>
      <c r="N14" s="17" t="s">
        <v>1388</v>
      </c>
      <c r="O14" s="17" t="s">
        <v>1693</v>
      </c>
      <c r="P14" s="17" t="s">
        <v>1694</v>
      </c>
      <c r="Q14" s="17" t="s">
        <v>1198</v>
      </c>
      <c r="R14" s="17" t="s">
        <v>1196</v>
      </c>
      <c r="S14" s="343" t="s">
        <v>1544</v>
      </c>
      <c r="T14" s="17">
        <v>89.6</v>
      </c>
      <c r="U14" s="17">
        <v>89.6</v>
      </c>
      <c r="AC14" s="17" t="s">
        <v>1546</v>
      </c>
      <c r="AD14" s="17" t="s">
        <v>1495</v>
      </c>
      <c r="AE14" s="17" t="s">
        <v>1495</v>
      </c>
      <c r="AF14" s="17" t="s">
        <v>1695</v>
      </c>
      <c r="AG14" s="17" t="s">
        <v>1696</v>
      </c>
      <c r="AH14" s="17" t="s">
        <v>1697</v>
      </c>
      <c r="AI14" s="17" t="s">
        <v>1208</v>
      </c>
      <c r="AJ14" s="17" t="s">
        <v>1197</v>
      </c>
      <c r="AK14" s="17" t="s">
        <v>1198</v>
      </c>
      <c r="AL14" s="17" t="s">
        <v>1198</v>
      </c>
      <c r="AM14" s="17" t="s">
        <v>1450</v>
      </c>
      <c r="AN14" s="17" t="s">
        <v>1216</v>
      </c>
      <c r="AO14" s="17" t="s">
        <v>1226</v>
      </c>
      <c r="AP14" s="17" t="s">
        <v>1199</v>
      </c>
      <c r="AQ14" s="17" t="s">
        <v>1198</v>
      </c>
      <c r="AR14" s="17" t="s">
        <v>1200</v>
      </c>
      <c r="AS14" s="17" t="s">
        <v>1698</v>
      </c>
      <c r="AT14" s="17" t="s">
        <v>1198</v>
      </c>
      <c r="AU14" s="17" t="s">
        <v>1211</v>
      </c>
      <c r="AV14" s="17" t="s">
        <v>1213</v>
      </c>
      <c r="AW14" s="17" t="s">
        <v>1472</v>
      </c>
      <c r="AX14" s="17" t="s">
        <v>1550</v>
      </c>
      <c r="AY14" s="17" t="s">
        <v>1699</v>
      </c>
      <c r="AZ14" s="17" t="s">
        <v>1464</v>
      </c>
      <c r="BA14" s="17" t="s">
        <v>1196</v>
      </c>
      <c r="BB14" s="17" t="s">
        <v>1456</v>
      </c>
      <c r="BC14" s="17" t="s">
        <v>1201</v>
      </c>
      <c r="BD14" s="17" t="s">
        <v>1202</v>
      </c>
      <c r="BE14" s="17" t="s">
        <v>1700</v>
      </c>
      <c r="BF14" s="17" t="s">
        <v>1198</v>
      </c>
      <c r="BG14" s="17" t="s">
        <v>1198</v>
      </c>
      <c r="BH14" s="17" t="s">
        <v>1198</v>
      </c>
      <c r="BI14" s="17" t="s">
        <v>1198</v>
      </c>
      <c r="BJ14" s="17" t="s">
        <v>1701</v>
      </c>
      <c r="BK14" s="17" t="s">
        <v>1198</v>
      </c>
      <c r="BL14" s="17" t="s">
        <v>1202</v>
      </c>
      <c r="BM14" s="17" t="s">
        <v>1198</v>
      </c>
      <c r="BN14" s="17" t="s">
        <v>1702</v>
      </c>
      <c r="BO14" s="17" t="s">
        <v>1456</v>
      </c>
      <c r="BP14" s="17" t="s">
        <v>1456</v>
      </c>
      <c r="BQ14" s="17" t="s">
        <v>1703</v>
      </c>
      <c r="BR14" s="17" t="s">
        <v>1704</v>
      </c>
      <c r="BS14" s="17" t="s">
        <v>1198</v>
      </c>
      <c r="BT14" s="17" t="s">
        <v>1205</v>
      </c>
      <c r="BU14" s="17" t="s">
        <v>1203</v>
      </c>
      <c r="BV14" s="17" t="s">
        <v>1204</v>
      </c>
      <c r="BW14" s="17" t="s">
        <v>1705</v>
      </c>
      <c r="BX14" s="17" t="s">
        <v>1706</v>
      </c>
      <c r="BY14" s="17" t="s">
        <v>1707</v>
      </c>
      <c r="BZ14" s="17" t="s">
        <v>1708</v>
      </c>
    </row>
    <row r="15" spans="1:85" s="17" customFormat="1" ht="14.25" customHeight="1">
      <c r="A15" s="298">
        <v>646</v>
      </c>
      <c r="B15" s="17" t="s">
        <v>1539</v>
      </c>
      <c r="C15" s="17" t="s">
        <v>1214</v>
      </c>
      <c r="D15" s="17" t="s">
        <v>1509</v>
      </c>
      <c r="F15" s="17" t="s">
        <v>1811</v>
      </c>
      <c r="G15" s="17" t="s">
        <v>1195</v>
      </c>
      <c r="H15" s="17" t="s">
        <v>1709</v>
      </c>
      <c r="I15" s="17" t="s">
        <v>1710</v>
      </c>
      <c r="J15" s="17">
        <v>0.25</v>
      </c>
      <c r="K15" s="17">
        <v>1</v>
      </c>
      <c r="L15" s="17">
        <v>1</v>
      </c>
      <c r="M15" s="17">
        <v>0.25</v>
      </c>
      <c r="N15" s="17" t="s">
        <v>1412</v>
      </c>
      <c r="O15" s="17" t="s">
        <v>1428</v>
      </c>
      <c r="P15" s="17" t="s">
        <v>1511</v>
      </c>
      <c r="Q15" s="17" t="s">
        <v>1198</v>
      </c>
      <c r="R15" s="17" t="s">
        <v>1196</v>
      </c>
      <c r="S15" s="343" t="s">
        <v>1544</v>
      </c>
      <c r="T15" s="17">
        <v>147.69999999999999</v>
      </c>
      <c r="U15" s="17">
        <v>147.69999999999999</v>
      </c>
      <c r="AC15" s="17" t="s">
        <v>1546</v>
      </c>
      <c r="AD15" s="17" t="s">
        <v>1495</v>
      </c>
      <c r="AE15" s="17" t="s">
        <v>1495</v>
      </c>
      <c r="AF15" s="17" t="s">
        <v>1711</v>
      </c>
      <c r="AG15" s="17" t="s">
        <v>1712</v>
      </c>
      <c r="AH15" s="17" t="s">
        <v>1713</v>
      </c>
      <c r="AI15" s="17" t="s">
        <v>1208</v>
      </c>
      <c r="AJ15" s="17" t="s">
        <v>1197</v>
      </c>
      <c r="AK15" s="17" t="s">
        <v>1198</v>
      </c>
      <c r="AL15" s="17" t="s">
        <v>1198</v>
      </c>
      <c r="AM15" s="17" t="s">
        <v>1450</v>
      </c>
      <c r="AN15" s="17" t="s">
        <v>1216</v>
      </c>
      <c r="AO15" s="17" t="s">
        <v>1455</v>
      </c>
      <c r="AP15" s="17" t="s">
        <v>1199</v>
      </c>
      <c r="AQ15" s="17" t="s">
        <v>1198</v>
      </c>
      <c r="AR15" s="17" t="s">
        <v>1200</v>
      </c>
      <c r="AS15" s="17" t="s">
        <v>1714</v>
      </c>
      <c r="AT15" s="17" t="s">
        <v>1198</v>
      </c>
      <c r="AU15" s="17" t="s">
        <v>1211</v>
      </c>
      <c r="AV15" s="17" t="s">
        <v>1213</v>
      </c>
      <c r="AW15" s="17" t="s">
        <v>1472</v>
      </c>
      <c r="AX15" s="17" t="s">
        <v>1550</v>
      </c>
      <c r="AY15" s="17" t="s">
        <v>1715</v>
      </c>
      <c r="AZ15" s="17" t="s">
        <v>1464</v>
      </c>
      <c r="BA15" s="17" t="s">
        <v>1196</v>
      </c>
      <c r="BB15" s="17" t="s">
        <v>1452</v>
      </c>
      <c r="BC15" s="17" t="s">
        <v>1201</v>
      </c>
      <c r="BD15" s="17" t="s">
        <v>1202</v>
      </c>
      <c r="BE15" s="17" t="s">
        <v>1535</v>
      </c>
      <c r="BF15" s="17" t="s">
        <v>1198</v>
      </c>
      <c r="BG15" s="17" t="s">
        <v>1198</v>
      </c>
      <c r="BH15" s="17" t="s">
        <v>1198</v>
      </c>
      <c r="BI15" s="17" t="s">
        <v>1198</v>
      </c>
      <c r="BJ15" s="17" t="s">
        <v>1716</v>
      </c>
      <c r="BK15" s="17" t="s">
        <v>1198</v>
      </c>
      <c r="BL15" s="17" t="s">
        <v>1202</v>
      </c>
      <c r="BM15" s="17" t="s">
        <v>1198</v>
      </c>
      <c r="BN15" s="17" t="s">
        <v>1717</v>
      </c>
      <c r="BO15" s="17" t="s">
        <v>1452</v>
      </c>
      <c r="BP15" s="17" t="s">
        <v>1452</v>
      </c>
      <c r="BQ15" s="17" t="s">
        <v>1718</v>
      </c>
      <c r="BR15" s="17" t="s">
        <v>1479</v>
      </c>
      <c r="BS15" s="17" t="s">
        <v>1198</v>
      </c>
      <c r="BT15" s="17" t="s">
        <v>1205</v>
      </c>
      <c r="BU15" s="17" t="s">
        <v>1203</v>
      </c>
      <c r="BV15" s="17" t="s">
        <v>1204</v>
      </c>
      <c r="BW15" s="17" t="s">
        <v>1719</v>
      </c>
      <c r="BX15" s="17" t="s">
        <v>1720</v>
      </c>
      <c r="BY15" s="17" t="s">
        <v>1721</v>
      </c>
      <c r="BZ15" s="17" t="s">
        <v>1722</v>
      </c>
    </row>
    <row r="16" spans="1:85" s="17" customFormat="1" ht="15">
      <c r="A16" s="298"/>
      <c r="F16" s="17" t="s">
        <v>1811</v>
      </c>
      <c r="S16" s="343"/>
    </row>
    <row r="17" spans="1:85" s="17" customFormat="1" ht="15">
      <c r="A17" s="298">
        <v>640</v>
      </c>
      <c r="B17" s="17" t="s">
        <v>1539</v>
      </c>
      <c r="C17" s="17" t="s">
        <v>1214</v>
      </c>
      <c r="D17" s="17" t="s">
        <v>1509</v>
      </c>
      <c r="E17" s="17" t="s">
        <v>1510</v>
      </c>
      <c r="F17" s="17" t="s">
        <v>1812</v>
      </c>
      <c r="G17" s="17" t="s">
        <v>1195</v>
      </c>
      <c r="H17" s="17" t="s">
        <v>1723</v>
      </c>
      <c r="I17" s="17" t="s">
        <v>1724</v>
      </c>
      <c r="J17" s="17">
        <v>25</v>
      </c>
      <c r="K17" s="17">
        <v>1</v>
      </c>
      <c r="L17" s="17">
        <v>1</v>
      </c>
      <c r="M17" s="17">
        <v>25</v>
      </c>
      <c r="N17" s="17" t="s">
        <v>114</v>
      </c>
      <c r="O17" s="17" t="s">
        <v>1501</v>
      </c>
      <c r="P17" s="17" t="s">
        <v>1502</v>
      </c>
      <c r="Q17" s="17" t="s">
        <v>1198</v>
      </c>
      <c r="R17" s="17" t="s">
        <v>1196</v>
      </c>
      <c r="S17" s="343" t="s">
        <v>1544</v>
      </c>
      <c r="T17" s="17">
        <v>39.9</v>
      </c>
      <c r="U17" s="17">
        <v>39.9</v>
      </c>
      <c r="AC17" s="17" t="s">
        <v>1546</v>
      </c>
      <c r="AD17" s="17" t="s">
        <v>1495</v>
      </c>
      <c r="AE17" s="17" t="s">
        <v>1495</v>
      </c>
      <c r="AF17" s="17" t="s">
        <v>1725</v>
      </c>
      <c r="AG17" s="17" t="s">
        <v>1726</v>
      </c>
      <c r="AH17" s="17" t="s">
        <v>1727</v>
      </c>
      <c r="AI17" s="17" t="s">
        <v>1208</v>
      </c>
      <c r="AJ17" s="17" t="s">
        <v>1197</v>
      </c>
      <c r="AK17" s="17" t="s">
        <v>1198</v>
      </c>
      <c r="AL17" s="17" t="s">
        <v>1198</v>
      </c>
      <c r="AM17" s="17" t="s">
        <v>1728</v>
      </c>
      <c r="AN17" s="17" t="s">
        <v>1729</v>
      </c>
      <c r="AO17" s="17" t="s">
        <v>1454</v>
      </c>
      <c r="AP17" s="17" t="s">
        <v>1199</v>
      </c>
      <c r="AQ17" s="17" t="s">
        <v>1198</v>
      </c>
      <c r="AR17" s="17" t="s">
        <v>1200</v>
      </c>
      <c r="AS17" s="17" t="s">
        <v>1730</v>
      </c>
      <c r="AT17" s="17" t="s">
        <v>1198</v>
      </c>
      <c r="AU17" s="17" t="s">
        <v>1211</v>
      </c>
      <c r="AV17" s="17" t="s">
        <v>1213</v>
      </c>
      <c r="AW17" s="17" t="s">
        <v>1472</v>
      </c>
      <c r="AX17" s="17" t="s">
        <v>1550</v>
      </c>
      <c r="AY17" s="17" t="s">
        <v>1731</v>
      </c>
      <c r="AZ17" s="17" t="s">
        <v>1464</v>
      </c>
      <c r="BA17" s="17" t="s">
        <v>1196</v>
      </c>
      <c r="BB17" s="17" t="s">
        <v>1452</v>
      </c>
      <c r="BC17" s="17" t="s">
        <v>1201</v>
      </c>
      <c r="BD17" s="17" t="s">
        <v>1202</v>
      </c>
      <c r="BE17" s="17" t="s">
        <v>1732</v>
      </c>
      <c r="BF17" s="17" t="s">
        <v>1198</v>
      </c>
      <c r="BG17" s="17" t="s">
        <v>1198</v>
      </c>
      <c r="BH17" s="17" t="s">
        <v>1198</v>
      </c>
      <c r="BI17" s="17" t="s">
        <v>1198</v>
      </c>
      <c r="BJ17" s="17" t="s">
        <v>1733</v>
      </c>
      <c r="BK17" s="17" t="s">
        <v>1198</v>
      </c>
      <c r="BL17" s="17" t="s">
        <v>1202</v>
      </c>
      <c r="BM17" s="17" t="s">
        <v>1198</v>
      </c>
      <c r="BN17" s="17" t="s">
        <v>1734</v>
      </c>
      <c r="BO17" s="17" t="s">
        <v>1452</v>
      </c>
      <c r="BP17" s="17" t="s">
        <v>1452</v>
      </c>
      <c r="BQ17" s="17" t="s">
        <v>1735</v>
      </c>
      <c r="BR17" s="17" t="s">
        <v>1218</v>
      </c>
      <c r="BS17" s="17" t="s">
        <v>1218</v>
      </c>
      <c r="BT17" s="17" t="s">
        <v>1205</v>
      </c>
      <c r="BU17" s="17" t="s">
        <v>1203</v>
      </c>
      <c r="BV17" s="17" t="s">
        <v>1204</v>
      </c>
      <c r="BW17" s="17" t="s">
        <v>1736</v>
      </c>
      <c r="BX17" s="17" t="s">
        <v>1737</v>
      </c>
      <c r="BY17" s="17" t="s">
        <v>1738</v>
      </c>
      <c r="BZ17" s="17" t="s">
        <v>1739</v>
      </c>
    </row>
    <row r="18" spans="1:85" s="17" customFormat="1" ht="15">
      <c r="A18" s="298">
        <v>154</v>
      </c>
      <c r="B18" s="17" t="s">
        <v>1539</v>
      </c>
      <c r="C18" s="17" t="s">
        <v>1212</v>
      </c>
      <c r="D18" s="17" t="s">
        <v>1509</v>
      </c>
      <c r="F18" s="17" t="s">
        <v>1812</v>
      </c>
      <c r="G18" s="17" t="s">
        <v>1195</v>
      </c>
      <c r="H18" s="17" t="s">
        <v>1740</v>
      </c>
      <c r="I18" s="17" t="s">
        <v>1741</v>
      </c>
      <c r="J18" s="17">
        <v>100</v>
      </c>
      <c r="K18" s="17">
        <v>2</v>
      </c>
      <c r="L18" s="17">
        <v>2</v>
      </c>
      <c r="M18" s="17">
        <v>100</v>
      </c>
      <c r="N18" s="17" t="s">
        <v>1397</v>
      </c>
      <c r="O18" s="17" t="s">
        <v>1458</v>
      </c>
      <c r="P18" s="17" t="s">
        <v>1459</v>
      </c>
      <c r="Q18" s="17" t="s">
        <v>1198</v>
      </c>
      <c r="R18" s="17" t="s">
        <v>1196</v>
      </c>
      <c r="S18" s="343" t="s">
        <v>1544</v>
      </c>
      <c r="T18" s="17">
        <v>17.5</v>
      </c>
      <c r="U18" s="17">
        <v>17.5</v>
      </c>
      <c r="AC18" s="17" t="s">
        <v>1546</v>
      </c>
      <c r="AD18" s="17" t="s">
        <v>1495</v>
      </c>
      <c r="AE18" s="17" t="s">
        <v>1495</v>
      </c>
      <c r="AF18" s="17" t="s">
        <v>1742</v>
      </c>
      <c r="AG18" s="17" t="s">
        <v>1743</v>
      </c>
      <c r="AH18" s="17" t="s">
        <v>1744</v>
      </c>
      <c r="AI18" s="17" t="s">
        <v>1208</v>
      </c>
      <c r="AJ18" s="17" t="s">
        <v>1197</v>
      </c>
      <c r="AK18" s="17" t="s">
        <v>1198</v>
      </c>
      <c r="AL18" s="17" t="s">
        <v>1198</v>
      </c>
      <c r="AM18" s="17" t="s">
        <v>1215</v>
      </c>
      <c r="AN18" s="17" t="s">
        <v>1216</v>
      </c>
      <c r="AO18" s="17" t="s">
        <v>1453</v>
      </c>
      <c r="AP18" s="17" t="s">
        <v>1199</v>
      </c>
      <c r="AQ18" s="17" t="s">
        <v>1198</v>
      </c>
      <c r="AR18" s="17" t="s">
        <v>1200</v>
      </c>
      <c r="AS18" s="17" t="s">
        <v>1745</v>
      </c>
      <c r="AT18" s="17" t="s">
        <v>1198</v>
      </c>
      <c r="AU18" s="17" t="s">
        <v>1211</v>
      </c>
      <c r="AV18" s="17" t="s">
        <v>1213</v>
      </c>
      <c r="AW18" s="17" t="s">
        <v>1538</v>
      </c>
      <c r="AX18" s="17" t="s">
        <v>1550</v>
      </c>
      <c r="AY18" s="17" t="s">
        <v>1746</v>
      </c>
      <c r="AZ18" s="17" t="s">
        <v>1464</v>
      </c>
      <c r="BA18" s="17" t="s">
        <v>1196</v>
      </c>
      <c r="BB18" s="17" t="s">
        <v>1217</v>
      </c>
      <c r="BC18" s="17" t="s">
        <v>1201</v>
      </c>
      <c r="BD18" s="17" t="s">
        <v>1202</v>
      </c>
      <c r="BE18" s="17" t="s">
        <v>1747</v>
      </c>
      <c r="BF18" s="17" t="s">
        <v>1198</v>
      </c>
      <c r="BG18" s="17" t="s">
        <v>1198</v>
      </c>
      <c r="BH18" s="17" t="s">
        <v>1198</v>
      </c>
      <c r="BI18" s="17" t="s">
        <v>1198</v>
      </c>
      <c r="BJ18" s="17" t="s">
        <v>1748</v>
      </c>
      <c r="BK18" s="17" t="s">
        <v>1198</v>
      </c>
      <c r="BL18" s="17" t="s">
        <v>1202</v>
      </c>
      <c r="BM18" s="17" t="s">
        <v>1749</v>
      </c>
      <c r="BN18" s="17" t="s">
        <v>1750</v>
      </c>
      <c r="BO18" s="17" t="s">
        <v>1452</v>
      </c>
      <c r="BP18" s="17" t="s">
        <v>1452</v>
      </c>
      <c r="BQ18" s="17" t="s">
        <v>1751</v>
      </c>
      <c r="BR18" s="17" t="s">
        <v>1532</v>
      </c>
      <c r="BS18" s="17" t="s">
        <v>1465</v>
      </c>
      <c r="BT18" s="17" t="s">
        <v>1752</v>
      </c>
      <c r="BU18" s="17" t="s">
        <v>1203</v>
      </c>
      <c r="BV18" s="17" t="s">
        <v>1204</v>
      </c>
      <c r="BW18" s="17" t="s">
        <v>1753</v>
      </c>
      <c r="BX18" s="17" t="s">
        <v>1754</v>
      </c>
      <c r="BY18" s="17" t="s">
        <v>1755</v>
      </c>
      <c r="BZ18" s="17" t="s">
        <v>1756</v>
      </c>
    </row>
    <row r="19" spans="1:85" s="17" customFormat="1" ht="15">
      <c r="A19" s="298">
        <v>154</v>
      </c>
      <c r="B19" s="17" t="s">
        <v>1539</v>
      </c>
      <c r="C19" s="17" t="s">
        <v>1212</v>
      </c>
      <c r="D19" s="17" t="s">
        <v>1509</v>
      </c>
      <c r="F19" s="17" t="s">
        <v>1812</v>
      </c>
      <c r="G19" s="17" t="s">
        <v>1195</v>
      </c>
      <c r="H19" s="17" t="s">
        <v>1740</v>
      </c>
      <c r="I19" s="17" t="s">
        <v>1741</v>
      </c>
      <c r="J19" s="17">
        <v>100</v>
      </c>
      <c r="K19" s="17">
        <v>2</v>
      </c>
      <c r="L19" s="17">
        <v>2</v>
      </c>
      <c r="M19" s="17">
        <v>100</v>
      </c>
      <c r="N19" s="17" t="s">
        <v>1397</v>
      </c>
      <c r="O19" s="17" t="s">
        <v>1458</v>
      </c>
      <c r="P19" s="17" t="s">
        <v>1459</v>
      </c>
      <c r="Q19" s="17" t="s">
        <v>1198</v>
      </c>
      <c r="R19" s="17" t="s">
        <v>1196</v>
      </c>
      <c r="S19" s="343" t="s">
        <v>1544</v>
      </c>
      <c r="T19" s="17">
        <v>17.5</v>
      </c>
      <c r="U19" s="17">
        <v>17.5</v>
      </c>
      <c r="AC19" s="17" t="s">
        <v>1546</v>
      </c>
      <c r="AD19" s="17" t="s">
        <v>1495</v>
      </c>
      <c r="AE19" s="17" t="s">
        <v>1495</v>
      </c>
      <c r="AF19" s="17" t="s">
        <v>1742</v>
      </c>
      <c r="AG19" s="17" t="s">
        <v>1743</v>
      </c>
      <c r="AH19" s="17" t="s">
        <v>1744</v>
      </c>
      <c r="AI19" s="17" t="s">
        <v>1208</v>
      </c>
      <c r="AJ19" s="17" t="s">
        <v>1197</v>
      </c>
      <c r="AK19" s="17" t="s">
        <v>1198</v>
      </c>
      <c r="AL19" s="17" t="s">
        <v>1198</v>
      </c>
      <c r="AM19" s="17" t="s">
        <v>1215</v>
      </c>
      <c r="AN19" s="17" t="s">
        <v>1216</v>
      </c>
      <c r="AO19" s="17" t="s">
        <v>1453</v>
      </c>
      <c r="AP19" s="17" t="s">
        <v>1199</v>
      </c>
      <c r="AQ19" s="17" t="s">
        <v>1198</v>
      </c>
      <c r="AR19" s="17" t="s">
        <v>1200</v>
      </c>
      <c r="AS19" s="17" t="s">
        <v>1745</v>
      </c>
      <c r="AT19" s="17" t="s">
        <v>1198</v>
      </c>
      <c r="AU19" s="17" t="s">
        <v>1211</v>
      </c>
      <c r="AV19" s="17" t="s">
        <v>1213</v>
      </c>
      <c r="AW19" s="17" t="s">
        <v>1538</v>
      </c>
      <c r="AX19" s="17" t="s">
        <v>1550</v>
      </c>
      <c r="AY19" s="17" t="s">
        <v>1746</v>
      </c>
      <c r="AZ19" s="17" t="s">
        <v>1464</v>
      </c>
      <c r="BA19" s="17" t="s">
        <v>1196</v>
      </c>
      <c r="BB19" s="17" t="s">
        <v>1217</v>
      </c>
      <c r="BC19" s="17" t="s">
        <v>1201</v>
      </c>
      <c r="BD19" s="17" t="s">
        <v>1202</v>
      </c>
      <c r="BE19" s="17" t="s">
        <v>1747</v>
      </c>
      <c r="BF19" s="17" t="s">
        <v>1198</v>
      </c>
      <c r="BG19" s="17" t="s">
        <v>1198</v>
      </c>
      <c r="BH19" s="17" t="s">
        <v>1198</v>
      </c>
      <c r="BI19" s="17" t="s">
        <v>1198</v>
      </c>
      <c r="BJ19" s="17" t="s">
        <v>1748</v>
      </c>
      <c r="BK19" s="17" t="s">
        <v>1198</v>
      </c>
      <c r="BL19" s="17" t="s">
        <v>1202</v>
      </c>
      <c r="BM19" s="17" t="s">
        <v>1749</v>
      </c>
      <c r="BN19" s="17" t="s">
        <v>1750</v>
      </c>
      <c r="BO19" s="17" t="s">
        <v>1452</v>
      </c>
      <c r="BP19" s="17" t="s">
        <v>1452</v>
      </c>
      <c r="BQ19" s="17" t="s">
        <v>1751</v>
      </c>
      <c r="BR19" s="17" t="s">
        <v>1532</v>
      </c>
      <c r="BS19" s="17" t="s">
        <v>1465</v>
      </c>
      <c r="BT19" s="17" t="s">
        <v>1752</v>
      </c>
      <c r="BU19" s="17" t="s">
        <v>1203</v>
      </c>
      <c r="BV19" s="17" t="s">
        <v>1204</v>
      </c>
      <c r="BW19" s="17" t="s">
        <v>1757</v>
      </c>
      <c r="BX19" s="17" t="s">
        <v>1758</v>
      </c>
      <c r="BY19" s="17" t="s">
        <v>1755</v>
      </c>
      <c r="BZ19" s="17" t="s">
        <v>1756</v>
      </c>
    </row>
    <row r="20" spans="1:85" s="17" customFormat="1" ht="15">
      <c r="A20" s="298">
        <v>154</v>
      </c>
      <c r="B20" s="17" t="s">
        <v>1539</v>
      </c>
      <c r="C20" s="17" t="s">
        <v>1212</v>
      </c>
      <c r="D20" s="17" t="s">
        <v>1509</v>
      </c>
      <c r="F20" s="17" t="s">
        <v>1812</v>
      </c>
      <c r="G20" s="17" t="s">
        <v>1195</v>
      </c>
      <c r="H20" s="17" t="s">
        <v>1759</v>
      </c>
      <c r="I20" s="17" t="s">
        <v>1760</v>
      </c>
      <c r="J20" s="17">
        <v>100</v>
      </c>
      <c r="K20" s="17">
        <v>1</v>
      </c>
      <c r="L20" s="17">
        <v>1</v>
      </c>
      <c r="M20" s="17">
        <v>100</v>
      </c>
      <c r="N20" s="17" t="s">
        <v>1397</v>
      </c>
      <c r="O20" s="17" t="s">
        <v>1458</v>
      </c>
      <c r="P20" s="17" t="s">
        <v>1459</v>
      </c>
      <c r="Q20" s="17" t="s">
        <v>1198</v>
      </c>
      <c r="R20" s="17" t="s">
        <v>1196</v>
      </c>
      <c r="S20" s="343" t="s">
        <v>1544</v>
      </c>
      <c r="T20" s="17">
        <v>11.9</v>
      </c>
      <c r="U20" s="17">
        <v>11.9</v>
      </c>
      <c r="AC20" s="17" t="s">
        <v>1546</v>
      </c>
      <c r="AD20" s="17" t="s">
        <v>1495</v>
      </c>
      <c r="AE20" s="17" t="s">
        <v>1495</v>
      </c>
      <c r="AF20" s="17" t="s">
        <v>1761</v>
      </c>
      <c r="AG20" s="17" t="s">
        <v>1762</v>
      </c>
      <c r="AH20" s="17" t="s">
        <v>1763</v>
      </c>
      <c r="AI20" s="17" t="s">
        <v>1208</v>
      </c>
      <c r="AJ20" s="17" t="s">
        <v>1197</v>
      </c>
      <c r="AK20" s="17" t="s">
        <v>1198</v>
      </c>
      <c r="AL20" s="17" t="s">
        <v>1198</v>
      </c>
      <c r="AM20" s="17" t="s">
        <v>1526</v>
      </c>
      <c r="AN20" s="17" t="s">
        <v>1486</v>
      </c>
      <c r="AO20" s="17" t="s">
        <v>1451</v>
      </c>
      <c r="AP20" s="17" t="s">
        <v>1199</v>
      </c>
      <c r="AQ20" s="17" t="s">
        <v>1198</v>
      </c>
      <c r="AR20" s="17" t="s">
        <v>1200</v>
      </c>
      <c r="AS20" s="17" t="s">
        <v>1764</v>
      </c>
      <c r="AT20" s="17" t="s">
        <v>1198</v>
      </c>
      <c r="AU20" s="17" t="s">
        <v>1211</v>
      </c>
      <c r="AV20" s="17" t="s">
        <v>1213</v>
      </c>
      <c r="AW20" s="17" t="s">
        <v>1472</v>
      </c>
      <c r="AX20" s="17" t="s">
        <v>1550</v>
      </c>
      <c r="AY20" s="17" t="s">
        <v>1765</v>
      </c>
      <c r="AZ20" s="17" t="s">
        <v>1464</v>
      </c>
      <c r="BA20" s="17" t="s">
        <v>1196</v>
      </c>
      <c r="BB20" s="17" t="s">
        <v>1475</v>
      </c>
      <c r="BC20" s="17" t="s">
        <v>1201</v>
      </c>
      <c r="BD20" s="17" t="s">
        <v>1202</v>
      </c>
      <c r="BE20" s="17" t="s">
        <v>1766</v>
      </c>
      <c r="BF20" s="17" t="s">
        <v>1198</v>
      </c>
      <c r="BG20" s="17" t="s">
        <v>1198</v>
      </c>
      <c r="BH20" s="17" t="s">
        <v>1198</v>
      </c>
      <c r="BI20" s="17" t="s">
        <v>1198</v>
      </c>
      <c r="BJ20" s="17" t="s">
        <v>1767</v>
      </c>
      <c r="BK20" s="17" t="s">
        <v>1198</v>
      </c>
      <c r="BL20" s="17" t="s">
        <v>1202</v>
      </c>
      <c r="BM20" s="17" t="s">
        <v>1768</v>
      </c>
      <c r="BN20" s="17" t="s">
        <v>1769</v>
      </c>
      <c r="BO20" s="17" t="s">
        <v>1217</v>
      </c>
      <c r="BP20" s="17" t="s">
        <v>1217</v>
      </c>
      <c r="BQ20" s="17" t="s">
        <v>1770</v>
      </c>
      <c r="BR20" s="17" t="s">
        <v>1499</v>
      </c>
      <c r="BS20" s="17" t="s">
        <v>1771</v>
      </c>
      <c r="BT20" s="17" t="s">
        <v>1527</v>
      </c>
      <c r="BU20" s="17" t="s">
        <v>1203</v>
      </c>
      <c r="BV20" s="17" t="s">
        <v>1204</v>
      </c>
      <c r="BW20" s="17" t="s">
        <v>1772</v>
      </c>
      <c r="BX20" s="17" t="s">
        <v>1773</v>
      </c>
      <c r="BY20" s="17" t="s">
        <v>1774</v>
      </c>
      <c r="BZ20" s="17" t="s">
        <v>1775</v>
      </c>
    </row>
    <row r="21" spans="1:85" s="17" customFormat="1" ht="15">
      <c r="A21" s="298">
        <v>153</v>
      </c>
      <c r="B21" s="17" t="s">
        <v>1539</v>
      </c>
      <c r="C21" s="17" t="s">
        <v>1523</v>
      </c>
      <c r="D21" s="17" t="s">
        <v>1509</v>
      </c>
      <c r="F21" s="17" t="s">
        <v>1812</v>
      </c>
      <c r="G21" s="17" t="s">
        <v>1195</v>
      </c>
      <c r="H21" s="17" t="s">
        <v>1776</v>
      </c>
      <c r="I21" s="17" t="s">
        <v>1777</v>
      </c>
      <c r="J21" s="17">
        <v>25</v>
      </c>
      <c r="K21" s="17">
        <v>1</v>
      </c>
      <c r="L21" s="17">
        <v>1</v>
      </c>
      <c r="M21" s="17">
        <v>25</v>
      </c>
      <c r="N21" s="17" t="s">
        <v>115</v>
      </c>
      <c r="O21" s="17" t="s">
        <v>115</v>
      </c>
      <c r="P21" s="17" t="s">
        <v>1457</v>
      </c>
      <c r="Q21" s="17" t="s">
        <v>1198</v>
      </c>
      <c r="R21" s="17" t="s">
        <v>1196</v>
      </c>
      <c r="S21" s="343" t="s">
        <v>1544</v>
      </c>
      <c r="T21" s="17">
        <v>314.3</v>
      </c>
      <c r="U21" s="17">
        <v>314.3</v>
      </c>
      <c r="AC21" s="17" t="s">
        <v>1546</v>
      </c>
      <c r="AD21" s="17" t="s">
        <v>1495</v>
      </c>
      <c r="AE21" s="17" t="s">
        <v>1495</v>
      </c>
      <c r="AF21" s="17" t="s">
        <v>1778</v>
      </c>
      <c r="AG21" s="17" t="s">
        <v>1779</v>
      </c>
      <c r="AH21" s="17" t="s">
        <v>1780</v>
      </c>
      <c r="AI21" s="17" t="s">
        <v>1208</v>
      </c>
      <c r="AJ21" s="17" t="s">
        <v>1197</v>
      </c>
      <c r="AK21" s="17" t="s">
        <v>1198</v>
      </c>
      <c r="AL21" s="17" t="s">
        <v>1198</v>
      </c>
      <c r="AM21" s="17" t="s">
        <v>1485</v>
      </c>
      <c r="AN21" s="17" t="s">
        <v>1486</v>
      </c>
      <c r="AO21" s="17" t="s">
        <v>1454</v>
      </c>
      <c r="AP21" s="17" t="s">
        <v>1199</v>
      </c>
      <c r="AQ21" s="17" t="s">
        <v>1198</v>
      </c>
      <c r="AR21" s="17" t="s">
        <v>1200</v>
      </c>
      <c r="AS21" s="17" t="s">
        <v>1781</v>
      </c>
      <c r="AT21" s="17" t="s">
        <v>1198</v>
      </c>
      <c r="AU21" s="17" t="s">
        <v>1211</v>
      </c>
      <c r="AV21" s="17" t="s">
        <v>1213</v>
      </c>
      <c r="AW21" s="17" t="s">
        <v>1472</v>
      </c>
      <c r="AX21" s="17" t="s">
        <v>1550</v>
      </c>
      <c r="AY21" s="17" t="s">
        <v>1782</v>
      </c>
      <c r="AZ21" s="17" t="s">
        <v>1464</v>
      </c>
      <c r="BA21" s="17" t="s">
        <v>1196</v>
      </c>
      <c r="BB21" s="17" t="s">
        <v>1783</v>
      </c>
      <c r="BC21" s="17" t="s">
        <v>1201</v>
      </c>
      <c r="BD21" s="17" t="s">
        <v>1202</v>
      </c>
      <c r="BE21" s="17" t="s">
        <v>1784</v>
      </c>
      <c r="BF21" s="17" t="s">
        <v>1198</v>
      </c>
      <c r="BG21" s="17" t="s">
        <v>1198</v>
      </c>
      <c r="BH21" s="17" t="s">
        <v>1198</v>
      </c>
      <c r="BI21" s="17" t="s">
        <v>1198</v>
      </c>
      <c r="BJ21" s="17" t="s">
        <v>1785</v>
      </c>
      <c r="BK21" s="17" t="s">
        <v>1198</v>
      </c>
      <c r="BL21" s="17" t="s">
        <v>1202</v>
      </c>
      <c r="BM21" s="17" t="s">
        <v>1786</v>
      </c>
      <c r="BN21" s="17" t="s">
        <v>1787</v>
      </c>
      <c r="BO21" s="17" t="s">
        <v>1783</v>
      </c>
      <c r="BP21" s="17" t="s">
        <v>1783</v>
      </c>
      <c r="BQ21" s="17" t="s">
        <v>1788</v>
      </c>
      <c r="BR21" s="17" t="s">
        <v>1524</v>
      </c>
      <c r="BS21" s="17" t="s">
        <v>1524</v>
      </c>
      <c r="BT21" s="17" t="s">
        <v>1205</v>
      </c>
      <c r="BU21" s="17" t="s">
        <v>1203</v>
      </c>
      <c r="BV21" s="17" t="s">
        <v>1204</v>
      </c>
      <c r="BW21" s="17" t="s">
        <v>1789</v>
      </c>
      <c r="BX21" s="17" t="s">
        <v>1790</v>
      </c>
      <c r="BY21" s="17" t="s">
        <v>1791</v>
      </c>
      <c r="BZ21" s="17" t="s">
        <v>1792</v>
      </c>
    </row>
    <row r="22" spans="1:85" s="17" customFormat="1" ht="15">
      <c r="A22" s="298">
        <v>41</v>
      </c>
      <c r="B22" s="17" t="s">
        <v>1539</v>
      </c>
      <c r="C22" s="17" t="s">
        <v>1490</v>
      </c>
      <c r="D22" s="17" t="s">
        <v>1509</v>
      </c>
      <c r="F22" s="17" t="s">
        <v>1812</v>
      </c>
      <c r="G22" s="17" t="s">
        <v>1195</v>
      </c>
      <c r="H22" s="17" t="s">
        <v>1793</v>
      </c>
      <c r="I22" s="17" t="s">
        <v>1794</v>
      </c>
      <c r="J22" s="17">
        <v>100</v>
      </c>
      <c r="K22" s="17">
        <v>2</v>
      </c>
      <c r="L22" s="17">
        <v>1</v>
      </c>
      <c r="M22" s="17">
        <v>100</v>
      </c>
      <c r="N22" s="17" t="s">
        <v>115</v>
      </c>
      <c r="O22" s="17" t="s">
        <v>115</v>
      </c>
      <c r="P22" s="17" t="s">
        <v>1457</v>
      </c>
      <c r="Q22" s="17" t="s">
        <v>1198</v>
      </c>
      <c r="R22" s="17" t="s">
        <v>1196</v>
      </c>
      <c r="S22" s="343" t="s">
        <v>1544</v>
      </c>
      <c r="T22" s="17">
        <v>65.8</v>
      </c>
      <c r="U22" s="17">
        <v>32.9</v>
      </c>
      <c r="AC22" s="17" t="s">
        <v>1546</v>
      </c>
      <c r="AD22" s="17" t="s">
        <v>1495</v>
      </c>
      <c r="AE22" s="17" t="s">
        <v>1495</v>
      </c>
      <c r="AF22" s="17" t="s">
        <v>1795</v>
      </c>
      <c r="AG22" s="17" t="s">
        <v>1796</v>
      </c>
      <c r="AH22" s="17" t="s">
        <v>1537</v>
      </c>
      <c r="AI22" s="17" t="s">
        <v>1208</v>
      </c>
      <c r="AJ22" s="17" t="s">
        <v>1197</v>
      </c>
      <c r="AK22" s="17" t="s">
        <v>1198</v>
      </c>
      <c r="AL22" s="17" t="s">
        <v>1198</v>
      </c>
      <c r="AM22" s="17" t="s">
        <v>1215</v>
      </c>
      <c r="AN22" s="17" t="s">
        <v>1216</v>
      </c>
      <c r="AO22" s="17" t="s">
        <v>1476</v>
      </c>
      <c r="AP22" s="17" t="s">
        <v>1199</v>
      </c>
      <c r="AQ22" s="17" t="s">
        <v>1198</v>
      </c>
      <c r="AR22" s="17" t="s">
        <v>1200</v>
      </c>
      <c r="AS22" s="17" t="s">
        <v>1797</v>
      </c>
      <c r="AT22" s="17" t="s">
        <v>1198</v>
      </c>
      <c r="AU22" s="17" t="s">
        <v>1211</v>
      </c>
      <c r="AV22" s="17" t="s">
        <v>1213</v>
      </c>
      <c r="AW22" s="17" t="s">
        <v>1538</v>
      </c>
      <c r="AX22" s="17" t="s">
        <v>1550</v>
      </c>
      <c r="AY22" s="17" t="s">
        <v>1798</v>
      </c>
      <c r="AZ22" s="17" t="s">
        <v>1464</v>
      </c>
      <c r="BA22" s="17" t="s">
        <v>1196</v>
      </c>
      <c r="BB22" s="17" t="s">
        <v>1452</v>
      </c>
      <c r="BC22" s="17" t="s">
        <v>1201</v>
      </c>
      <c r="BD22" s="17" t="s">
        <v>1202</v>
      </c>
      <c r="BE22" s="17" t="s">
        <v>1799</v>
      </c>
      <c r="BF22" s="17" t="s">
        <v>1198</v>
      </c>
      <c r="BG22" s="17" t="s">
        <v>1198</v>
      </c>
      <c r="BH22" s="17" t="s">
        <v>1198</v>
      </c>
      <c r="BI22" s="17" t="s">
        <v>1198</v>
      </c>
      <c r="BJ22" s="17" t="s">
        <v>1800</v>
      </c>
      <c r="BK22" s="17" t="s">
        <v>1198</v>
      </c>
      <c r="BL22" s="17" t="s">
        <v>1202</v>
      </c>
      <c r="BM22" s="17" t="s">
        <v>1801</v>
      </c>
      <c r="BN22" s="17" t="s">
        <v>1802</v>
      </c>
      <c r="BO22" s="17" t="s">
        <v>1452</v>
      </c>
      <c r="BP22" s="17" t="s">
        <v>1452</v>
      </c>
      <c r="BQ22" s="17" t="s">
        <v>1803</v>
      </c>
      <c r="BR22" s="17" t="s">
        <v>1494</v>
      </c>
      <c r="BS22" s="17" t="s">
        <v>1484</v>
      </c>
      <c r="BT22" s="17" t="s">
        <v>1205</v>
      </c>
      <c r="BU22" s="17" t="s">
        <v>1203</v>
      </c>
      <c r="BV22" s="17" t="s">
        <v>1204</v>
      </c>
      <c r="BW22" s="17" t="s">
        <v>1804</v>
      </c>
      <c r="BX22" s="17" t="s">
        <v>1805</v>
      </c>
      <c r="BY22" s="17" t="s">
        <v>1806</v>
      </c>
      <c r="BZ22" s="17" t="s">
        <v>1807</v>
      </c>
    </row>
    <row r="23" spans="1:85" s="17" customFormat="1" ht="15">
      <c r="A23" s="298">
        <v>41</v>
      </c>
      <c r="B23" s="17" t="s">
        <v>1539</v>
      </c>
      <c r="C23" s="17" t="s">
        <v>1490</v>
      </c>
      <c r="D23" s="17" t="s">
        <v>1509</v>
      </c>
      <c r="F23" s="17" t="s">
        <v>1812</v>
      </c>
      <c r="G23" s="17" t="s">
        <v>1195</v>
      </c>
      <c r="H23" s="17" t="s">
        <v>1793</v>
      </c>
      <c r="I23" s="17" t="s">
        <v>1794</v>
      </c>
      <c r="J23" s="17">
        <v>100</v>
      </c>
      <c r="K23" s="17">
        <v>2</v>
      </c>
      <c r="L23" s="17">
        <v>1</v>
      </c>
      <c r="M23" s="17">
        <v>100</v>
      </c>
      <c r="N23" s="17" t="s">
        <v>115</v>
      </c>
      <c r="O23" s="17" t="s">
        <v>115</v>
      </c>
      <c r="P23" s="17" t="s">
        <v>1457</v>
      </c>
      <c r="Q23" s="17" t="s">
        <v>1198</v>
      </c>
      <c r="R23" s="17" t="s">
        <v>1196</v>
      </c>
      <c r="S23" s="343" t="s">
        <v>1544</v>
      </c>
      <c r="T23" s="17">
        <v>65.8</v>
      </c>
      <c r="U23" s="17">
        <v>32.9</v>
      </c>
      <c r="AC23" s="17" t="s">
        <v>1546</v>
      </c>
      <c r="AD23" s="17" t="s">
        <v>1495</v>
      </c>
      <c r="AE23" s="17" t="s">
        <v>1495</v>
      </c>
      <c r="AF23" s="17" t="s">
        <v>1795</v>
      </c>
      <c r="AG23" s="17" t="s">
        <v>1796</v>
      </c>
      <c r="AH23" s="17" t="s">
        <v>1537</v>
      </c>
      <c r="AI23" s="17" t="s">
        <v>1208</v>
      </c>
      <c r="AJ23" s="17" t="s">
        <v>1197</v>
      </c>
      <c r="AK23" s="17" t="s">
        <v>1198</v>
      </c>
      <c r="AL23" s="17" t="s">
        <v>1198</v>
      </c>
      <c r="AM23" s="17" t="s">
        <v>1215</v>
      </c>
      <c r="AN23" s="17" t="s">
        <v>1216</v>
      </c>
      <c r="AO23" s="17" t="s">
        <v>1476</v>
      </c>
      <c r="AP23" s="17" t="s">
        <v>1199</v>
      </c>
      <c r="AQ23" s="17" t="s">
        <v>1198</v>
      </c>
      <c r="AR23" s="17" t="s">
        <v>1200</v>
      </c>
      <c r="AS23" s="17" t="s">
        <v>1797</v>
      </c>
      <c r="AT23" s="17" t="s">
        <v>1198</v>
      </c>
      <c r="AU23" s="17" t="s">
        <v>1211</v>
      </c>
      <c r="AV23" s="17" t="s">
        <v>1213</v>
      </c>
      <c r="AW23" s="17" t="s">
        <v>1538</v>
      </c>
      <c r="AX23" s="17" t="s">
        <v>1550</v>
      </c>
      <c r="AY23" s="17" t="s">
        <v>1808</v>
      </c>
      <c r="AZ23" s="17" t="s">
        <v>1464</v>
      </c>
      <c r="BA23" s="17" t="s">
        <v>1196</v>
      </c>
      <c r="BB23" s="17" t="s">
        <v>1452</v>
      </c>
      <c r="BC23" s="17" t="s">
        <v>1201</v>
      </c>
      <c r="BD23" s="17" t="s">
        <v>1202</v>
      </c>
      <c r="BE23" s="17" t="s">
        <v>1799</v>
      </c>
      <c r="BF23" s="17" t="s">
        <v>1198</v>
      </c>
      <c r="BG23" s="17" t="s">
        <v>1198</v>
      </c>
      <c r="BH23" s="17" t="s">
        <v>1198</v>
      </c>
      <c r="BI23" s="17" t="s">
        <v>1198</v>
      </c>
      <c r="BJ23" s="17" t="s">
        <v>1800</v>
      </c>
      <c r="BK23" s="17" t="s">
        <v>1198</v>
      </c>
      <c r="BL23" s="17" t="s">
        <v>1202</v>
      </c>
      <c r="BM23" s="17" t="s">
        <v>1801</v>
      </c>
      <c r="BN23" s="17" t="s">
        <v>1802</v>
      </c>
      <c r="BO23" s="17" t="s">
        <v>1452</v>
      </c>
      <c r="BP23" s="17" t="s">
        <v>1452</v>
      </c>
      <c r="BQ23" s="17" t="s">
        <v>1803</v>
      </c>
      <c r="BR23" s="17" t="s">
        <v>1494</v>
      </c>
      <c r="BS23" s="17" t="s">
        <v>1484</v>
      </c>
      <c r="BT23" s="17" t="s">
        <v>1205</v>
      </c>
      <c r="BU23" s="17" t="s">
        <v>1203</v>
      </c>
      <c r="BV23" s="17" t="s">
        <v>1204</v>
      </c>
      <c r="BW23" s="17" t="s">
        <v>1809</v>
      </c>
      <c r="BX23" s="17" t="s">
        <v>1810</v>
      </c>
      <c r="BY23" s="17" t="s">
        <v>1806</v>
      </c>
      <c r="BZ23" s="17" t="s">
        <v>1807</v>
      </c>
    </row>
    <row r="24" spans="1:85" s="229" customFormat="1" ht="15">
      <c r="A24" s="298"/>
      <c r="D24" s="17"/>
      <c r="E24" s="299"/>
      <c r="F24" s="17"/>
      <c r="H24" s="300"/>
      <c r="L24" s="301"/>
      <c r="M24" s="301"/>
      <c r="N24" s="301"/>
      <c r="O24" s="17"/>
      <c r="P24" s="301"/>
      <c r="Q24" s="301"/>
      <c r="S24" s="343"/>
      <c r="AD24" s="301"/>
      <c r="AE24" s="301"/>
      <c r="AF24" s="301"/>
      <c r="AG24" s="301"/>
      <c r="AH24" s="301"/>
      <c r="AI24" s="301"/>
      <c r="AJ24" s="301"/>
      <c r="AK24" s="301"/>
      <c r="AL24" s="301"/>
      <c r="CF24" s="17"/>
      <c r="CG24" s="17"/>
    </row>
    <row r="25" spans="1:85" s="17" customFormat="1" ht="15">
      <c r="A25" s="298"/>
      <c r="S25" s="343"/>
    </row>
    <row r="26" spans="1:85" s="17" customFormat="1" ht="15">
      <c r="A26" s="298"/>
      <c r="S26" s="343"/>
    </row>
    <row r="27" spans="1:85" s="17" customFormat="1" ht="15">
      <c r="A27" s="298"/>
      <c r="S27" s="343"/>
    </row>
    <row r="28" spans="1:85" s="17" customFormat="1" ht="15">
      <c r="A28" s="298"/>
      <c r="S28" s="343"/>
    </row>
    <row r="29" spans="1:85" s="17" customFormat="1" ht="15">
      <c r="A29" s="298"/>
      <c r="S29" s="343"/>
    </row>
    <row r="30" spans="1:85" s="17" customFormat="1" ht="15">
      <c r="A30" s="298"/>
      <c r="S30" s="343"/>
    </row>
    <row r="31" spans="1:85" s="17" customFormat="1" ht="15">
      <c r="A31" s="298"/>
      <c r="S31" s="343"/>
    </row>
    <row r="32" spans="1:85" s="17" customFormat="1" ht="15">
      <c r="A32" s="298"/>
      <c r="S32" s="343"/>
    </row>
    <row r="33" spans="1:85" s="17" customFormat="1" ht="15">
      <c r="A33" s="298"/>
      <c r="S33" s="343"/>
    </row>
    <row r="34" spans="1:85" s="17" customFormat="1" ht="15">
      <c r="A34" s="298"/>
      <c r="S34" s="343"/>
    </row>
    <row r="35" spans="1:85" s="17" customFormat="1" ht="15">
      <c r="A35" s="298"/>
      <c r="S35" s="343"/>
    </row>
    <row r="36" spans="1:85" s="17" customFormat="1" ht="15">
      <c r="A36" s="298"/>
      <c r="S36" s="343"/>
    </row>
    <row r="37" spans="1:85" s="17" customFormat="1" ht="15">
      <c r="A37" s="298"/>
      <c r="S37" s="343"/>
    </row>
    <row r="38" spans="1:85" s="17" customFormat="1" ht="15">
      <c r="A38" s="298"/>
      <c r="S38" s="343"/>
    </row>
    <row r="39" spans="1:85" s="17" customFormat="1" ht="15">
      <c r="A39" s="298"/>
      <c r="S39" s="343"/>
    </row>
    <row r="40" spans="1:85" s="17" customFormat="1" ht="15">
      <c r="A40" s="298"/>
      <c r="S40" s="343"/>
    </row>
    <row r="41" spans="1:85" s="17" customFormat="1" ht="15">
      <c r="A41" s="298"/>
      <c r="S41" s="343"/>
    </row>
    <row r="42" spans="1:85" s="229" customFormat="1" ht="15">
      <c r="A42" s="298"/>
      <c r="D42" s="17"/>
      <c r="E42" s="299"/>
      <c r="F42" s="17"/>
      <c r="H42" s="300"/>
      <c r="L42" s="301"/>
      <c r="M42" s="301"/>
      <c r="N42" s="301"/>
      <c r="O42" s="17"/>
      <c r="P42" s="301"/>
      <c r="Q42" s="301"/>
      <c r="S42" s="343"/>
      <c r="AD42" s="301"/>
      <c r="AE42" s="301"/>
      <c r="AF42" s="301"/>
      <c r="AG42" s="301"/>
      <c r="AH42" s="301"/>
      <c r="AI42" s="301"/>
      <c r="AJ42" s="301"/>
      <c r="AK42" s="301"/>
      <c r="AL42" s="301"/>
      <c r="CF42" s="17"/>
      <c r="CG42" s="17"/>
    </row>
    <row r="43" spans="1:85" s="17" customFormat="1" ht="15">
      <c r="A43" s="298"/>
      <c r="S43" s="343"/>
    </row>
    <row r="44" spans="1:85" s="17" customFormat="1" ht="15">
      <c r="A44" s="298"/>
      <c r="S44" s="343"/>
    </row>
    <row r="45" spans="1:85" s="17" customFormat="1" ht="15">
      <c r="A45" s="298"/>
      <c r="S45" s="343"/>
    </row>
    <row r="46" spans="1:85" s="17" customFormat="1" ht="15">
      <c r="A46" s="298"/>
      <c r="S46" s="343"/>
    </row>
    <row r="47" spans="1:85" s="17" customFormat="1" ht="15">
      <c r="A47" s="298"/>
      <c r="S47" s="343"/>
    </row>
    <row r="48" spans="1:85" s="17" customFormat="1" ht="15">
      <c r="A48" s="298"/>
      <c r="S48" s="343"/>
    </row>
    <row r="49" spans="1:85" s="17" customFormat="1" ht="15">
      <c r="A49" s="298"/>
      <c r="S49" s="343"/>
    </row>
    <row r="50" spans="1:85" s="17" customFormat="1" ht="15">
      <c r="A50" s="298"/>
      <c r="S50" s="343"/>
    </row>
    <row r="51" spans="1:85" s="17" customFormat="1" ht="15">
      <c r="A51" s="298"/>
      <c r="S51" s="343"/>
    </row>
    <row r="52" spans="1:85" s="17" customFormat="1" ht="15">
      <c r="A52" s="298"/>
      <c r="S52" s="343"/>
    </row>
    <row r="53" spans="1:85" s="17" customFormat="1" ht="15">
      <c r="A53" s="298"/>
      <c r="S53" s="343"/>
    </row>
    <row r="54" spans="1:85" s="17" customFormat="1" ht="15">
      <c r="A54" s="298"/>
      <c r="S54" s="343"/>
    </row>
    <row r="55" spans="1:85" s="17" customFormat="1" ht="15">
      <c r="A55" s="298"/>
      <c r="S55" s="343"/>
    </row>
    <row r="56" spans="1:85" s="229" customFormat="1" ht="15">
      <c r="A56" s="298"/>
      <c r="D56" s="17"/>
      <c r="E56" s="299"/>
      <c r="F56" s="17"/>
      <c r="H56" s="300"/>
      <c r="L56" s="301"/>
      <c r="M56" s="301"/>
      <c r="N56" s="301"/>
      <c r="O56" s="17"/>
      <c r="P56" s="301"/>
      <c r="Q56" s="301"/>
      <c r="S56" s="343"/>
      <c r="AD56" s="301"/>
      <c r="AE56" s="301"/>
      <c r="AF56" s="303"/>
      <c r="AG56" s="301"/>
      <c r="AH56" s="301"/>
      <c r="AI56" s="301"/>
      <c r="AJ56" s="301"/>
      <c r="AK56" s="301"/>
      <c r="AL56" s="301"/>
      <c r="CF56" s="17"/>
      <c r="CG56" s="17"/>
    </row>
    <row r="57" spans="1:85" s="17" customFormat="1" ht="15">
      <c r="A57" s="298"/>
      <c r="S57" s="343"/>
    </row>
    <row r="58" spans="1:85" s="17" customFormat="1" ht="15">
      <c r="A58" s="298"/>
      <c r="S58" s="343"/>
    </row>
    <row r="59" spans="1:85" s="17" customFormat="1" ht="15">
      <c r="A59" s="298"/>
      <c r="S59" s="343"/>
    </row>
    <row r="60" spans="1:85" s="17" customFormat="1" ht="15">
      <c r="A60" s="298"/>
      <c r="S60" s="343"/>
    </row>
    <row r="61" spans="1:85" s="17" customFormat="1" ht="15">
      <c r="A61" s="298"/>
      <c r="S61" s="343"/>
    </row>
    <row r="62" spans="1:85" s="17" customFormat="1" ht="15">
      <c r="A62" s="298"/>
      <c r="S62" s="343"/>
    </row>
    <row r="63" spans="1:85" s="17" customFormat="1" ht="15">
      <c r="A63" s="298"/>
      <c r="S63" s="343"/>
    </row>
    <row r="64" spans="1:85" s="17" customFormat="1" ht="15">
      <c r="A64" s="298"/>
      <c r="S64" s="343"/>
    </row>
    <row r="65" spans="1:85" s="17" customFormat="1" ht="15">
      <c r="A65" s="298"/>
      <c r="S65" s="343"/>
    </row>
    <row r="66" spans="1:85" s="17" customFormat="1" ht="15">
      <c r="A66" s="298"/>
      <c r="S66" s="343"/>
    </row>
    <row r="67" spans="1:85" s="17" customFormat="1" ht="15">
      <c r="A67" s="298"/>
      <c r="S67" s="343"/>
    </row>
    <row r="68" spans="1:85" s="17" customFormat="1" ht="15">
      <c r="A68" s="298"/>
      <c r="S68" s="343"/>
    </row>
    <row r="69" spans="1:85" s="17" customFormat="1" ht="15">
      <c r="A69" s="298"/>
      <c r="S69" s="343"/>
    </row>
    <row r="70" spans="1:85" s="17" customFormat="1" ht="15">
      <c r="A70" s="298"/>
      <c r="S70" s="343"/>
    </row>
    <row r="71" spans="1:85" s="17" customFormat="1" ht="15">
      <c r="A71" s="298"/>
      <c r="S71" s="343"/>
    </row>
    <row r="72" spans="1:85" s="17" customFormat="1" ht="15">
      <c r="A72" s="298"/>
      <c r="S72" s="343"/>
    </row>
    <row r="73" spans="1:85" ht="15">
      <c r="A73" s="298"/>
      <c r="B73" s="17"/>
      <c r="C73" s="17"/>
      <c r="D73" s="17"/>
      <c r="E73" s="17"/>
      <c r="F73" s="17"/>
      <c r="G73" s="17"/>
      <c r="H73" s="17"/>
      <c r="I73" s="17"/>
      <c r="J73" s="17"/>
      <c r="K73" s="17"/>
      <c r="L73" s="17"/>
      <c r="M73" s="17"/>
      <c r="N73" s="17"/>
      <c r="O73" s="17"/>
      <c r="P73" s="17"/>
      <c r="Q73" s="17"/>
      <c r="R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row>
  </sheetData>
  <phoneticPr fontId="1" type="noConversion"/>
  <conditionalFormatting sqref="D73:F73 E2:E5 D2:D72 F2:F72">
    <cfRule type="cellIs" dxfId="299" priority="84" operator="greaterThan">
      <formula>1</formula>
    </cfRule>
    <cfRule type="cellIs" dxfId="298" priority="85" operator="greaterThan">
      <formula>1</formula>
    </cfRule>
  </conditionalFormatting>
  <conditionalFormatting sqref="K73">
    <cfRule type="cellIs" dxfId="297" priority="83" operator="greaterThan">
      <formula>1</formula>
    </cfRule>
  </conditionalFormatting>
  <conditionalFormatting sqref="N24 N6 N42 N56">
    <cfRule type="cellIs" dxfId="296" priority="81" operator="greaterThan">
      <formula>1</formula>
    </cfRule>
  </conditionalFormatting>
  <conditionalFormatting sqref="E7:E23 E25:E41 E43:E55 E57:E72">
    <cfRule type="cellIs" dxfId="295" priority="79" operator="greaterThan">
      <formula>1</formula>
    </cfRule>
    <cfRule type="cellIs" dxfId="294" priority="80" operator="greaterThan">
      <formula>1</formula>
    </cfRule>
  </conditionalFormatting>
  <conditionalFormatting sqref="T24">
    <cfRule type="containsText" dxfId="293" priority="40" operator="containsText" text="合并">
      <formula>NOT(ISERROR(SEARCH("合并",T24)))</formula>
    </cfRule>
  </conditionalFormatting>
  <conditionalFormatting sqref="M24">
    <cfRule type="cellIs" dxfId="292" priority="39" operator="greaterThan">
      <formula>1</formula>
    </cfRule>
  </conditionalFormatting>
  <conditionalFormatting sqref="AZ24">
    <cfRule type="containsText" dxfId="291" priority="38" operator="containsText" text="深圳">
      <formula>NOT(ISERROR(SEARCH("深圳",AZ24)))</formula>
    </cfRule>
  </conditionalFormatting>
  <conditionalFormatting sqref="T6">
    <cfRule type="containsText" dxfId="290" priority="43" operator="containsText" text="合并">
      <formula>NOT(ISERROR(SEARCH("合并",T6)))</formula>
    </cfRule>
  </conditionalFormatting>
  <conditionalFormatting sqref="M6">
    <cfRule type="cellIs" dxfId="289" priority="42" operator="greaterThan">
      <formula>1</formula>
    </cfRule>
  </conditionalFormatting>
  <conditionalFormatting sqref="AZ6">
    <cfRule type="containsText" dxfId="288" priority="41" operator="containsText" text="深圳">
      <formula>NOT(ISERROR(SEARCH("深圳",AZ6)))</formula>
    </cfRule>
  </conditionalFormatting>
  <conditionalFormatting sqref="T42">
    <cfRule type="containsText" dxfId="287" priority="37" operator="containsText" text="合并">
      <formula>NOT(ISERROR(SEARCH("合并",T42)))</formula>
    </cfRule>
  </conditionalFormatting>
  <conditionalFormatting sqref="M42">
    <cfRule type="cellIs" dxfId="286" priority="36" operator="greaterThan">
      <formula>1</formula>
    </cfRule>
  </conditionalFormatting>
  <conditionalFormatting sqref="AZ42">
    <cfRule type="containsText" dxfId="285" priority="35" operator="containsText" text="深圳">
      <formula>NOT(ISERROR(SEARCH("深圳",AZ42)))</formula>
    </cfRule>
  </conditionalFormatting>
  <conditionalFormatting sqref="T56">
    <cfRule type="containsText" dxfId="284" priority="33" operator="containsText" text="合并">
      <formula>NOT(ISERROR(SEARCH("合并",T56)))</formula>
    </cfRule>
  </conditionalFormatting>
  <conditionalFormatting sqref="M56">
    <cfRule type="cellIs" dxfId="283" priority="32" operator="greaterThan">
      <formula>1</formula>
    </cfRule>
  </conditionalFormatting>
  <conditionalFormatting sqref="AZ56">
    <cfRule type="containsText" dxfId="282" priority="31" operator="containsText" text="深圳">
      <formula>NOT(ISERROR(SEARCH("深圳",AZ56)))</formula>
    </cfRule>
  </conditionalFormatting>
  <conditionalFormatting sqref="H42">
    <cfRule type="containsText" dxfId="281" priority="34" operator="containsText" text="合并">
      <formula>NOT(ISERROR(SEARCH("合并",H42)))</formula>
    </cfRule>
  </conditionalFormatting>
  <conditionalFormatting sqref="K2:K5">
    <cfRule type="cellIs" dxfId="280" priority="29" operator="greaterThan">
      <formula>1</formula>
    </cfRule>
  </conditionalFormatting>
  <conditionalFormatting sqref="K7:K13">
    <cfRule type="cellIs" dxfId="279" priority="28" operator="greaterThan">
      <formula>1</formula>
    </cfRule>
  </conditionalFormatting>
  <conditionalFormatting sqref="K14:K23">
    <cfRule type="cellIs" dxfId="278" priority="27" operator="greaterThan">
      <formula>1</formula>
    </cfRule>
  </conditionalFormatting>
  <conditionalFormatting sqref="K25:K33">
    <cfRule type="cellIs" dxfId="277" priority="26" operator="greaterThan">
      <formula>1</formula>
    </cfRule>
  </conditionalFormatting>
  <conditionalFormatting sqref="K34:K41">
    <cfRule type="cellIs" dxfId="276" priority="25" operator="greaterThan">
      <formula>1</formula>
    </cfRule>
  </conditionalFormatting>
  <conditionalFormatting sqref="K43:K51">
    <cfRule type="cellIs" dxfId="275" priority="24" operator="greaterThan">
      <formula>1</formula>
    </cfRule>
  </conditionalFormatting>
  <conditionalFormatting sqref="K52:K55">
    <cfRule type="cellIs" dxfId="274" priority="23" operator="greaterThan">
      <formula>1</formula>
    </cfRule>
  </conditionalFormatting>
  <conditionalFormatting sqref="K57:K66">
    <cfRule type="cellIs" dxfId="273" priority="22" operator="greaterThan">
      <formula>1</formula>
    </cfRule>
  </conditionalFormatting>
  <conditionalFormatting sqref="K67:K72">
    <cfRule type="cellIs" dxfId="272" priority="21" operator="greaterThan">
      <formula>1</formula>
    </cfRule>
  </conditionalFormatting>
  <conditionalFormatting sqref="D1">
    <cfRule type="expression" dxfId="271" priority="20">
      <formula>BC1="Shipper"</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30"/>
  <sheetViews>
    <sheetView topLeftCell="A7" workbookViewId="0">
      <selection activeCell="C36" sqref="C36"/>
    </sheetView>
  </sheetViews>
  <sheetFormatPr defaultRowHeight="14.25"/>
  <cols>
    <col min="1" max="1" width="32.75" style="350" customWidth="1"/>
    <col min="2" max="2" width="8.875" style="350" customWidth="1"/>
    <col min="3" max="3" width="20.125" style="350" customWidth="1"/>
    <col min="4" max="4" width="9.625" style="350" customWidth="1"/>
    <col min="5" max="5" width="12.375" style="350" customWidth="1"/>
    <col min="6" max="16384" width="9" style="350"/>
  </cols>
  <sheetData>
    <row r="1" spans="1:5" ht="46.5" customHeight="1">
      <c r="A1" s="581" t="s">
        <v>634</v>
      </c>
      <c r="B1" s="582"/>
      <c r="C1" s="582"/>
      <c r="D1" s="582"/>
      <c r="E1" s="582"/>
    </row>
    <row r="2" spans="1:5" ht="29.25" customHeight="1">
      <c r="A2" s="351" t="s">
        <v>635</v>
      </c>
      <c r="B2" s="583" t="s">
        <v>636</v>
      </c>
      <c r="C2" s="584"/>
      <c r="D2" s="584"/>
      <c r="E2" s="585"/>
    </row>
    <row r="3" spans="1:5" ht="29.25" customHeight="1">
      <c r="A3" s="351" t="s">
        <v>637</v>
      </c>
      <c r="B3" s="586" t="s">
        <v>638</v>
      </c>
      <c r="C3" s="587"/>
      <c r="D3" s="587"/>
      <c r="E3" s="588"/>
    </row>
    <row r="4" spans="1:5" ht="29.25" customHeight="1">
      <c r="A4" s="351" t="s">
        <v>639</v>
      </c>
      <c r="B4" s="583" t="s">
        <v>640</v>
      </c>
      <c r="C4" s="584"/>
      <c r="D4" s="584"/>
      <c r="E4" s="585"/>
    </row>
    <row r="5" spans="1:5" ht="29.25" customHeight="1">
      <c r="A5" s="351" t="s">
        <v>86</v>
      </c>
      <c r="B5" s="583" t="str">
        <f>发货清单!F2</f>
        <v>2786337676</v>
      </c>
      <c r="C5" s="584"/>
      <c r="D5" s="584"/>
      <c r="E5" s="585"/>
    </row>
    <row r="6" spans="1:5" ht="12" customHeight="1">
      <c r="A6" s="547" t="s">
        <v>641</v>
      </c>
      <c r="B6" s="572" t="s">
        <v>450</v>
      </c>
      <c r="C6" s="573"/>
      <c r="D6" s="573"/>
      <c r="E6" s="574"/>
    </row>
    <row r="7" spans="1:5" ht="12" customHeight="1">
      <c r="A7" s="548"/>
      <c r="B7" s="575"/>
      <c r="C7" s="576"/>
      <c r="D7" s="576"/>
      <c r="E7" s="577"/>
    </row>
    <row r="8" spans="1:5" ht="12" customHeight="1">
      <c r="A8" s="549"/>
      <c r="B8" s="578"/>
      <c r="C8" s="579"/>
      <c r="D8" s="579"/>
      <c r="E8" s="580"/>
    </row>
    <row r="9" spans="1:5" ht="12" customHeight="1">
      <c r="A9" s="547" t="s">
        <v>642</v>
      </c>
      <c r="B9" s="550" t="s">
        <v>426</v>
      </c>
      <c r="C9" s="551"/>
      <c r="D9" s="551"/>
      <c r="E9" s="552"/>
    </row>
    <row r="10" spans="1:5" ht="12" customHeight="1">
      <c r="A10" s="548"/>
      <c r="B10" s="553"/>
      <c r="C10" s="554"/>
      <c r="D10" s="554"/>
      <c r="E10" s="555"/>
    </row>
    <row r="11" spans="1:5" ht="12" customHeight="1">
      <c r="A11" s="549"/>
      <c r="B11" s="556"/>
      <c r="C11" s="557"/>
      <c r="D11" s="557"/>
      <c r="E11" s="558"/>
    </row>
    <row r="12" spans="1:5" ht="12.75" customHeight="1">
      <c r="A12" s="559" t="s">
        <v>643</v>
      </c>
      <c r="B12" s="562" t="s">
        <v>457</v>
      </c>
      <c r="C12" s="563"/>
      <c r="D12" s="568" t="s">
        <v>45</v>
      </c>
      <c r="E12" s="571">
        <v>43801</v>
      </c>
    </row>
    <row r="13" spans="1:5" ht="12.75" customHeight="1">
      <c r="A13" s="560"/>
      <c r="B13" s="564"/>
      <c r="C13" s="565"/>
      <c r="D13" s="569"/>
      <c r="E13" s="569"/>
    </row>
    <row r="14" spans="1:5" ht="12.75" customHeight="1">
      <c r="A14" s="561"/>
      <c r="B14" s="566"/>
      <c r="C14" s="567"/>
      <c r="D14" s="570"/>
      <c r="E14" s="570"/>
    </row>
    <row r="15" spans="1:5" ht="49.5" customHeight="1">
      <c r="A15" s="352" t="s">
        <v>644</v>
      </c>
      <c r="B15" s="532" t="s">
        <v>645</v>
      </c>
      <c r="C15" s="533"/>
      <c r="D15" s="533"/>
      <c r="E15" s="534"/>
    </row>
    <row r="16" spans="1:5" ht="29.25" customHeight="1">
      <c r="A16" s="353" t="s">
        <v>646</v>
      </c>
      <c r="B16" s="535" t="s">
        <v>647</v>
      </c>
      <c r="C16" s="536"/>
      <c r="D16" s="536"/>
      <c r="E16" s="537"/>
    </row>
    <row r="17" spans="1:5" ht="29.25" customHeight="1">
      <c r="A17" s="351" t="s">
        <v>88</v>
      </c>
      <c r="B17" s="538" t="s">
        <v>648</v>
      </c>
      <c r="C17" s="539"/>
      <c r="D17" s="539"/>
      <c r="E17" s="540"/>
    </row>
    <row r="18" spans="1:5" ht="22.5" customHeight="1">
      <c r="A18" s="353" t="s">
        <v>649</v>
      </c>
      <c r="B18" s="541" t="str">
        <f>'Commercial Invoice3'!E15</f>
        <v>UK</v>
      </c>
      <c r="C18" s="542"/>
      <c r="D18" s="542"/>
      <c r="E18" s="543"/>
    </row>
    <row r="19" spans="1:5" ht="109.5" customHeight="1">
      <c r="A19" s="544" t="str">
        <f>"我公司委托"&amp;发货清单!E2&amp;"承运的该类货物，无爆炸、无氧化、无腐蚀、无放射性、非易燃、非有毒有害、非用于制造化学武器的原料，经上海化工院检测有限公司鉴定，无危险性，可按普通货物条件运输，包装符合要求"&amp;"。The shipment that I consign by "&amp;发货清单!E2&amp;" does not contain the explosive, oxidation, corrosives, radioactive, flammable, toxic and infectious substance and the material for the chemical weapon. After Shanghai Research Institute of Chemical Industry Testing Co., Ltd. "&amp;"testing, the shipment without fatalness can be transported as the general cargo and the packaging meets the transportation requirement"</f>
        <v>我公司委托DHL承运的该类货物，无爆炸、无氧化、无腐蚀、无放射性、非易燃、非有毒有害、非用于制造化学武器的原料，经上海化工院检测有限公司鉴定，无危险性，可按普通货物条件运输，包装符合要求。The shipment that I consign by DHL does not contain the explosive, oxidation, corrosives, radioactive, flammable, toxic and infectious substance and the material for the chemical weapon. After Shanghai Research Institute of Chemical Industry Testing Co., Ltd. testing, the shipment without fatalness can be transported as the general cargo and the packaging meets the transportation requirement</v>
      </c>
      <c r="B19" s="545"/>
      <c r="C19" s="545"/>
      <c r="D19" s="545"/>
      <c r="E19" s="546"/>
    </row>
    <row r="20" spans="1:5" ht="55.5" customHeight="1">
      <c r="A20" s="544" t="s">
        <v>650</v>
      </c>
      <c r="B20" s="545"/>
      <c r="C20" s="545"/>
      <c r="D20" s="545"/>
      <c r="E20" s="546"/>
    </row>
    <row r="21" spans="1:5" ht="18.75" customHeight="1">
      <c r="A21" s="523" t="s">
        <v>651</v>
      </c>
      <c r="B21" s="524"/>
      <c r="C21" s="523" t="s">
        <v>652</v>
      </c>
      <c r="D21" s="529"/>
      <c r="E21" s="524"/>
    </row>
    <row r="22" spans="1:5" ht="18.75" customHeight="1">
      <c r="A22" s="525"/>
      <c r="B22" s="526"/>
      <c r="C22" s="525"/>
      <c r="D22" s="530"/>
      <c r="E22" s="526"/>
    </row>
    <row r="23" spans="1:5" ht="18.75" customHeight="1">
      <c r="A23" s="525"/>
      <c r="B23" s="526"/>
      <c r="C23" s="525"/>
      <c r="D23" s="530"/>
      <c r="E23" s="526"/>
    </row>
    <row r="24" spans="1:5" ht="22.5" customHeight="1">
      <c r="A24" s="525"/>
      <c r="B24" s="526"/>
      <c r="C24" s="525"/>
      <c r="D24" s="530"/>
      <c r="E24" s="526"/>
    </row>
    <row r="25" spans="1:5" ht="18.75" customHeight="1">
      <c r="A25" s="525"/>
      <c r="B25" s="526"/>
      <c r="C25" s="525"/>
      <c r="D25" s="530"/>
      <c r="E25" s="526"/>
    </row>
    <row r="26" spans="1:5" ht="6.75" customHeight="1">
      <c r="A26" s="525"/>
      <c r="B26" s="526"/>
      <c r="C26" s="525"/>
      <c r="D26" s="530"/>
      <c r="E26" s="526"/>
    </row>
    <row r="27" spans="1:5" ht="6.75" customHeight="1">
      <c r="A27" s="525"/>
      <c r="B27" s="526"/>
      <c r="C27" s="525"/>
      <c r="D27" s="530"/>
      <c r="E27" s="526"/>
    </row>
    <row r="28" spans="1:5" ht="6.75" customHeight="1">
      <c r="A28" s="525"/>
      <c r="B28" s="526"/>
      <c r="C28" s="525"/>
      <c r="D28" s="530"/>
      <c r="E28" s="526"/>
    </row>
    <row r="29" spans="1:5" ht="6.75" customHeight="1">
      <c r="A29" s="525"/>
      <c r="B29" s="526"/>
      <c r="C29" s="525"/>
      <c r="D29" s="530"/>
      <c r="E29" s="526"/>
    </row>
    <row r="30" spans="1:5" ht="1.5" customHeight="1">
      <c r="A30" s="527"/>
      <c r="B30" s="528"/>
      <c r="C30" s="527"/>
      <c r="D30" s="531"/>
      <c r="E30" s="528"/>
    </row>
  </sheetData>
  <mergeCells count="21">
    <mergeCell ref="A6:A8"/>
    <mergeCell ref="B6:E8"/>
    <mergeCell ref="A1:E1"/>
    <mergeCell ref="B2:E2"/>
    <mergeCell ref="B3:E3"/>
    <mergeCell ref="B4:E4"/>
    <mergeCell ref="B5:E5"/>
    <mergeCell ref="A9:A11"/>
    <mergeCell ref="B9:E11"/>
    <mergeCell ref="A12:A14"/>
    <mergeCell ref="B12:C14"/>
    <mergeCell ref="D12:D14"/>
    <mergeCell ref="E12:E14"/>
    <mergeCell ref="A21:B30"/>
    <mergeCell ref="C21:E30"/>
    <mergeCell ref="B15:E15"/>
    <mergeCell ref="B16:E16"/>
    <mergeCell ref="B17:E17"/>
    <mergeCell ref="B18:E18"/>
    <mergeCell ref="A19:E19"/>
    <mergeCell ref="A20:E20"/>
  </mergeCells>
  <phoneticPr fontId="1" type="noConversion"/>
  <pageMargins left="0.59055118110236227" right="0.19685039370078741" top="0.59055118110236227" bottom="0.98425196850393704" header="0.51181102362204722" footer="0.51181102362204722"/>
  <pageSetup paperSize="9" orientation="portrait"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30"/>
  <sheetViews>
    <sheetView workbookViewId="0">
      <selection activeCell="H20" sqref="H20"/>
    </sheetView>
  </sheetViews>
  <sheetFormatPr defaultRowHeight="14.25"/>
  <cols>
    <col min="1" max="1" width="32.75" style="350" customWidth="1"/>
    <col min="2" max="2" width="8.875" style="350" customWidth="1"/>
    <col min="3" max="3" width="20.125" style="350" customWidth="1"/>
    <col min="4" max="4" width="9.625" style="350" customWidth="1"/>
    <col min="5" max="5" width="12.375" style="350" customWidth="1"/>
    <col min="6" max="16384" width="9" style="350"/>
  </cols>
  <sheetData>
    <row r="1" spans="1:5" ht="46.5" customHeight="1">
      <c r="A1" s="581" t="s">
        <v>76</v>
      </c>
      <c r="B1" s="582"/>
      <c r="C1" s="582"/>
      <c r="D1" s="582"/>
      <c r="E1" s="582"/>
    </row>
    <row r="2" spans="1:5" ht="29.25" customHeight="1">
      <c r="A2" s="351" t="s">
        <v>77</v>
      </c>
      <c r="B2" s="583" t="s">
        <v>636</v>
      </c>
      <c r="C2" s="584"/>
      <c r="D2" s="584"/>
      <c r="E2" s="585"/>
    </row>
    <row r="3" spans="1:5" ht="29.25" customHeight="1">
      <c r="A3" s="351" t="s">
        <v>637</v>
      </c>
      <c r="B3" s="586" t="s">
        <v>638</v>
      </c>
      <c r="C3" s="587"/>
      <c r="D3" s="587"/>
      <c r="E3" s="588"/>
    </row>
    <row r="4" spans="1:5" ht="29.25" customHeight="1">
      <c r="A4" s="351" t="s">
        <v>639</v>
      </c>
      <c r="B4" s="583" t="s">
        <v>74</v>
      </c>
      <c r="C4" s="584"/>
      <c r="D4" s="584"/>
      <c r="E4" s="585"/>
    </row>
    <row r="5" spans="1:5" ht="29.25" customHeight="1">
      <c r="A5" s="351" t="s">
        <v>86</v>
      </c>
      <c r="B5" s="583" t="str">
        <f>发货清单!F2</f>
        <v>2786337676</v>
      </c>
      <c r="C5" s="584"/>
      <c r="D5" s="584"/>
      <c r="E5" s="585"/>
    </row>
    <row r="6" spans="1:5" ht="12" customHeight="1">
      <c r="A6" s="547" t="s">
        <v>90</v>
      </c>
      <c r="B6" s="572" t="s">
        <v>450</v>
      </c>
      <c r="C6" s="573"/>
      <c r="D6" s="573"/>
      <c r="E6" s="574"/>
    </row>
    <row r="7" spans="1:5" ht="12" customHeight="1">
      <c r="A7" s="548"/>
      <c r="B7" s="575"/>
      <c r="C7" s="576"/>
      <c r="D7" s="576"/>
      <c r="E7" s="577"/>
    </row>
    <row r="8" spans="1:5" ht="12" customHeight="1">
      <c r="A8" s="549"/>
      <c r="B8" s="578"/>
      <c r="C8" s="579"/>
      <c r="D8" s="579"/>
      <c r="E8" s="580"/>
    </row>
    <row r="9" spans="1:5" ht="12" customHeight="1">
      <c r="A9" s="547" t="s">
        <v>642</v>
      </c>
      <c r="B9" s="550" t="s">
        <v>426</v>
      </c>
      <c r="C9" s="551"/>
      <c r="D9" s="551"/>
      <c r="E9" s="552"/>
    </row>
    <row r="10" spans="1:5" ht="12" customHeight="1">
      <c r="A10" s="548"/>
      <c r="B10" s="553"/>
      <c r="C10" s="554"/>
      <c r="D10" s="554"/>
      <c r="E10" s="555"/>
    </row>
    <row r="11" spans="1:5" ht="12" customHeight="1">
      <c r="A11" s="549"/>
      <c r="B11" s="556"/>
      <c r="C11" s="557"/>
      <c r="D11" s="557"/>
      <c r="E11" s="558"/>
    </row>
    <row r="12" spans="1:5" ht="12.75" customHeight="1">
      <c r="A12" s="559" t="s">
        <v>643</v>
      </c>
      <c r="B12" s="562" t="s">
        <v>457</v>
      </c>
      <c r="C12" s="563"/>
      <c r="D12" s="568" t="s">
        <v>45</v>
      </c>
      <c r="E12" s="571">
        <v>43466</v>
      </c>
    </row>
    <row r="13" spans="1:5" ht="12.75" customHeight="1">
      <c r="A13" s="560"/>
      <c r="B13" s="564"/>
      <c r="C13" s="565"/>
      <c r="D13" s="569"/>
      <c r="E13" s="569"/>
    </row>
    <row r="14" spans="1:5" ht="12.75" customHeight="1">
      <c r="A14" s="561"/>
      <c r="B14" s="566"/>
      <c r="C14" s="567"/>
      <c r="D14" s="570"/>
      <c r="E14" s="570"/>
    </row>
    <row r="15" spans="1:5" ht="49.5" customHeight="1">
      <c r="A15" s="352" t="s">
        <v>644</v>
      </c>
      <c r="B15" s="532" t="s">
        <v>81</v>
      </c>
      <c r="C15" s="533"/>
      <c r="D15" s="533"/>
      <c r="E15" s="534"/>
    </row>
    <row r="16" spans="1:5" ht="29.25" customHeight="1">
      <c r="A16" s="353" t="s">
        <v>646</v>
      </c>
      <c r="B16" s="535" t="s">
        <v>82</v>
      </c>
      <c r="C16" s="536"/>
      <c r="D16" s="536"/>
      <c r="E16" s="537"/>
    </row>
    <row r="17" spans="1:5" ht="29.25" customHeight="1">
      <c r="A17" s="351" t="s">
        <v>88</v>
      </c>
      <c r="B17" s="538" t="s">
        <v>648</v>
      </c>
      <c r="C17" s="539"/>
      <c r="D17" s="539"/>
      <c r="E17" s="540"/>
    </row>
    <row r="18" spans="1:5" ht="22.5" customHeight="1">
      <c r="A18" s="353" t="s">
        <v>89</v>
      </c>
      <c r="B18" s="541" t="str">
        <f>'Commercial Invoice3'!E15</f>
        <v>UK</v>
      </c>
      <c r="C18" s="542"/>
      <c r="D18" s="542"/>
      <c r="E18" s="543"/>
    </row>
    <row r="19" spans="1:5" ht="109.5" customHeight="1">
      <c r="A19" s="544" t="str">
        <f>"我公司委托"&amp;发货清单!E2&amp;"承运的该类货物，无爆炸、无氧化、无腐蚀、无放射性、非易燃、非有毒有害、非用于制造化学武器的原料，经上海市计量测试技术研究院鉴定，无危险性，可按普通货物条件运输，包装符合要求"&amp;"。The shipment that I consign by "&amp;发货清单!E2&amp;" does not contain the explosive, oxidation, corrosives, radioactive, flammable, toxic and infectious substance and the material for the chemical weapon. After Shanghai Institute of measurement "&amp;"and testing technology_testing, the shipment without fatalness can be transported as the general cargo and the packaging meets the transportation requirement"</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19" s="545"/>
      <c r="C19" s="545"/>
      <c r="D19" s="545"/>
      <c r="E19" s="546"/>
    </row>
    <row r="20" spans="1:5" ht="55.5" customHeight="1">
      <c r="A20" s="544" t="s">
        <v>650</v>
      </c>
      <c r="B20" s="545"/>
      <c r="C20" s="545"/>
      <c r="D20" s="545"/>
      <c r="E20" s="546"/>
    </row>
    <row r="21" spans="1:5" ht="18.75" customHeight="1">
      <c r="A21" s="523" t="s">
        <v>84</v>
      </c>
      <c r="B21" s="524"/>
      <c r="C21" s="523" t="s">
        <v>652</v>
      </c>
      <c r="D21" s="529"/>
      <c r="E21" s="524"/>
    </row>
    <row r="22" spans="1:5" ht="18.75" customHeight="1">
      <c r="A22" s="525"/>
      <c r="B22" s="526"/>
      <c r="C22" s="525"/>
      <c r="D22" s="530"/>
      <c r="E22" s="526"/>
    </row>
    <row r="23" spans="1:5" ht="18.75" customHeight="1">
      <c r="A23" s="525"/>
      <c r="B23" s="526"/>
      <c r="C23" s="525"/>
      <c r="D23" s="530"/>
      <c r="E23" s="526"/>
    </row>
    <row r="24" spans="1:5" ht="22.5" customHeight="1">
      <c r="A24" s="525"/>
      <c r="B24" s="526"/>
      <c r="C24" s="525"/>
      <c r="D24" s="530"/>
      <c r="E24" s="526"/>
    </row>
    <row r="25" spans="1:5" ht="18.75" customHeight="1">
      <c r="A25" s="525"/>
      <c r="B25" s="526"/>
      <c r="C25" s="525"/>
      <c r="D25" s="530"/>
      <c r="E25" s="526"/>
    </row>
    <row r="26" spans="1:5" ht="6.75" customHeight="1">
      <c r="A26" s="525"/>
      <c r="B26" s="526"/>
      <c r="C26" s="525"/>
      <c r="D26" s="530"/>
      <c r="E26" s="526"/>
    </row>
    <row r="27" spans="1:5" ht="6.75" customHeight="1">
      <c r="A27" s="525"/>
      <c r="B27" s="526"/>
      <c r="C27" s="525"/>
      <c r="D27" s="530"/>
      <c r="E27" s="526"/>
    </row>
    <row r="28" spans="1:5" ht="6.75" customHeight="1">
      <c r="A28" s="525"/>
      <c r="B28" s="526"/>
      <c r="C28" s="525"/>
      <c r="D28" s="530"/>
      <c r="E28" s="526"/>
    </row>
    <row r="29" spans="1:5" ht="6.75" customHeight="1">
      <c r="A29" s="525"/>
      <c r="B29" s="526"/>
      <c r="C29" s="525"/>
      <c r="D29" s="530"/>
      <c r="E29" s="526"/>
    </row>
    <row r="30" spans="1:5" ht="6.75" customHeight="1">
      <c r="A30" s="527"/>
      <c r="B30" s="528"/>
      <c r="C30" s="527"/>
      <c r="D30" s="531"/>
      <c r="E30" s="528"/>
    </row>
  </sheetData>
  <mergeCells count="21">
    <mergeCell ref="A6:A8"/>
    <mergeCell ref="B6:E8"/>
    <mergeCell ref="A1:E1"/>
    <mergeCell ref="B2:E2"/>
    <mergeCell ref="B3:E3"/>
    <mergeCell ref="B4:E4"/>
    <mergeCell ref="B5:E5"/>
    <mergeCell ref="A9:A11"/>
    <mergeCell ref="B9:E11"/>
    <mergeCell ref="A12:A14"/>
    <mergeCell ref="B12:C14"/>
    <mergeCell ref="D12:D14"/>
    <mergeCell ref="E12:E14"/>
    <mergeCell ref="A21:B30"/>
    <mergeCell ref="C21:E30"/>
    <mergeCell ref="B15:E15"/>
    <mergeCell ref="B16:E16"/>
    <mergeCell ref="B17:E17"/>
    <mergeCell ref="B18:E18"/>
    <mergeCell ref="A19:E19"/>
    <mergeCell ref="A20:E20"/>
  </mergeCells>
  <phoneticPr fontId="1" type="noConversion"/>
  <pageMargins left="0.59055118110236227" right="0.19685039370078741" top="0.59055118110236227" bottom="0.98425196850393704" header="0.51181102362204722" footer="0.51181102362204722"/>
  <pageSetup paperSize="9" orientation="portrait" horizontalDpi="4294967295" verticalDpi="4294967295"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J231"/>
  <sheetViews>
    <sheetView zoomScaleNormal="100" workbookViewId="0">
      <selection sqref="A1:XFD1048576"/>
    </sheetView>
  </sheetViews>
  <sheetFormatPr defaultRowHeight="14.25"/>
  <cols>
    <col min="1" max="2" width="4.875" customWidth="1"/>
    <col min="3" max="3" width="9.5" customWidth="1"/>
    <col min="4" max="4" width="39.5" style="414" customWidth="1"/>
    <col min="5" max="5" width="10.625" customWidth="1"/>
    <col min="6" max="6" width="11.625" bestFit="1" customWidth="1"/>
    <col min="7" max="7" width="10" style="19" customWidth="1"/>
  </cols>
  <sheetData>
    <row r="1" spans="1:7" ht="18.75">
      <c r="A1" s="589" t="s">
        <v>100</v>
      </c>
      <c r="B1" s="589"/>
      <c r="C1" s="589"/>
      <c r="D1" s="589"/>
      <c r="E1" s="589"/>
      <c r="F1" s="589"/>
      <c r="G1" s="589"/>
    </row>
    <row r="2" spans="1:7" s="82" customFormat="1" ht="13.5" customHeight="1">
      <c r="A2">
        <v>1</v>
      </c>
      <c r="D2" s="407"/>
    </row>
    <row r="3" spans="1:7" s="82" customFormat="1" ht="13.5" customHeight="1">
      <c r="A3"/>
      <c r="B3" s="180" t="s">
        <v>315</v>
      </c>
      <c r="C3" s="82" t="s">
        <v>101</v>
      </c>
      <c r="D3" s="407" t="s">
        <v>2135</v>
      </c>
      <c r="E3" s="82" t="s">
        <v>102</v>
      </c>
      <c r="F3" s="83">
        <v>2917190090</v>
      </c>
      <c r="G3" s="82" t="s">
        <v>103</v>
      </c>
    </row>
    <row r="4" spans="1:7" s="82" customFormat="1" ht="13.5" customHeight="1">
      <c r="A4"/>
      <c r="B4" s="180" t="s">
        <v>316</v>
      </c>
      <c r="C4" s="82" t="s">
        <v>108</v>
      </c>
      <c r="D4" s="407" t="s">
        <v>2135</v>
      </c>
      <c r="E4" s="82" t="s">
        <v>113</v>
      </c>
      <c r="F4" s="83"/>
    </row>
    <row r="5" spans="1:7" s="82" customFormat="1" ht="13.5" customHeight="1">
      <c r="A5"/>
      <c r="B5" s="180" t="s">
        <v>317</v>
      </c>
      <c r="C5" s="82" t="s">
        <v>104</v>
      </c>
      <c r="D5" s="407"/>
      <c r="E5" s="82" t="s">
        <v>331</v>
      </c>
      <c r="F5" s="82" t="s">
        <v>2136</v>
      </c>
    </row>
    <row r="6" spans="1:7" s="82" customFormat="1" ht="13.5" customHeight="1">
      <c r="A6"/>
      <c r="B6" s="180" t="s">
        <v>318</v>
      </c>
      <c r="C6" s="82" t="s">
        <v>105</v>
      </c>
      <c r="D6" s="408">
        <v>43829</v>
      </c>
      <c r="E6" s="84"/>
    </row>
    <row r="7" spans="1:7" s="82" customFormat="1" ht="13.5" customHeight="1">
      <c r="A7"/>
      <c r="B7" s="180" t="s">
        <v>319</v>
      </c>
      <c r="C7" s="82" t="s">
        <v>2137</v>
      </c>
      <c r="D7" s="409"/>
      <c r="E7" s="195"/>
      <c r="F7" s="195"/>
    </row>
    <row r="8" spans="1:7" s="82" customFormat="1" ht="13.5" customHeight="1">
      <c r="A8"/>
      <c r="B8" s="180" t="s">
        <v>320</v>
      </c>
      <c r="C8" s="82" t="s">
        <v>480</v>
      </c>
      <c r="D8" s="409"/>
      <c r="E8" s="84"/>
      <c r="F8" s="84"/>
    </row>
    <row r="9" spans="1:7" s="82" customFormat="1" ht="13.5" customHeight="1">
      <c r="A9">
        <v>2</v>
      </c>
      <c r="D9" s="407"/>
    </row>
    <row r="10" spans="1:7" s="82" customFormat="1" ht="13.5" customHeight="1">
      <c r="A10"/>
      <c r="B10" s="82" t="s">
        <v>2138</v>
      </c>
      <c r="C10" s="82" t="s">
        <v>2139</v>
      </c>
      <c r="D10" s="410" t="s">
        <v>417</v>
      </c>
      <c r="E10" s="82" t="s">
        <v>2140</v>
      </c>
      <c r="F10" s="83">
        <v>2917190090</v>
      </c>
      <c r="G10" s="82" t="s">
        <v>2141</v>
      </c>
    </row>
    <row r="11" spans="1:7" s="82" customFormat="1" ht="13.5" customHeight="1">
      <c r="A11"/>
      <c r="B11" s="82" t="s">
        <v>2142</v>
      </c>
      <c r="C11" s="82" t="s">
        <v>2143</v>
      </c>
      <c r="D11" s="410" t="s">
        <v>417</v>
      </c>
      <c r="E11" s="82" t="s">
        <v>2144</v>
      </c>
      <c r="F11" s="83"/>
    </row>
    <row r="12" spans="1:7" s="82" customFormat="1" ht="13.5" customHeight="1">
      <c r="A12"/>
      <c r="B12" s="82" t="s">
        <v>2145</v>
      </c>
      <c r="C12" s="82" t="s">
        <v>2146</v>
      </c>
      <c r="D12" s="407"/>
      <c r="E12" s="82" t="s">
        <v>2147</v>
      </c>
      <c r="F12" s="82" t="s">
        <v>389</v>
      </c>
    </row>
    <row r="13" spans="1:7" s="82" customFormat="1" ht="13.5" customHeight="1">
      <c r="A13"/>
      <c r="B13" s="82" t="s">
        <v>2148</v>
      </c>
      <c r="C13" s="82" t="s">
        <v>2149</v>
      </c>
      <c r="D13" s="411">
        <v>43829</v>
      </c>
      <c r="E13" s="86"/>
      <c r="F13" s="86"/>
    </row>
    <row r="14" spans="1:7" s="82" customFormat="1" ht="13.5" customHeight="1">
      <c r="A14"/>
      <c r="B14" s="82" t="s">
        <v>2150</v>
      </c>
      <c r="C14" s="82" t="s">
        <v>2137</v>
      </c>
      <c r="D14" s="412"/>
      <c r="E14" s="87"/>
      <c r="F14" s="87"/>
    </row>
    <row r="15" spans="1:7" s="82" customFormat="1" ht="13.5" customHeight="1">
      <c r="A15"/>
      <c r="B15" s="82" t="s">
        <v>2151</v>
      </c>
      <c r="C15" s="82" t="s">
        <v>2152</v>
      </c>
      <c r="D15" s="413"/>
      <c r="E15" s="85"/>
      <c r="F15" s="126"/>
    </row>
    <row r="16" spans="1:7" s="82" customFormat="1" ht="13.5" customHeight="1">
      <c r="A16">
        <v>3</v>
      </c>
      <c r="D16" s="407"/>
    </row>
    <row r="17" spans="1:7" s="82" customFormat="1" ht="13.5" customHeight="1">
      <c r="A17"/>
      <c r="B17" s="82" t="s">
        <v>2138</v>
      </c>
      <c r="C17" s="82" t="s">
        <v>2139</v>
      </c>
      <c r="D17" s="410" t="s">
        <v>428</v>
      </c>
      <c r="E17" s="82" t="s">
        <v>2140</v>
      </c>
      <c r="F17" s="83">
        <v>2935900090</v>
      </c>
      <c r="G17" s="82" t="s">
        <v>2141</v>
      </c>
    </row>
    <row r="18" spans="1:7" s="82" customFormat="1" ht="13.5" customHeight="1">
      <c r="A18"/>
      <c r="B18" s="82" t="s">
        <v>2142</v>
      </c>
      <c r="C18" s="82" t="s">
        <v>2143</v>
      </c>
      <c r="D18" s="410" t="s">
        <v>428</v>
      </c>
      <c r="E18" s="82" t="s">
        <v>2144</v>
      </c>
      <c r="F18" s="83"/>
    </row>
    <row r="19" spans="1:7" s="82" customFormat="1" ht="13.5" customHeight="1">
      <c r="A19"/>
      <c r="B19" s="82" t="s">
        <v>2145</v>
      </c>
      <c r="C19" s="82" t="s">
        <v>2146</v>
      </c>
      <c r="D19" s="407"/>
      <c r="E19" s="82" t="s">
        <v>2147</v>
      </c>
      <c r="F19" s="82" t="s">
        <v>392</v>
      </c>
    </row>
    <row r="20" spans="1:7" s="82" customFormat="1" ht="13.5" customHeight="1">
      <c r="A20"/>
      <c r="B20" s="82" t="s">
        <v>2148</v>
      </c>
      <c r="C20" s="82" t="s">
        <v>2149</v>
      </c>
      <c r="D20" s="411">
        <v>43829</v>
      </c>
      <c r="E20" s="186"/>
      <c r="F20" s="186"/>
    </row>
    <row r="21" spans="1:7" s="82" customFormat="1" ht="13.5" customHeight="1">
      <c r="A21"/>
      <c r="B21" s="82" t="s">
        <v>2150</v>
      </c>
      <c r="C21" s="82">
        <v>0</v>
      </c>
      <c r="E21" s="87"/>
      <c r="F21" s="87"/>
    </row>
    <row r="22" spans="1:7" s="82" customFormat="1" ht="13.5" customHeight="1">
      <c r="A22"/>
      <c r="B22" s="82" t="s">
        <v>2151</v>
      </c>
      <c r="C22" s="82" t="s">
        <v>2152</v>
      </c>
      <c r="D22" s="413"/>
      <c r="E22" s="85"/>
      <c r="F22" s="186"/>
    </row>
    <row r="23" spans="1:7" s="82" customFormat="1" ht="13.5" customHeight="1">
      <c r="A23">
        <v>4</v>
      </c>
      <c r="D23" s="407"/>
    </row>
    <row r="24" spans="1:7" s="82" customFormat="1" ht="13.5" customHeight="1">
      <c r="A24"/>
      <c r="B24" s="82" t="s">
        <v>2138</v>
      </c>
      <c r="C24" s="82" t="s">
        <v>2139</v>
      </c>
      <c r="D24" s="410" t="s">
        <v>423</v>
      </c>
      <c r="E24" s="82" t="s">
        <v>2140</v>
      </c>
      <c r="F24" s="83">
        <v>2932999099</v>
      </c>
      <c r="G24" s="82" t="s">
        <v>2141</v>
      </c>
    </row>
    <row r="25" spans="1:7" s="82" customFormat="1" ht="13.5" customHeight="1">
      <c r="A25"/>
      <c r="B25" s="82" t="s">
        <v>2142</v>
      </c>
      <c r="C25" s="82" t="s">
        <v>2143</v>
      </c>
      <c r="D25" s="410" t="s">
        <v>423</v>
      </c>
      <c r="E25" s="82" t="s">
        <v>2144</v>
      </c>
      <c r="F25" s="83"/>
    </row>
    <row r="26" spans="1:7" s="82" customFormat="1" ht="13.5" customHeight="1">
      <c r="A26"/>
      <c r="B26" s="82" t="s">
        <v>2145</v>
      </c>
      <c r="C26" s="82" t="s">
        <v>2146</v>
      </c>
      <c r="D26" s="407"/>
      <c r="E26" s="82" t="s">
        <v>2147</v>
      </c>
      <c r="F26" s="82" t="s">
        <v>327</v>
      </c>
    </row>
    <row r="27" spans="1:7" s="82" customFormat="1" ht="13.5" customHeight="1">
      <c r="A27"/>
      <c r="B27" s="82" t="s">
        <v>2148</v>
      </c>
      <c r="C27" s="82" t="s">
        <v>2149</v>
      </c>
      <c r="D27" s="411">
        <v>43829</v>
      </c>
      <c r="E27" s="186"/>
      <c r="F27" s="186"/>
    </row>
    <row r="28" spans="1:7" s="82" customFormat="1" ht="13.5" customHeight="1">
      <c r="A28"/>
      <c r="B28" s="82" t="s">
        <v>2150</v>
      </c>
      <c r="C28" s="82">
        <v>0</v>
      </c>
      <c r="E28" s="87"/>
      <c r="F28" s="87"/>
    </row>
    <row r="29" spans="1:7" s="82" customFormat="1" ht="13.5" customHeight="1">
      <c r="A29"/>
      <c r="B29" s="82" t="s">
        <v>2151</v>
      </c>
      <c r="C29" s="82" t="s">
        <v>2152</v>
      </c>
      <c r="D29" s="413"/>
      <c r="E29" s="85"/>
      <c r="F29" s="186"/>
    </row>
    <row r="30" spans="1:7" s="82" customFormat="1" ht="13.5" customHeight="1">
      <c r="A30">
        <v>5</v>
      </c>
      <c r="D30" s="407"/>
    </row>
    <row r="31" spans="1:7" s="82" customFormat="1" ht="13.5" customHeight="1">
      <c r="A31"/>
      <c r="B31" s="82" t="s">
        <v>2138</v>
      </c>
      <c r="C31" s="82" t="s">
        <v>2139</v>
      </c>
      <c r="D31" s="410" t="s">
        <v>2153</v>
      </c>
      <c r="E31" s="82" t="s">
        <v>2140</v>
      </c>
      <c r="F31" s="83">
        <v>2903399090</v>
      </c>
      <c r="G31" s="82" t="s">
        <v>2141</v>
      </c>
    </row>
    <row r="32" spans="1:7" s="82" customFormat="1" ht="13.5" customHeight="1">
      <c r="A32"/>
      <c r="B32" s="82" t="s">
        <v>2142</v>
      </c>
      <c r="C32" s="82" t="s">
        <v>2143</v>
      </c>
      <c r="D32" s="410" t="s">
        <v>2153</v>
      </c>
      <c r="E32" s="82" t="s">
        <v>2144</v>
      </c>
      <c r="F32" s="83"/>
    </row>
    <row r="33" spans="1:10" s="82" customFormat="1" ht="13.5" customHeight="1">
      <c r="A33"/>
      <c r="B33" s="82" t="s">
        <v>2145</v>
      </c>
      <c r="C33" s="82" t="s">
        <v>2146</v>
      </c>
      <c r="D33" s="407"/>
      <c r="E33" s="82" t="s">
        <v>2147</v>
      </c>
      <c r="F33" s="82" t="s">
        <v>666</v>
      </c>
    </row>
    <row r="34" spans="1:10" s="82" customFormat="1" ht="13.5" customHeight="1">
      <c r="A34"/>
      <c r="B34" s="82" t="s">
        <v>2148</v>
      </c>
      <c r="C34" s="82" t="s">
        <v>2149</v>
      </c>
      <c r="D34" s="411">
        <v>43829</v>
      </c>
      <c r="E34" s="186"/>
      <c r="F34" s="186"/>
    </row>
    <row r="35" spans="1:10" s="82" customFormat="1" ht="13.5" customHeight="1">
      <c r="A35"/>
      <c r="B35" s="82" t="s">
        <v>2150</v>
      </c>
      <c r="C35" s="82">
        <v>0</v>
      </c>
      <c r="E35" s="87"/>
      <c r="F35" s="87"/>
      <c r="J35" s="82" t="s">
        <v>1210</v>
      </c>
    </row>
    <row r="36" spans="1:10" s="82" customFormat="1" ht="13.5" customHeight="1">
      <c r="A36"/>
      <c r="B36" s="82" t="s">
        <v>2151</v>
      </c>
      <c r="C36" s="82" t="s">
        <v>2152</v>
      </c>
      <c r="D36" s="413"/>
      <c r="E36" s="85"/>
      <c r="F36" s="186"/>
    </row>
    <row r="37" spans="1:10" s="82" customFormat="1" ht="13.5" customHeight="1">
      <c r="A37">
        <v>6</v>
      </c>
      <c r="D37" s="407"/>
      <c r="J37" s="82" t="s">
        <v>1209</v>
      </c>
    </row>
    <row r="38" spans="1:10" s="82" customFormat="1" ht="13.5" customHeight="1">
      <c r="A38"/>
      <c r="B38" s="82" t="s">
        <v>2138</v>
      </c>
      <c r="C38" s="82" t="s">
        <v>2139</v>
      </c>
      <c r="D38" s="410" t="s">
        <v>2154</v>
      </c>
      <c r="E38" s="82" t="s">
        <v>2140</v>
      </c>
      <c r="F38" s="83">
        <v>2903399090</v>
      </c>
      <c r="G38" s="82" t="s">
        <v>2141</v>
      </c>
    </row>
    <row r="39" spans="1:10" s="82" customFormat="1" ht="13.5" customHeight="1">
      <c r="A39"/>
      <c r="B39" s="82" t="s">
        <v>2142</v>
      </c>
      <c r="C39" s="82" t="s">
        <v>2143</v>
      </c>
      <c r="D39" s="410" t="s">
        <v>2154</v>
      </c>
      <c r="E39" s="82" t="s">
        <v>2144</v>
      </c>
      <c r="F39" s="83"/>
    </row>
    <row r="40" spans="1:10" s="82" customFormat="1" ht="13.5" customHeight="1">
      <c r="A40"/>
      <c r="B40" s="82" t="s">
        <v>2145</v>
      </c>
      <c r="C40" s="82" t="s">
        <v>2146</v>
      </c>
      <c r="D40" s="407"/>
      <c r="E40" s="82" t="s">
        <v>2147</v>
      </c>
      <c r="F40" s="82" t="s">
        <v>2155</v>
      </c>
    </row>
    <row r="41" spans="1:10" s="82" customFormat="1" ht="13.5" customHeight="1">
      <c r="A41"/>
      <c r="B41" s="82" t="s">
        <v>2148</v>
      </c>
      <c r="C41" s="82" t="s">
        <v>2149</v>
      </c>
      <c r="D41" s="411">
        <v>43829</v>
      </c>
      <c r="E41" s="186"/>
      <c r="F41" s="186"/>
    </row>
    <row r="42" spans="1:10" s="82" customFormat="1" ht="13.5" customHeight="1">
      <c r="A42"/>
      <c r="B42" s="82" t="s">
        <v>2150</v>
      </c>
      <c r="C42" s="82">
        <v>0</v>
      </c>
      <c r="E42" s="87"/>
      <c r="F42" s="87"/>
    </row>
    <row r="43" spans="1:10" s="82" customFormat="1" ht="13.5" customHeight="1">
      <c r="A43"/>
      <c r="B43" s="82" t="s">
        <v>2151</v>
      </c>
      <c r="C43" s="82" t="s">
        <v>2152</v>
      </c>
      <c r="D43" s="413"/>
      <c r="E43" s="85"/>
      <c r="F43" s="186"/>
    </row>
    <row r="44" spans="1:10" s="82" customFormat="1" ht="13.5" customHeight="1">
      <c r="A44">
        <v>7</v>
      </c>
      <c r="D44" s="407"/>
    </row>
    <row r="45" spans="1:10" s="82" customFormat="1" ht="13.5" customHeight="1">
      <c r="A45"/>
      <c r="B45" s="82" t="s">
        <v>2138</v>
      </c>
      <c r="C45" s="82" t="s">
        <v>2139</v>
      </c>
      <c r="D45" s="410" t="s">
        <v>2156</v>
      </c>
      <c r="E45" s="82" t="s">
        <v>2140</v>
      </c>
      <c r="F45" s="83">
        <v>2933990099</v>
      </c>
      <c r="G45" s="82" t="s">
        <v>2141</v>
      </c>
    </row>
    <row r="46" spans="1:10" s="82" customFormat="1" ht="13.5" customHeight="1">
      <c r="A46"/>
      <c r="B46" s="82" t="s">
        <v>2142</v>
      </c>
      <c r="C46" s="82" t="s">
        <v>2143</v>
      </c>
      <c r="D46" s="410" t="s">
        <v>2156</v>
      </c>
      <c r="E46" s="82" t="s">
        <v>2144</v>
      </c>
      <c r="F46" s="83"/>
    </row>
    <row r="47" spans="1:10" s="82" customFormat="1" ht="13.5" customHeight="1">
      <c r="A47"/>
      <c r="B47" s="82" t="s">
        <v>2145</v>
      </c>
      <c r="C47" s="82" t="s">
        <v>2146</v>
      </c>
      <c r="D47" s="407"/>
      <c r="E47" s="82" t="s">
        <v>2147</v>
      </c>
      <c r="F47" s="82" t="s">
        <v>2157</v>
      </c>
    </row>
    <row r="48" spans="1:10" s="82" customFormat="1" ht="13.5" customHeight="1">
      <c r="A48"/>
      <c r="B48" s="82" t="s">
        <v>2148</v>
      </c>
      <c r="C48" s="82" t="s">
        <v>2149</v>
      </c>
      <c r="D48" s="411">
        <v>43829</v>
      </c>
      <c r="E48" s="186"/>
      <c r="F48" s="186"/>
    </row>
    <row r="49" spans="1:7" s="82" customFormat="1" ht="13.5" customHeight="1">
      <c r="A49"/>
      <c r="B49" s="82" t="s">
        <v>2150</v>
      </c>
      <c r="C49" s="82" t="s">
        <v>1385</v>
      </c>
      <c r="D49" s="412"/>
      <c r="E49" s="87"/>
      <c r="F49" s="87"/>
    </row>
    <row r="50" spans="1:7" s="82" customFormat="1" ht="13.5" customHeight="1">
      <c r="A50"/>
      <c r="B50" s="82" t="s">
        <v>2151</v>
      </c>
      <c r="C50" s="82" t="s">
        <v>2152</v>
      </c>
      <c r="D50" s="413"/>
      <c r="E50" s="85"/>
      <c r="F50" s="186"/>
    </row>
    <row r="51" spans="1:7" s="82" customFormat="1" ht="13.5" customHeight="1">
      <c r="A51">
        <v>8</v>
      </c>
      <c r="D51" s="407"/>
    </row>
    <row r="52" spans="1:7" s="82" customFormat="1" ht="13.5" customHeight="1">
      <c r="A52"/>
      <c r="B52" s="82" t="s">
        <v>2138</v>
      </c>
      <c r="C52" s="82" t="s">
        <v>2139</v>
      </c>
      <c r="D52" s="410" t="s">
        <v>2158</v>
      </c>
      <c r="E52" s="82" t="s">
        <v>2140</v>
      </c>
      <c r="F52" s="83">
        <v>2933990099</v>
      </c>
      <c r="G52" s="82" t="s">
        <v>2141</v>
      </c>
    </row>
    <row r="53" spans="1:7" s="82" customFormat="1" ht="13.5" customHeight="1">
      <c r="A53"/>
      <c r="B53" s="82" t="s">
        <v>2142</v>
      </c>
      <c r="C53" s="82" t="s">
        <v>2143</v>
      </c>
      <c r="D53" s="410" t="s">
        <v>2158</v>
      </c>
      <c r="E53" s="82" t="s">
        <v>2144</v>
      </c>
      <c r="F53" s="83"/>
    </row>
    <row r="54" spans="1:7" s="82" customFormat="1" ht="13.5" customHeight="1">
      <c r="A54"/>
      <c r="B54" s="82" t="s">
        <v>2145</v>
      </c>
      <c r="C54" s="82" t="s">
        <v>2146</v>
      </c>
      <c r="D54" s="407"/>
      <c r="E54" s="82" t="s">
        <v>2147</v>
      </c>
      <c r="F54" s="82" t="s">
        <v>2159</v>
      </c>
    </row>
    <row r="55" spans="1:7" s="82" customFormat="1" ht="13.5" customHeight="1">
      <c r="A55"/>
      <c r="B55" s="82" t="s">
        <v>2148</v>
      </c>
      <c r="C55" s="82" t="s">
        <v>2149</v>
      </c>
      <c r="D55" s="411">
        <v>43829</v>
      </c>
      <c r="E55" s="186"/>
      <c r="F55" s="186"/>
    </row>
    <row r="56" spans="1:7" s="82" customFormat="1" ht="13.5" customHeight="1">
      <c r="A56"/>
      <c r="B56" s="82" t="s">
        <v>2150</v>
      </c>
      <c r="C56" s="82" t="s">
        <v>1385</v>
      </c>
      <c r="E56" s="87"/>
      <c r="F56" s="87"/>
    </row>
    <row r="57" spans="1:7" s="82" customFormat="1" ht="13.5" customHeight="1">
      <c r="A57"/>
      <c r="B57" s="82" t="s">
        <v>2151</v>
      </c>
      <c r="C57" s="82" t="s">
        <v>2152</v>
      </c>
      <c r="D57" s="413"/>
      <c r="E57" s="85"/>
      <c r="F57" s="186"/>
      <c r="G57" s="85" t="s">
        <v>2160</v>
      </c>
    </row>
    <row r="58" spans="1:7" s="82" customFormat="1" ht="13.5" customHeight="1">
      <c r="A58">
        <v>9</v>
      </c>
      <c r="D58" s="407"/>
    </row>
    <row r="59" spans="1:7" s="82" customFormat="1" ht="13.5" customHeight="1">
      <c r="A59"/>
      <c r="B59" s="82" t="s">
        <v>2138</v>
      </c>
      <c r="C59" s="82" t="s">
        <v>2139</v>
      </c>
      <c r="D59" s="410" t="s">
        <v>2161</v>
      </c>
      <c r="E59" s="82" t="s">
        <v>2140</v>
      </c>
      <c r="F59" s="83">
        <v>2903999090</v>
      </c>
      <c r="G59" s="82" t="s">
        <v>2141</v>
      </c>
    </row>
    <row r="60" spans="1:7" s="82" customFormat="1" ht="13.5" customHeight="1">
      <c r="A60"/>
      <c r="B60" s="82" t="s">
        <v>2142</v>
      </c>
      <c r="C60" s="82" t="s">
        <v>2143</v>
      </c>
      <c r="D60" s="410" t="s">
        <v>2161</v>
      </c>
      <c r="E60" s="82" t="s">
        <v>2144</v>
      </c>
      <c r="F60" s="83"/>
    </row>
    <row r="61" spans="1:7" s="82" customFormat="1" ht="13.5" customHeight="1">
      <c r="A61"/>
      <c r="B61" s="82" t="s">
        <v>2145</v>
      </c>
      <c r="C61" s="82" t="s">
        <v>2146</v>
      </c>
      <c r="D61" s="407"/>
      <c r="E61" s="82" t="s">
        <v>2147</v>
      </c>
      <c r="F61" s="82" t="s">
        <v>2162</v>
      </c>
    </row>
    <row r="62" spans="1:7" s="82" customFormat="1" ht="13.5" customHeight="1">
      <c r="A62"/>
      <c r="B62" s="82" t="s">
        <v>2148</v>
      </c>
      <c r="C62" s="82" t="s">
        <v>2149</v>
      </c>
      <c r="D62" s="411">
        <v>43829</v>
      </c>
      <c r="E62" s="186"/>
      <c r="F62" s="186"/>
    </row>
    <row r="63" spans="1:7" s="82" customFormat="1" ht="13.5" customHeight="1">
      <c r="A63"/>
      <c r="B63" s="82" t="s">
        <v>2150</v>
      </c>
      <c r="C63" s="82">
        <v>0</v>
      </c>
      <c r="D63" s="412"/>
      <c r="E63" s="87"/>
      <c r="F63" s="87"/>
    </row>
    <row r="64" spans="1:7" s="82" customFormat="1" ht="13.5" customHeight="1">
      <c r="A64"/>
      <c r="B64" s="82" t="s">
        <v>2151</v>
      </c>
      <c r="C64" s="82" t="s">
        <v>2152</v>
      </c>
      <c r="D64" s="413"/>
      <c r="E64" s="85"/>
      <c r="F64" s="186"/>
    </row>
    <row r="65" spans="1:7" s="82" customFormat="1" ht="13.5" customHeight="1">
      <c r="A65">
        <v>10</v>
      </c>
      <c r="D65" s="407"/>
    </row>
    <row r="66" spans="1:7" s="82" customFormat="1" ht="13.5" customHeight="1">
      <c r="A66"/>
      <c r="B66" s="82" t="s">
        <v>2138</v>
      </c>
      <c r="C66" s="82" t="s">
        <v>2139</v>
      </c>
      <c r="D66" s="410" t="s">
        <v>2163</v>
      </c>
      <c r="E66" s="82" t="s">
        <v>2140</v>
      </c>
      <c r="F66" s="83">
        <v>2916399090</v>
      </c>
      <c r="G66" s="82" t="s">
        <v>2141</v>
      </c>
    </row>
    <row r="67" spans="1:7" s="82" customFormat="1" ht="13.5" customHeight="1">
      <c r="A67"/>
      <c r="B67" s="82" t="s">
        <v>2142</v>
      </c>
      <c r="C67" s="82" t="s">
        <v>2143</v>
      </c>
      <c r="D67" s="410" t="s">
        <v>2163</v>
      </c>
      <c r="E67" s="82" t="s">
        <v>2144</v>
      </c>
      <c r="F67" s="83"/>
    </row>
    <row r="68" spans="1:7" s="82" customFormat="1" ht="13.5" customHeight="1">
      <c r="A68"/>
      <c r="B68" s="82" t="s">
        <v>2145</v>
      </c>
      <c r="C68" s="82" t="s">
        <v>2146</v>
      </c>
      <c r="D68" s="407"/>
      <c r="E68" s="82" t="s">
        <v>2147</v>
      </c>
      <c r="F68" s="82" t="s">
        <v>2164</v>
      </c>
    </row>
    <row r="69" spans="1:7" s="82" customFormat="1" ht="13.5" customHeight="1">
      <c r="A69"/>
      <c r="B69" s="82" t="s">
        <v>2148</v>
      </c>
      <c r="C69" s="82" t="s">
        <v>2149</v>
      </c>
      <c r="D69" s="411">
        <v>43829</v>
      </c>
      <c r="E69" s="186"/>
      <c r="F69" s="186"/>
    </row>
    <row r="70" spans="1:7" s="82" customFormat="1" ht="13.5" customHeight="1">
      <c r="A70"/>
      <c r="B70" s="82" t="s">
        <v>2150</v>
      </c>
      <c r="C70" s="82" t="s">
        <v>2165</v>
      </c>
      <c r="D70" s="412"/>
      <c r="E70" s="87"/>
      <c r="F70" s="87"/>
    </row>
    <row r="71" spans="1:7" s="82" customFormat="1" ht="13.5" customHeight="1">
      <c r="A71"/>
      <c r="B71" s="82" t="s">
        <v>2151</v>
      </c>
      <c r="C71" s="82" t="s">
        <v>2152</v>
      </c>
      <c r="D71" s="413"/>
      <c r="E71" s="85"/>
      <c r="F71" s="186"/>
    </row>
    <row r="72" spans="1:7" s="82" customFormat="1" ht="13.5" customHeight="1">
      <c r="A72">
        <v>0</v>
      </c>
      <c r="D72" s="407"/>
    </row>
    <row r="73" spans="1:7" s="82" customFormat="1" ht="13.5" customHeight="1">
      <c r="A73"/>
      <c r="B73" s="82" t="s">
        <v>1198</v>
      </c>
      <c r="C73" s="82" t="s">
        <v>1198</v>
      </c>
      <c r="D73" s="410" t="s">
        <v>1198</v>
      </c>
      <c r="E73" s="82" t="s">
        <v>1198</v>
      </c>
      <c r="F73" s="83" t="s">
        <v>1198</v>
      </c>
      <c r="G73" s="82">
        <v>0</v>
      </c>
    </row>
    <row r="74" spans="1:7" s="82" customFormat="1" ht="13.5" customHeight="1">
      <c r="A74"/>
      <c r="B74" s="82" t="s">
        <v>1198</v>
      </c>
      <c r="C74" s="82" t="s">
        <v>1198</v>
      </c>
      <c r="D74" s="410" t="s">
        <v>1198</v>
      </c>
      <c r="E74" s="82" t="s">
        <v>1198</v>
      </c>
      <c r="F74" s="83"/>
    </row>
    <row r="75" spans="1:7" s="82" customFormat="1" ht="13.5" customHeight="1">
      <c r="A75"/>
      <c r="B75" s="82" t="s">
        <v>1198</v>
      </c>
      <c r="C75" s="82" t="s">
        <v>1198</v>
      </c>
      <c r="D75" s="407"/>
      <c r="E75" s="82" t="s">
        <v>1198</v>
      </c>
      <c r="F75" s="82" t="s">
        <v>1198</v>
      </c>
    </row>
    <row r="76" spans="1:7" s="82" customFormat="1" ht="13.5" customHeight="1">
      <c r="A76"/>
      <c r="B76" s="82" t="s">
        <v>1198</v>
      </c>
      <c r="C76" s="82" t="s">
        <v>1198</v>
      </c>
      <c r="D76" s="411" t="s">
        <v>1198</v>
      </c>
      <c r="E76" s="186"/>
      <c r="F76" s="186"/>
    </row>
    <row r="77" spans="1:7" s="82" customFormat="1" ht="13.5" customHeight="1">
      <c r="A77"/>
      <c r="B77" s="82" t="s">
        <v>1198</v>
      </c>
      <c r="C77" s="82">
        <v>0</v>
      </c>
      <c r="D77" s="412"/>
      <c r="E77" s="87"/>
      <c r="F77" s="87"/>
    </row>
    <row r="78" spans="1:7" s="82" customFormat="1" ht="13.5" customHeight="1">
      <c r="A78"/>
      <c r="B78" s="82" t="s">
        <v>1198</v>
      </c>
      <c r="C78" s="82" t="s">
        <v>1198</v>
      </c>
      <c r="D78" s="413"/>
      <c r="E78" s="85"/>
      <c r="F78" s="186"/>
    </row>
    <row r="79" spans="1:7" s="82" customFormat="1" ht="13.5" customHeight="1">
      <c r="A79">
        <v>0</v>
      </c>
      <c r="D79" s="407"/>
    </row>
    <row r="80" spans="1:7" s="82" customFormat="1" ht="13.5" customHeight="1">
      <c r="A80"/>
      <c r="B80" s="82" t="s">
        <v>1198</v>
      </c>
      <c r="C80" s="82" t="s">
        <v>1198</v>
      </c>
      <c r="D80" s="410" t="s">
        <v>1198</v>
      </c>
      <c r="E80" s="82" t="s">
        <v>1198</v>
      </c>
      <c r="F80" s="83" t="s">
        <v>1198</v>
      </c>
      <c r="G80" s="82">
        <v>0</v>
      </c>
    </row>
    <row r="81" spans="1:10" s="82" customFormat="1" ht="13.5" customHeight="1">
      <c r="A81"/>
      <c r="B81" s="82" t="s">
        <v>1198</v>
      </c>
      <c r="C81" s="82" t="s">
        <v>1198</v>
      </c>
      <c r="D81" s="410" t="s">
        <v>1198</v>
      </c>
      <c r="E81" s="82" t="s">
        <v>1198</v>
      </c>
      <c r="F81" s="83"/>
    </row>
    <row r="82" spans="1:10" s="82" customFormat="1" ht="13.5" customHeight="1">
      <c r="A82"/>
      <c r="B82" s="82" t="s">
        <v>1198</v>
      </c>
      <c r="C82" s="82" t="s">
        <v>1198</v>
      </c>
      <c r="D82" s="407"/>
      <c r="E82" s="82" t="s">
        <v>1198</v>
      </c>
      <c r="F82" s="82" t="s">
        <v>1198</v>
      </c>
    </row>
    <row r="83" spans="1:10" s="82" customFormat="1" ht="13.5" customHeight="1">
      <c r="A83"/>
      <c r="B83" s="82" t="s">
        <v>1198</v>
      </c>
      <c r="C83" s="82" t="s">
        <v>1198</v>
      </c>
      <c r="D83" s="411" t="s">
        <v>1198</v>
      </c>
      <c r="E83" s="186"/>
      <c r="F83" s="186"/>
      <c r="J83" s="82" t="s">
        <v>1209</v>
      </c>
    </row>
    <row r="84" spans="1:10" s="82" customFormat="1" ht="13.5" customHeight="1">
      <c r="A84"/>
      <c r="B84" s="82" t="s">
        <v>1198</v>
      </c>
      <c r="C84" s="82">
        <v>0</v>
      </c>
      <c r="D84" s="412"/>
      <c r="E84" s="87"/>
      <c r="F84" s="87"/>
    </row>
    <row r="85" spans="1:10" s="82" customFormat="1" ht="13.5" customHeight="1">
      <c r="A85"/>
      <c r="B85" s="82" t="s">
        <v>1198</v>
      </c>
      <c r="C85" s="82" t="s">
        <v>1198</v>
      </c>
      <c r="D85" s="413"/>
      <c r="E85" s="85"/>
      <c r="F85" s="186"/>
    </row>
    <row r="86" spans="1:10" s="82" customFormat="1" ht="13.5" customHeight="1">
      <c r="A86">
        <v>0</v>
      </c>
      <c r="D86" s="407"/>
    </row>
    <row r="87" spans="1:10" s="82" customFormat="1" ht="13.5" customHeight="1">
      <c r="A87"/>
      <c r="B87" s="82" t="s">
        <v>1198</v>
      </c>
      <c r="C87" s="82" t="s">
        <v>1198</v>
      </c>
      <c r="D87" s="410" t="s">
        <v>1198</v>
      </c>
      <c r="E87" s="82" t="s">
        <v>1198</v>
      </c>
      <c r="F87" s="83" t="s">
        <v>1198</v>
      </c>
      <c r="G87" s="82">
        <v>0</v>
      </c>
    </row>
    <row r="88" spans="1:10" s="82" customFormat="1" ht="13.5" customHeight="1">
      <c r="A88"/>
      <c r="B88" s="82" t="s">
        <v>1198</v>
      </c>
      <c r="C88" s="82" t="s">
        <v>1198</v>
      </c>
      <c r="D88" s="410" t="s">
        <v>1198</v>
      </c>
      <c r="E88" s="82" t="s">
        <v>1198</v>
      </c>
      <c r="F88" s="83"/>
      <c r="J88" s="82" t="s">
        <v>1210</v>
      </c>
    </row>
    <row r="89" spans="1:10" s="82" customFormat="1" ht="13.5" customHeight="1">
      <c r="A89"/>
      <c r="B89" s="82" t="s">
        <v>1198</v>
      </c>
      <c r="C89" s="82" t="s">
        <v>1198</v>
      </c>
      <c r="D89" s="407"/>
      <c r="E89" s="82" t="s">
        <v>1198</v>
      </c>
      <c r="F89" s="82" t="s">
        <v>1198</v>
      </c>
    </row>
    <row r="90" spans="1:10" s="82" customFormat="1" ht="13.5" customHeight="1">
      <c r="A90"/>
      <c r="B90" s="82" t="s">
        <v>1198</v>
      </c>
      <c r="C90" s="82" t="s">
        <v>1198</v>
      </c>
      <c r="D90" s="411" t="s">
        <v>1198</v>
      </c>
      <c r="E90" s="186"/>
      <c r="F90" s="186"/>
    </row>
    <row r="91" spans="1:10" s="82" customFormat="1" ht="13.5" customHeight="1">
      <c r="A91"/>
      <c r="B91" s="82" t="s">
        <v>1198</v>
      </c>
      <c r="C91" s="82">
        <v>0</v>
      </c>
      <c r="D91" s="412"/>
      <c r="E91" s="87"/>
      <c r="F91" s="87"/>
    </row>
    <row r="92" spans="1:10" s="82" customFormat="1" ht="13.5" customHeight="1">
      <c r="A92"/>
      <c r="B92" s="82" t="s">
        <v>1198</v>
      </c>
      <c r="C92" s="82" t="s">
        <v>1198</v>
      </c>
      <c r="D92" s="413"/>
      <c r="E92" s="85"/>
      <c r="F92" s="186"/>
    </row>
    <row r="93" spans="1:10" s="82" customFormat="1" ht="13.5" customHeight="1">
      <c r="A93">
        <v>0</v>
      </c>
      <c r="D93" s="407"/>
    </row>
    <row r="94" spans="1:10" s="82" customFormat="1" ht="13.5" customHeight="1">
      <c r="A94"/>
      <c r="B94" s="82" t="s">
        <v>1198</v>
      </c>
      <c r="C94" s="82" t="s">
        <v>1198</v>
      </c>
      <c r="D94" s="410" t="s">
        <v>1198</v>
      </c>
      <c r="E94" s="82" t="s">
        <v>1198</v>
      </c>
      <c r="F94" s="83" t="s">
        <v>1198</v>
      </c>
      <c r="G94" s="82">
        <v>0</v>
      </c>
    </row>
    <row r="95" spans="1:10" s="82" customFormat="1" ht="13.5" customHeight="1">
      <c r="A95"/>
      <c r="B95" s="82" t="s">
        <v>1198</v>
      </c>
      <c r="C95" s="82" t="s">
        <v>1198</v>
      </c>
      <c r="D95" s="410" t="s">
        <v>1198</v>
      </c>
      <c r="E95" s="82" t="s">
        <v>1198</v>
      </c>
      <c r="F95" s="83"/>
    </row>
    <row r="96" spans="1:10" s="82" customFormat="1" ht="13.5" customHeight="1">
      <c r="A96"/>
      <c r="B96" s="82" t="s">
        <v>1198</v>
      </c>
      <c r="C96" s="82" t="s">
        <v>1198</v>
      </c>
      <c r="D96" s="407"/>
      <c r="E96" s="82" t="s">
        <v>1198</v>
      </c>
      <c r="F96" s="82" t="s">
        <v>1198</v>
      </c>
    </row>
    <row r="97" spans="1:7" s="82" customFormat="1" ht="13.5" customHeight="1">
      <c r="A97"/>
      <c r="B97" s="82" t="s">
        <v>1198</v>
      </c>
      <c r="C97" s="82" t="s">
        <v>1198</v>
      </c>
      <c r="D97" s="411" t="s">
        <v>1198</v>
      </c>
      <c r="E97" s="186"/>
      <c r="F97" s="186"/>
    </row>
    <row r="98" spans="1:7" s="82" customFormat="1" ht="13.5" customHeight="1">
      <c r="A98"/>
      <c r="B98" s="82" t="s">
        <v>1198</v>
      </c>
      <c r="C98" s="82">
        <v>0</v>
      </c>
      <c r="D98" s="412"/>
      <c r="E98" s="87"/>
      <c r="F98" s="87"/>
    </row>
    <row r="99" spans="1:7" s="82" customFormat="1" ht="13.5" customHeight="1">
      <c r="A99"/>
      <c r="B99" s="82" t="s">
        <v>1198</v>
      </c>
      <c r="C99" s="82" t="s">
        <v>1198</v>
      </c>
      <c r="D99" s="413"/>
      <c r="E99" s="85"/>
      <c r="F99" s="186"/>
    </row>
    <row r="100" spans="1:7" s="82" customFormat="1" ht="13.5" customHeight="1">
      <c r="A100">
        <v>0</v>
      </c>
      <c r="D100" s="407"/>
    </row>
    <row r="101" spans="1:7" s="82" customFormat="1" ht="13.5" customHeight="1">
      <c r="A101"/>
      <c r="B101" s="82" t="s">
        <v>1198</v>
      </c>
      <c r="C101" s="82" t="s">
        <v>1198</v>
      </c>
      <c r="D101" s="410" t="s">
        <v>1198</v>
      </c>
      <c r="E101" s="82" t="s">
        <v>1198</v>
      </c>
      <c r="F101" s="83" t="s">
        <v>1198</v>
      </c>
      <c r="G101" s="82">
        <v>0</v>
      </c>
    </row>
    <row r="102" spans="1:7" s="82" customFormat="1" ht="13.5" customHeight="1">
      <c r="A102"/>
      <c r="B102" s="82" t="s">
        <v>1198</v>
      </c>
      <c r="C102" s="82" t="s">
        <v>1198</v>
      </c>
      <c r="D102" s="410" t="s">
        <v>1198</v>
      </c>
      <c r="E102" s="82" t="s">
        <v>1198</v>
      </c>
      <c r="F102" s="83"/>
    </row>
    <row r="103" spans="1:7" s="82" customFormat="1" ht="13.5" customHeight="1">
      <c r="A103"/>
      <c r="B103" s="82" t="s">
        <v>1198</v>
      </c>
      <c r="C103" s="82" t="s">
        <v>1198</v>
      </c>
      <c r="D103" s="407"/>
      <c r="E103" s="82" t="s">
        <v>1198</v>
      </c>
      <c r="F103" s="82" t="s">
        <v>1198</v>
      </c>
    </row>
    <row r="104" spans="1:7" s="82" customFormat="1" ht="13.5" customHeight="1">
      <c r="A104"/>
      <c r="B104" s="82" t="s">
        <v>1198</v>
      </c>
      <c r="C104" s="82" t="s">
        <v>1198</v>
      </c>
      <c r="D104" s="411" t="s">
        <v>1198</v>
      </c>
      <c r="E104" s="186"/>
      <c r="F104" s="186"/>
    </row>
    <row r="105" spans="1:7" s="82" customFormat="1" ht="13.5" customHeight="1">
      <c r="A105"/>
      <c r="B105" s="82" t="s">
        <v>1198</v>
      </c>
      <c r="C105" s="82">
        <v>0</v>
      </c>
      <c r="D105" s="412"/>
      <c r="E105" s="87"/>
      <c r="F105" s="87"/>
    </row>
    <row r="106" spans="1:7" s="82" customFormat="1" ht="13.5" customHeight="1">
      <c r="A106"/>
      <c r="B106" s="82" t="s">
        <v>1198</v>
      </c>
      <c r="C106" s="82" t="s">
        <v>1198</v>
      </c>
      <c r="D106" s="413"/>
      <c r="E106" s="85"/>
      <c r="F106" s="186"/>
    </row>
    <row r="107" spans="1:7" s="82" customFormat="1" ht="13.5" customHeight="1">
      <c r="A107">
        <v>0</v>
      </c>
      <c r="D107" s="407"/>
      <c r="G107" s="85"/>
    </row>
    <row r="108" spans="1:7" s="82" customFormat="1" ht="13.5" customHeight="1">
      <c r="A108"/>
      <c r="B108" s="82" t="s">
        <v>1198</v>
      </c>
      <c r="C108" s="82" t="s">
        <v>1198</v>
      </c>
      <c r="D108" s="410" t="s">
        <v>1198</v>
      </c>
      <c r="E108" s="82" t="s">
        <v>1198</v>
      </c>
      <c r="F108" s="83" t="s">
        <v>1198</v>
      </c>
      <c r="G108" s="82">
        <v>0</v>
      </c>
    </row>
    <row r="109" spans="1:7" s="82" customFormat="1" ht="13.5" customHeight="1">
      <c r="A109"/>
      <c r="B109" s="82" t="s">
        <v>1198</v>
      </c>
      <c r="C109" s="82" t="s">
        <v>1198</v>
      </c>
      <c r="D109" s="410" t="s">
        <v>1198</v>
      </c>
      <c r="E109" s="82" t="s">
        <v>1198</v>
      </c>
      <c r="F109" s="83"/>
    </row>
    <row r="110" spans="1:7" s="82" customFormat="1" ht="13.5" customHeight="1">
      <c r="A110"/>
      <c r="B110" s="82" t="s">
        <v>1198</v>
      </c>
      <c r="C110" s="82" t="s">
        <v>1198</v>
      </c>
      <c r="D110" s="407"/>
      <c r="E110" s="82" t="s">
        <v>1198</v>
      </c>
      <c r="F110" s="82" t="s">
        <v>1198</v>
      </c>
    </row>
    <row r="111" spans="1:7" s="82" customFormat="1" ht="13.5" customHeight="1">
      <c r="A111"/>
      <c r="B111" s="82" t="s">
        <v>1198</v>
      </c>
      <c r="C111" s="82" t="s">
        <v>1198</v>
      </c>
      <c r="D111" s="411" t="s">
        <v>1198</v>
      </c>
      <c r="E111" s="186"/>
      <c r="F111" s="186"/>
    </row>
    <row r="112" spans="1:7" s="82" customFormat="1" ht="13.5" customHeight="1">
      <c r="A112"/>
      <c r="B112" s="82" t="s">
        <v>1198</v>
      </c>
      <c r="C112" s="82">
        <v>0</v>
      </c>
      <c r="D112" s="412"/>
      <c r="E112" s="87"/>
      <c r="F112" s="87"/>
    </row>
    <row r="113" spans="1:7" s="82" customFormat="1" ht="13.5" customHeight="1">
      <c r="A113"/>
      <c r="B113" s="82" t="s">
        <v>1198</v>
      </c>
      <c r="C113" s="82" t="s">
        <v>1198</v>
      </c>
      <c r="D113" s="413"/>
      <c r="E113" s="85"/>
      <c r="F113" s="186"/>
    </row>
    <row r="114" spans="1:7" s="82" customFormat="1" ht="13.5" customHeight="1">
      <c r="A114">
        <v>0</v>
      </c>
      <c r="D114" s="407"/>
      <c r="G114" s="85" t="s">
        <v>2166</v>
      </c>
    </row>
    <row r="115" spans="1:7" s="82" customFormat="1" ht="13.5" customHeight="1">
      <c r="A115">
        <v>0</v>
      </c>
      <c r="B115" s="82" t="s">
        <v>1198</v>
      </c>
      <c r="C115" s="82" t="s">
        <v>1198</v>
      </c>
      <c r="D115" s="410" t="s">
        <v>1198</v>
      </c>
      <c r="E115" s="82" t="s">
        <v>1198</v>
      </c>
      <c r="F115" s="83" t="s">
        <v>1198</v>
      </c>
      <c r="G115" s="82">
        <v>0</v>
      </c>
    </row>
    <row r="116" spans="1:7" s="82" customFormat="1" ht="13.5" customHeight="1">
      <c r="A116"/>
      <c r="B116" s="82" t="s">
        <v>1198</v>
      </c>
      <c r="C116" s="82" t="s">
        <v>1198</v>
      </c>
      <c r="D116" s="410" t="s">
        <v>1198</v>
      </c>
      <c r="E116" s="82" t="s">
        <v>1198</v>
      </c>
      <c r="F116" s="83"/>
    </row>
    <row r="117" spans="1:7" s="82" customFormat="1" ht="13.5" customHeight="1">
      <c r="A117"/>
      <c r="B117" s="82" t="s">
        <v>1198</v>
      </c>
      <c r="C117" s="82" t="s">
        <v>1198</v>
      </c>
      <c r="D117" s="407"/>
      <c r="E117" s="82" t="s">
        <v>1198</v>
      </c>
      <c r="F117" s="82" t="s">
        <v>1198</v>
      </c>
    </row>
    <row r="118" spans="1:7" s="82" customFormat="1" ht="13.5" customHeight="1">
      <c r="A118"/>
      <c r="B118" s="82" t="s">
        <v>1198</v>
      </c>
      <c r="C118" s="82" t="s">
        <v>1198</v>
      </c>
      <c r="D118" s="411" t="s">
        <v>1198</v>
      </c>
      <c r="E118" s="186"/>
      <c r="F118" s="186"/>
    </row>
    <row r="119" spans="1:7" s="82" customFormat="1" ht="13.5" customHeight="1">
      <c r="A119"/>
      <c r="B119" s="82" t="s">
        <v>1198</v>
      </c>
      <c r="C119" s="82">
        <v>0</v>
      </c>
      <c r="D119" s="412"/>
      <c r="E119" s="87"/>
      <c r="F119" s="87"/>
    </row>
    <row r="120" spans="1:7" s="82" customFormat="1" ht="13.5" customHeight="1">
      <c r="A120"/>
      <c r="B120" s="82" t="s">
        <v>1198</v>
      </c>
      <c r="C120" s="82" t="s">
        <v>1198</v>
      </c>
      <c r="D120" s="413"/>
      <c r="E120" s="85"/>
      <c r="F120" s="186"/>
    </row>
    <row r="121" spans="1:7" s="82" customFormat="1" ht="13.5" customHeight="1">
      <c r="A121">
        <v>0</v>
      </c>
      <c r="D121" s="407"/>
    </row>
    <row r="122" spans="1:7" s="82" customFormat="1" ht="13.5" customHeight="1">
      <c r="A122"/>
      <c r="B122" s="82" t="s">
        <v>1198</v>
      </c>
      <c r="C122" s="82" t="s">
        <v>1198</v>
      </c>
      <c r="D122" s="410" t="s">
        <v>1198</v>
      </c>
      <c r="E122" s="82" t="s">
        <v>1198</v>
      </c>
      <c r="F122" s="83" t="s">
        <v>1198</v>
      </c>
      <c r="G122" s="82">
        <v>0</v>
      </c>
    </row>
    <row r="123" spans="1:7" s="82" customFormat="1" ht="13.5" customHeight="1">
      <c r="A123"/>
      <c r="B123" s="82" t="s">
        <v>1198</v>
      </c>
      <c r="C123" s="82" t="s">
        <v>1198</v>
      </c>
      <c r="D123" s="410" t="s">
        <v>1198</v>
      </c>
      <c r="E123" s="82" t="s">
        <v>1198</v>
      </c>
      <c r="F123" s="83"/>
    </row>
    <row r="124" spans="1:7" s="82" customFormat="1" ht="13.5" customHeight="1">
      <c r="A124"/>
      <c r="B124" s="82" t="s">
        <v>1198</v>
      </c>
      <c r="C124" s="82" t="s">
        <v>1198</v>
      </c>
      <c r="D124" s="407"/>
      <c r="E124" s="82" t="s">
        <v>1198</v>
      </c>
      <c r="F124" s="82" t="s">
        <v>1198</v>
      </c>
    </row>
    <row r="125" spans="1:7" s="82" customFormat="1" ht="13.5" customHeight="1">
      <c r="A125"/>
      <c r="B125" s="82" t="s">
        <v>1198</v>
      </c>
      <c r="C125" s="82" t="s">
        <v>1198</v>
      </c>
      <c r="D125" s="411" t="s">
        <v>1198</v>
      </c>
      <c r="E125" s="186"/>
      <c r="F125" s="186"/>
    </row>
    <row r="126" spans="1:7" s="82" customFormat="1" ht="13.5" customHeight="1">
      <c r="A126"/>
      <c r="B126" s="82" t="s">
        <v>1198</v>
      </c>
      <c r="C126" s="82">
        <v>0</v>
      </c>
      <c r="D126" s="412"/>
      <c r="E126" s="87"/>
      <c r="F126" s="87"/>
    </row>
    <row r="127" spans="1:7" s="82" customFormat="1" ht="13.5" customHeight="1">
      <c r="A127"/>
      <c r="B127" s="82" t="s">
        <v>1198</v>
      </c>
      <c r="C127" s="82" t="s">
        <v>1198</v>
      </c>
      <c r="D127" s="413"/>
      <c r="E127" s="85"/>
      <c r="F127" s="186"/>
    </row>
    <row r="128" spans="1:7" s="82" customFormat="1" ht="13.5" customHeight="1">
      <c r="A128">
        <v>0</v>
      </c>
      <c r="D128" s="407"/>
    </row>
    <row r="129" spans="1:7" s="82" customFormat="1" ht="13.5" customHeight="1">
      <c r="A129"/>
      <c r="B129" s="82" t="s">
        <v>1198</v>
      </c>
      <c r="C129" s="82" t="s">
        <v>1198</v>
      </c>
      <c r="D129" s="410" t="s">
        <v>1198</v>
      </c>
      <c r="E129" s="82" t="s">
        <v>1198</v>
      </c>
      <c r="F129" s="83" t="s">
        <v>1198</v>
      </c>
      <c r="G129" s="82">
        <v>0</v>
      </c>
    </row>
    <row r="130" spans="1:7" s="82" customFormat="1" ht="13.5" customHeight="1">
      <c r="A130"/>
      <c r="B130" s="82" t="s">
        <v>1198</v>
      </c>
      <c r="C130" s="82" t="s">
        <v>1198</v>
      </c>
      <c r="D130" s="410" t="s">
        <v>1198</v>
      </c>
      <c r="E130" s="82" t="s">
        <v>1198</v>
      </c>
      <c r="F130" s="83"/>
    </row>
    <row r="131" spans="1:7" s="82" customFormat="1" ht="13.5" customHeight="1">
      <c r="A131"/>
      <c r="B131" s="82" t="s">
        <v>1198</v>
      </c>
      <c r="C131" s="82" t="s">
        <v>1198</v>
      </c>
      <c r="D131" s="407"/>
      <c r="E131" s="82" t="s">
        <v>1198</v>
      </c>
      <c r="F131" s="82" t="s">
        <v>1198</v>
      </c>
    </row>
    <row r="132" spans="1:7" s="82" customFormat="1" ht="13.5" customHeight="1">
      <c r="A132"/>
      <c r="B132" s="82" t="s">
        <v>1198</v>
      </c>
      <c r="C132" s="82" t="s">
        <v>1198</v>
      </c>
      <c r="D132" s="411" t="s">
        <v>1198</v>
      </c>
      <c r="E132" s="186"/>
      <c r="F132" s="186"/>
    </row>
    <row r="133" spans="1:7" s="82" customFormat="1" ht="13.5" customHeight="1">
      <c r="A133"/>
      <c r="B133" s="82" t="s">
        <v>1198</v>
      </c>
      <c r="C133" s="82">
        <v>0</v>
      </c>
      <c r="D133" s="412"/>
      <c r="E133" s="87"/>
      <c r="F133" s="87"/>
    </row>
    <row r="134" spans="1:7" s="82" customFormat="1" ht="13.5" customHeight="1">
      <c r="A134"/>
      <c r="B134" s="82" t="s">
        <v>1198</v>
      </c>
      <c r="C134" s="82" t="s">
        <v>1198</v>
      </c>
      <c r="D134" s="413"/>
      <c r="E134" s="85"/>
      <c r="F134" s="186"/>
    </row>
    <row r="135" spans="1:7" s="82" customFormat="1" ht="13.5" customHeight="1">
      <c r="A135">
        <v>0</v>
      </c>
      <c r="D135" s="407"/>
    </row>
    <row r="136" spans="1:7" s="82" customFormat="1" ht="13.5" customHeight="1">
      <c r="A136"/>
      <c r="B136" s="82" t="s">
        <v>1198</v>
      </c>
      <c r="C136" s="82" t="s">
        <v>1198</v>
      </c>
      <c r="D136" s="410" t="s">
        <v>1198</v>
      </c>
      <c r="E136" s="82" t="s">
        <v>1198</v>
      </c>
      <c r="F136" s="83" t="s">
        <v>1198</v>
      </c>
      <c r="G136" s="82">
        <v>0</v>
      </c>
    </row>
    <row r="137" spans="1:7" s="82" customFormat="1" ht="13.5" customHeight="1">
      <c r="A137"/>
      <c r="B137" s="82" t="s">
        <v>1198</v>
      </c>
      <c r="C137" s="82" t="s">
        <v>1198</v>
      </c>
      <c r="D137" s="410" t="s">
        <v>1198</v>
      </c>
      <c r="E137" s="82" t="s">
        <v>1198</v>
      </c>
      <c r="F137" s="83"/>
    </row>
    <row r="138" spans="1:7" s="82" customFormat="1" ht="13.5" customHeight="1">
      <c r="A138"/>
      <c r="B138" s="82" t="s">
        <v>1198</v>
      </c>
      <c r="C138" s="82" t="s">
        <v>1198</v>
      </c>
      <c r="D138" s="407"/>
      <c r="E138" s="82" t="s">
        <v>1198</v>
      </c>
      <c r="F138" s="82" t="s">
        <v>1198</v>
      </c>
    </row>
    <row r="139" spans="1:7" s="82" customFormat="1" ht="13.5" customHeight="1">
      <c r="A139"/>
      <c r="B139" s="82" t="s">
        <v>1198</v>
      </c>
      <c r="C139" s="82" t="s">
        <v>1198</v>
      </c>
      <c r="D139" s="411" t="s">
        <v>1198</v>
      </c>
      <c r="E139" s="186"/>
      <c r="F139" s="186"/>
    </row>
    <row r="140" spans="1:7" s="82" customFormat="1" ht="13.5" customHeight="1">
      <c r="A140"/>
      <c r="B140" s="82" t="s">
        <v>1198</v>
      </c>
      <c r="C140" s="82">
        <v>0</v>
      </c>
      <c r="D140" s="412"/>
      <c r="E140" s="87"/>
      <c r="F140" s="87"/>
    </row>
    <row r="141" spans="1:7" s="82" customFormat="1" ht="13.5" customHeight="1">
      <c r="A141"/>
      <c r="B141" s="82" t="s">
        <v>1198</v>
      </c>
      <c r="C141" s="82" t="s">
        <v>1198</v>
      </c>
      <c r="D141" s="413"/>
      <c r="E141" s="85"/>
      <c r="F141" s="186"/>
    </row>
    <row r="142" spans="1:7" s="82" customFormat="1" ht="13.5" customHeight="1">
      <c r="A142">
        <v>0</v>
      </c>
      <c r="D142" s="407"/>
    </row>
    <row r="143" spans="1:7" s="82" customFormat="1" ht="13.5" customHeight="1">
      <c r="A143"/>
      <c r="B143" s="82" t="s">
        <v>1198</v>
      </c>
      <c r="C143" s="82" t="s">
        <v>1198</v>
      </c>
      <c r="D143" s="410" t="s">
        <v>1198</v>
      </c>
      <c r="E143" s="82" t="s">
        <v>1198</v>
      </c>
      <c r="F143" s="83" t="s">
        <v>1198</v>
      </c>
      <c r="G143" s="82">
        <v>0</v>
      </c>
    </row>
    <row r="144" spans="1:7" s="82" customFormat="1" ht="13.5" customHeight="1">
      <c r="A144"/>
      <c r="B144" s="82" t="s">
        <v>1198</v>
      </c>
      <c r="C144" s="82" t="s">
        <v>1198</v>
      </c>
      <c r="D144" s="410" t="s">
        <v>1198</v>
      </c>
      <c r="E144" s="82" t="s">
        <v>1198</v>
      </c>
      <c r="F144" s="83"/>
    </row>
    <row r="145" spans="1:7" s="82" customFormat="1" ht="13.5" customHeight="1">
      <c r="A145"/>
      <c r="B145" s="82" t="s">
        <v>1198</v>
      </c>
      <c r="C145" s="82" t="s">
        <v>1198</v>
      </c>
      <c r="D145" s="407"/>
      <c r="E145" s="82" t="s">
        <v>1198</v>
      </c>
      <c r="F145" s="82" t="s">
        <v>1198</v>
      </c>
    </row>
    <row r="146" spans="1:7" s="82" customFormat="1" ht="13.5" customHeight="1">
      <c r="A146"/>
      <c r="B146" s="82" t="s">
        <v>1198</v>
      </c>
      <c r="C146" s="82" t="s">
        <v>1198</v>
      </c>
      <c r="D146" s="411" t="s">
        <v>1198</v>
      </c>
      <c r="E146" s="186"/>
      <c r="F146" s="186"/>
    </row>
    <row r="147" spans="1:7" s="82" customFormat="1" ht="13.5" customHeight="1">
      <c r="A147"/>
      <c r="B147" s="82" t="s">
        <v>1198</v>
      </c>
      <c r="C147" s="82">
        <v>0</v>
      </c>
      <c r="D147" s="412"/>
      <c r="E147" s="87"/>
      <c r="F147" s="87"/>
    </row>
    <row r="148" spans="1:7" s="82" customFormat="1" ht="13.5" customHeight="1">
      <c r="A148"/>
      <c r="B148" s="82" t="s">
        <v>1198</v>
      </c>
      <c r="C148" s="82" t="s">
        <v>1198</v>
      </c>
      <c r="D148" s="413"/>
      <c r="E148" s="85"/>
      <c r="F148" s="186"/>
    </row>
    <row r="149" spans="1:7" s="82" customFormat="1" ht="13.5" customHeight="1">
      <c r="A149">
        <v>0</v>
      </c>
      <c r="D149" s="407"/>
    </row>
    <row r="150" spans="1:7" s="82" customFormat="1" ht="13.5" customHeight="1">
      <c r="A150"/>
      <c r="B150" s="82" t="s">
        <v>1198</v>
      </c>
      <c r="C150" s="82" t="s">
        <v>1198</v>
      </c>
      <c r="D150" s="410" t="s">
        <v>1198</v>
      </c>
      <c r="E150" s="82" t="s">
        <v>1198</v>
      </c>
      <c r="F150" s="83" t="s">
        <v>1198</v>
      </c>
      <c r="G150" s="82">
        <v>0</v>
      </c>
    </row>
    <row r="151" spans="1:7" s="82" customFormat="1" ht="13.5" customHeight="1">
      <c r="A151"/>
      <c r="B151" s="82" t="s">
        <v>1198</v>
      </c>
      <c r="C151" s="82" t="s">
        <v>1198</v>
      </c>
      <c r="D151" s="410" t="s">
        <v>1198</v>
      </c>
      <c r="E151" s="82" t="s">
        <v>1198</v>
      </c>
      <c r="F151" s="83"/>
    </row>
    <row r="152" spans="1:7" s="82" customFormat="1" ht="13.5" customHeight="1">
      <c r="A152"/>
      <c r="B152" s="82" t="s">
        <v>1198</v>
      </c>
      <c r="C152" s="82" t="s">
        <v>1198</v>
      </c>
      <c r="D152" s="407"/>
      <c r="E152" s="82" t="s">
        <v>1198</v>
      </c>
      <c r="F152" s="82" t="s">
        <v>1198</v>
      </c>
    </row>
    <row r="153" spans="1:7" s="82" customFormat="1" ht="13.5" customHeight="1">
      <c r="A153"/>
      <c r="B153" s="82" t="s">
        <v>1198</v>
      </c>
      <c r="C153" s="82" t="s">
        <v>1198</v>
      </c>
      <c r="D153" s="411" t="s">
        <v>1198</v>
      </c>
      <c r="E153" s="186"/>
      <c r="F153" s="186"/>
    </row>
    <row r="154" spans="1:7" s="82" customFormat="1" ht="13.5" customHeight="1">
      <c r="A154"/>
      <c r="B154" s="82" t="s">
        <v>1198</v>
      </c>
      <c r="C154" s="82">
        <v>0</v>
      </c>
      <c r="D154" s="412"/>
      <c r="E154" s="87"/>
      <c r="F154" s="87"/>
    </row>
    <row r="155" spans="1:7" s="82" customFormat="1" ht="13.5" customHeight="1">
      <c r="A155"/>
      <c r="B155" s="82" t="s">
        <v>1198</v>
      </c>
      <c r="C155" s="82" t="s">
        <v>1198</v>
      </c>
      <c r="D155" s="413"/>
      <c r="E155" s="85"/>
      <c r="F155" s="186"/>
    </row>
    <row r="156" spans="1:7" s="82" customFormat="1" ht="13.5" customHeight="1">
      <c r="A156">
        <v>0</v>
      </c>
      <c r="D156" s="413"/>
      <c r="E156" s="85"/>
      <c r="F156" s="186"/>
    </row>
    <row r="157" spans="1:7" s="82" customFormat="1" ht="13.5" customHeight="1">
      <c r="A157"/>
      <c r="B157" s="82" t="s">
        <v>1198</v>
      </c>
      <c r="C157" s="82" t="s">
        <v>1198</v>
      </c>
      <c r="D157" s="410" t="s">
        <v>1198</v>
      </c>
      <c r="E157" s="82" t="s">
        <v>1198</v>
      </c>
      <c r="F157" s="83" t="s">
        <v>1198</v>
      </c>
      <c r="G157" s="82">
        <v>0</v>
      </c>
    </row>
    <row r="158" spans="1:7" s="82" customFormat="1" ht="13.5" customHeight="1">
      <c r="A158"/>
      <c r="B158" s="82" t="s">
        <v>1198</v>
      </c>
      <c r="C158" s="82" t="s">
        <v>1198</v>
      </c>
      <c r="D158" s="410" t="s">
        <v>1198</v>
      </c>
      <c r="E158" s="82" t="s">
        <v>1198</v>
      </c>
      <c r="F158" s="83"/>
    </row>
    <row r="159" spans="1:7" s="82" customFormat="1" ht="13.5" customHeight="1">
      <c r="A159"/>
      <c r="B159" s="82" t="s">
        <v>1198</v>
      </c>
      <c r="C159" s="82" t="s">
        <v>1198</v>
      </c>
      <c r="D159" s="407"/>
      <c r="E159" s="82" t="s">
        <v>1198</v>
      </c>
      <c r="F159" s="82" t="s">
        <v>1198</v>
      </c>
    </row>
    <row r="160" spans="1:7" s="82" customFormat="1" ht="13.5" customHeight="1">
      <c r="A160"/>
      <c r="B160" s="82" t="s">
        <v>1198</v>
      </c>
      <c r="C160" s="82" t="s">
        <v>1198</v>
      </c>
      <c r="D160" s="411" t="s">
        <v>1198</v>
      </c>
      <c r="E160" s="186"/>
      <c r="F160" s="186"/>
    </row>
    <row r="161" spans="1:7" s="82" customFormat="1" ht="13.5" customHeight="1">
      <c r="A161"/>
      <c r="B161" s="82" t="s">
        <v>1198</v>
      </c>
      <c r="C161" s="82">
        <v>0</v>
      </c>
      <c r="D161" s="412"/>
      <c r="E161" s="87"/>
      <c r="F161" s="87"/>
    </row>
    <row r="162" spans="1:7" s="82" customFormat="1" ht="13.5" customHeight="1">
      <c r="A162"/>
      <c r="B162" s="82" t="s">
        <v>1198</v>
      </c>
      <c r="C162" s="82" t="s">
        <v>1198</v>
      </c>
      <c r="D162" s="413"/>
      <c r="E162" s="85"/>
      <c r="F162" s="186"/>
    </row>
    <row r="163" spans="1:7" s="82" customFormat="1" ht="13.5" customHeight="1">
      <c r="A163">
        <v>0</v>
      </c>
      <c r="D163" s="407"/>
    </row>
    <row r="164" spans="1:7" s="82" customFormat="1" ht="13.5" customHeight="1">
      <c r="A164"/>
      <c r="B164" s="82" t="s">
        <v>1198</v>
      </c>
      <c r="C164" s="82" t="s">
        <v>1198</v>
      </c>
      <c r="D164" s="410" t="s">
        <v>1198</v>
      </c>
      <c r="E164" s="82" t="s">
        <v>1198</v>
      </c>
      <c r="F164" s="83" t="s">
        <v>1198</v>
      </c>
      <c r="G164" s="82">
        <v>0</v>
      </c>
    </row>
    <row r="165" spans="1:7" s="82" customFormat="1" ht="13.5" customHeight="1">
      <c r="A165"/>
      <c r="B165" s="82" t="s">
        <v>1198</v>
      </c>
      <c r="C165" s="82" t="s">
        <v>1198</v>
      </c>
      <c r="D165" s="410" t="s">
        <v>1198</v>
      </c>
      <c r="E165" s="82" t="s">
        <v>1198</v>
      </c>
      <c r="F165" s="83"/>
    </row>
    <row r="166" spans="1:7" s="82" customFormat="1" ht="13.5" customHeight="1">
      <c r="A166"/>
      <c r="B166" s="82" t="s">
        <v>1198</v>
      </c>
      <c r="C166" s="82" t="s">
        <v>1198</v>
      </c>
      <c r="D166" s="407"/>
      <c r="E166" s="82" t="s">
        <v>1198</v>
      </c>
      <c r="F166" s="82" t="s">
        <v>1198</v>
      </c>
    </row>
    <row r="167" spans="1:7" s="82" customFormat="1" ht="13.5" customHeight="1">
      <c r="A167"/>
      <c r="B167" s="82" t="s">
        <v>1198</v>
      </c>
      <c r="C167" s="82" t="s">
        <v>1198</v>
      </c>
      <c r="D167" s="411" t="s">
        <v>1198</v>
      </c>
      <c r="E167" s="186"/>
      <c r="F167" s="186"/>
    </row>
    <row r="168" spans="1:7" s="82" customFormat="1" ht="13.5" customHeight="1">
      <c r="A168"/>
      <c r="B168" s="82" t="s">
        <v>1198</v>
      </c>
      <c r="C168" s="82">
        <v>0</v>
      </c>
      <c r="D168" s="412"/>
      <c r="E168" s="87"/>
      <c r="F168" s="87"/>
    </row>
    <row r="169" spans="1:7" s="82" customFormat="1" ht="13.5" customHeight="1">
      <c r="A169"/>
      <c r="B169" s="82" t="s">
        <v>1198</v>
      </c>
      <c r="C169" s="82" t="s">
        <v>1198</v>
      </c>
      <c r="D169" s="413"/>
      <c r="E169" s="85"/>
      <c r="F169" s="186"/>
    </row>
    <row r="170" spans="1:7" s="82" customFormat="1" ht="13.5" customHeight="1">
      <c r="A170"/>
      <c r="D170" s="412"/>
      <c r="E170" s="87"/>
      <c r="F170" s="87"/>
    </row>
    <row r="171" spans="1:7" s="82" customFormat="1" ht="13.5" customHeight="1">
      <c r="A171"/>
      <c r="D171" s="413"/>
      <c r="E171" s="85"/>
      <c r="F171" s="186"/>
    </row>
    <row r="172" spans="1:7" s="82" customFormat="1" ht="13.5" customHeight="1">
      <c r="A172"/>
      <c r="D172" s="407"/>
    </row>
    <row r="173" spans="1:7" s="82" customFormat="1" ht="13.5" customHeight="1">
      <c r="A173"/>
      <c r="D173" s="410"/>
      <c r="F173" s="83"/>
      <c r="G173" s="85" t="s">
        <v>2167</v>
      </c>
    </row>
    <row r="174" spans="1:7" s="82" customFormat="1" ht="13.5" customHeight="1">
      <c r="A174"/>
      <c r="D174" s="407"/>
    </row>
    <row r="175" spans="1:7" s="82" customFormat="1" ht="13.5" customHeight="1">
      <c r="A175"/>
      <c r="D175" s="410"/>
      <c r="F175" s="83"/>
    </row>
    <row r="176" spans="1:7" s="82" customFormat="1" ht="13.5" customHeight="1">
      <c r="A176">
        <v>0</v>
      </c>
      <c r="D176" s="412"/>
      <c r="E176" s="87"/>
      <c r="F176" s="87"/>
    </row>
    <row r="177" spans="1:7" s="82" customFormat="1" ht="13.5" customHeight="1">
      <c r="A177"/>
      <c r="B177" s="82" t="s">
        <v>1198</v>
      </c>
      <c r="C177" s="82" t="s">
        <v>1198</v>
      </c>
      <c r="D177" s="412" t="s">
        <v>1198</v>
      </c>
      <c r="E177" s="87" t="s">
        <v>1198</v>
      </c>
      <c r="F177" s="87" t="s">
        <v>1198</v>
      </c>
      <c r="G177" s="82">
        <v>0</v>
      </c>
    </row>
    <row r="178" spans="1:7" s="82" customFormat="1" ht="13.5" customHeight="1">
      <c r="A178"/>
      <c r="B178" s="82" t="s">
        <v>1198</v>
      </c>
      <c r="C178" s="82" t="s">
        <v>1198</v>
      </c>
      <c r="D178" s="412" t="s">
        <v>1198</v>
      </c>
      <c r="E178" s="87" t="s">
        <v>1198</v>
      </c>
      <c r="F178" s="87"/>
    </row>
    <row r="179" spans="1:7" s="82" customFormat="1" ht="13.5" customHeight="1">
      <c r="A179"/>
      <c r="B179" s="82" t="s">
        <v>1198</v>
      </c>
      <c r="C179" s="82" t="s">
        <v>1198</v>
      </c>
      <c r="D179" s="412"/>
      <c r="E179" s="87" t="s">
        <v>1198</v>
      </c>
      <c r="F179" s="87" t="s">
        <v>1198</v>
      </c>
    </row>
    <row r="180" spans="1:7" s="82" customFormat="1" ht="13.5" customHeight="1">
      <c r="A180"/>
      <c r="B180" s="82" t="s">
        <v>1198</v>
      </c>
      <c r="C180" s="82" t="s">
        <v>1198</v>
      </c>
      <c r="D180" s="411" t="s">
        <v>1198</v>
      </c>
      <c r="E180" s="87"/>
      <c r="F180" s="87"/>
    </row>
    <row r="181" spans="1:7" s="82" customFormat="1" ht="13.5" customHeight="1">
      <c r="A181"/>
      <c r="B181" s="82" t="s">
        <v>1198</v>
      </c>
      <c r="C181" s="82">
        <v>0</v>
      </c>
      <c r="D181" s="412"/>
      <c r="E181" s="87"/>
      <c r="F181" s="87"/>
    </row>
    <row r="182" spans="1:7" s="82" customFormat="1" ht="13.5" customHeight="1">
      <c r="A182"/>
      <c r="B182" s="82" t="s">
        <v>1198</v>
      </c>
      <c r="C182" s="82" t="s">
        <v>1198</v>
      </c>
      <c r="D182" s="412"/>
      <c r="E182" s="87"/>
      <c r="F182" s="87"/>
    </row>
    <row r="183" spans="1:7" s="82" customFormat="1" ht="13.5" customHeight="1">
      <c r="A183">
        <v>0</v>
      </c>
      <c r="D183" s="412"/>
      <c r="E183" s="87"/>
      <c r="F183" s="87"/>
    </row>
    <row r="184" spans="1:7" s="82" customFormat="1" ht="13.5" customHeight="1">
      <c r="A184"/>
      <c r="B184" s="82" t="s">
        <v>1198</v>
      </c>
      <c r="C184" s="82" t="s">
        <v>1198</v>
      </c>
      <c r="D184" s="412" t="s">
        <v>1198</v>
      </c>
      <c r="E184" s="87" t="s">
        <v>1198</v>
      </c>
      <c r="F184" s="87" t="s">
        <v>1198</v>
      </c>
      <c r="G184" s="82">
        <v>0</v>
      </c>
    </row>
    <row r="185" spans="1:7" s="82" customFormat="1" ht="13.5" customHeight="1">
      <c r="A185"/>
      <c r="B185" s="82" t="s">
        <v>1198</v>
      </c>
      <c r="C185" s="82" t="s">
        <v>1198</v>
      </c>
      <c r="D185" s="412" t="s">
        <v>1198</v>
      </c>
      <c r="E185" s="87" t="s">
        <v>1198</v>
      </c>
      <c r="F185" s="87"/>
    </row>
    <row r="186" spans="1:7" s="82" customFormat="1" ht="13.5" customHeight="1">
      <c r="A186"/>
      <c r="B186" s="82" t="s">
        <v>1198</v>
      </c>
      <c r="C186" s="82" t="s">
        <v>1198</v>
      </c>
      <c r="D186" s="412"/>
      <c r="E186" s="87" t="s">
        <v>1198</v>
      </c>
      <c r="F186" s="87" t="s">
        <v>1198</v>
      </c>
    </row>
    <row r="187" spans="1:7" s="82" customFormat="1" ht="13.5" customHeight="1">
      <c r="A187"/>
      <c r="B187" s="82" t="s">
        <v>1198</v>
      </c>
      <c r="C187" s="82" t="s">
        <v>1198</v>
      </c>
      <c r="D187" s="411" t="s">
        <v>1198</v>
      </c>
      <c r="E187" s="87"/>
      <c r="F187" s="87"/>
    </row>
    <row r="188" spans="1:7" s="82" customFormat="1" ht="13.5" customHeight="1">
      <c r="A188"/>
      <c r="B188" s="82" t="s">
        <v>1198</v>
      </c>
      <c r="C188" s="82">
        <v>0</v>
      </c>
      <c r="D188" s="412"/>
      <c r="E188" s="87"/>
      <c r="F188" s="87"/>
    </row>
    <row r="189" spans="1:7" s="82" customFormat="1" ht="13.5" customHeight="1">
      <c r="A189"/>
      <c r="B189" s="82" t="s">
        <v>1198</v>
      </c>
      <c r="C189" s="82" t="s">
        <v>1198</v>
      </c>
      <c r="D189" s="412"/>
      <c r="E189" s="87"/>
      <c r="F189" s="87"/>
    </row>
    <row r="190" spans="1:7" s="82" customFormat="1" ht="13.5" customHeight="1">
      <c r="A190">
        <v>0</v>
      </c>
      <c r="D190" s="412"/>
      <c r="E190" s="87"/>
      <c r="F190" s="87"/>
    </row>
    <row r="191" spans="1:7" s="82" customFormat="1" ht="13.5" customHeight="1">
      <c r="A191"/>
      <c r="B191" s="82" t="s">
        <v>1198</v>
      </c>
      <c r="C191" s="82" t="s">
        <v>1198</v>
      </c>
      <c r="D191" s="412" t="s">
        <v>1198</v>
      </c>
      <c r="E191" s="87" t="s">
        <v>1198</v>
      </c>
      <c r="F191" s="87" t="s">
        <v>1198</v>
      </c>
      <c r="G191" s="82">
        <v>0</v>
      </c>
    </row>
    <row r="192" spans="1:7" s="82" customFormat="1" ht="13.5" customHeight="1">
      <c r="A192"/>
      <c r="B192" s="82" t="s">
        <v>1198</v>
      </c>
      <c r="C192" s="82" t="s">
        <v>1198</v>
      </c>
      <c r="D192" s="412" t="s">
        <v>1198</v>
      </c>
      <c r="E192" s="87" t="s">
        <v>1198</v>
      </c>
      <c r="F192" s="87"/>
    </row>
    <row r="193" spans="1:7" s="82" customFormat="1" ht="13.5" customHeight="1">
      <c r="A193"/>
      <c r="B193" s="82" t="s">
        <v>1198</v>
      </c>
      <c r="C193" s="82" t="s">
        <v>1198</v>
      </c>
      <c r="D193" s="412"/>
      <c r="E193" s="87" t="s">
        <v>1198</v>
      </c>
      <c r="F193" s="87" t="s">
        <v>1198</v>
      </c>
    </row>
    <row r="194" spans="1:7" s="82" customFormat="1" ht="13.5" customHeight="1">
      <c r="A194"/>
      <c r="B194" s="82" t="s">
        <v>1198</v>
      </c>
      <c r="C194" s="82" t="s">
        <v>1198</v>
      </c>
      <c r="D194" s="411" t="s">
        <v>1198</v>
      </c>
      <c r="E194" s="87"/>
      <c r="F194" s="87"/>
    </row>
    <row r="195" spans="1:7" s="82" customFormat="1" ht="13.5" customHeight="1">
      <c r="A195"/>
      <c r="B195" s="82" t="s">
        <v>1198</v>
      </c>
      <c r="C195" s="82">
        <v>0</v>
      </c>
      <c r="D195" s="412"/>
      <c r="E195" s="87"/>
      <c r="F195" s="87"/>
    </row>
    <row r="196" spans="1:7" s="82" customFormat="1" ht="13.5" customHeight="1">
      <c r="A196"/>
      <c r="B196" s="82" t="s">
        <v>1198</v>
      </c>
      <c r="C196" s="82" t="s">
        <v>1198</v>
      </c>
      <c r="D196" s="412"/>
      <c r="E196" s="87"/>
      <c r="F196" s="87"/>
    </row>
    <row r="197" spans="1:7" s="82" customFormat="1" ht="13.5" customHeight="1">
      <c r="A197">
        <v>0</v>
      </c>
      <c r="D197" s="412"/>
      <c r="E197" s="87"/>
      <c r="F197" s="87"/>
    </row>
    <row r="198" spans="1:7" s="82" customFormat="1" ht="13.5" customHeight="1">
      <c r="A198"/>
      <c r="B198" s="82" t="s">
        <v>1198</v>
      </c>
      <c r="C198" s="82" t="s">
        <v>1198</v>
      </c>
      <c r="D198" s="412" t="s">
        <v>1198</v>
      </c>
      <c r="E198" s="87" t="s">
        <v>1198</v>
      </c>
      <c r="F198" s="87" t="s">
        <v>1198</v>
      </c>
      <c r="G198" s="82">
        <v>0</v>
      </c>
    </row>
    <row r="199" spans="1:7" s="82" customFormat="1" ht="13.5" customHeight="1">
      <c r="A199"/>
      <c r="B199" s="82" t="s">
        <v>1198</v>
      </c>
      <c r="C199" s="82" t="s">
        <v>1198</v>
      </c>
      <c r="D199" s="412" t="s">
        <v>1198</v>
      </c>
      <c r="E199" s="87" t="s">
        <v>1198</v>
      </c>
      <c r="F199" s="87"/>
    </row>
    <row r="200" spans="1:7" s="82" customFormat="1" ht="13.5" customHeight="1">
      <c r="A200"/>
      <c r="B200" s="82" t="s">
        <v>1198</v>
      </c>
      <c r="C200" s="82" t="s">
        <v>1198</v>
      </c>
      <c r="D200" s="412"/>
      <c r="E200" s="87" t="s">
        <v>1198</v>
      </c>
      <c r="F200" s="87" t="s">
        <v>1198</v>
      </c>
    </row>
    <row r="201" spans="1:7" s="82" customFormat="1" ht="13.5" customHeight="1">
      <c r="A201"/>
      <c r="B201" s="82" t="s">
        <v>1198</v>
      </c>
      <c r="C201" s="82" t="s">
        <v>1198</v>
      </c>
      <c r="D201" s="411" t="s">
        <v>1198</v>
      </c>
      <c r="E201" s="87"/>
      <c r="F201" s="87"/>
    </row>
    <row r="202" spans="1:7" s="82" customFormat="1" ht="13.5" customHeight="1">
      <c r="A202"/>
      <c r="B202" s="82" t="s">
        <v>1198</v>
      </c>
      <c r="C202" s="82">
        <v>0</v>
      </c>
      <c r="D202" s="412"/>
      <c r="E202" s="87"/>
      <c r="F202" s="87"/>
    </row>
    <row r="203" spans="1:7" s="82" customFormat="1" ht="13.5" customHeight="1">
      <c r="A203"/>
      <c r="B203" s="82" t="s">
        <v>1198</v>
      </c>
      <c r="C203" s="82" t="s">
        <v>1198</v>
      </c>
      <c r="D203" s="412"/>
      <c r="E203" s="87"/>
      <c r="F203" s="87"/>
    </row>
    <row r="204" spans="1:7" s="82" customFormat="1" ht="13.5" customHeight="1">
      <c r="A204">
        <v>0</v>
      </c>
      <c r="D204" s="412"/>
      <c r="E204" s="87"/>
      <c r="F204" s="87"/>
    </row>
    <row r="205" spans="1:7" s="82" customFormat="1" ht="13.5" customHeight="1">
      <c r="A205"/>
      <c r="B205" s="82" t="s">
        <v>1198</v>
      </c>
      <c r="C205" s="82" t="s">
        <v>1198</v>
      </c>
      <c r="D205" s="412" t="s">
        <v>1198</v>
      </c>
      <c r="E205" s="87" t="s">
        <v>1198</v>
      </c>
      <c r="F205" s="87" t="s">
        <v>1198</v>
      </c>
      <c r="G205" s="82">
        <v>0</v>
      </c>
    </row>
    <row r="206" spans="1:7" s="82" customFormat="1" ht="13.5" customHeight="1">
      <c r="A206"/>
      <c r="B206" s="82" t="s">
        <v>1198</v>
      </c>
      <c r="C206" s="82" t="s">
        <v>1198</v>
      </c>
      <c r="D206" s="412" t="s">
        <v>1198</v>
      </c>
      <c r="E206" s="87" t="s">
        <v>1198</v>
      </c>
      <c r="F206" s="87"/>
    </row>
    <row r="207" spans="1:7" s="82" customFormat="1" ht="13.5" customHeight="1">
      <c r="A207"/>
      <c r="B207" s="82" t="s">
        <v>1198</v>
      </c>
      <c r="C207" s="82" t="s">
        <v>1198</v>
      </c>
      <c r="D207" s="412"/>
      <c r="E207" s="87" t="s">
        <v>1198</v>
      </c>
      <c r="F207" s="87" t="s">
        <v>1198</v>
      </c>
    </row>
    <row r="208" spans="1:7" s="82" customFormat="1" ht="13.5" customHeight="1">
      <c r="A208"/>
      <c r="B208" s="82" t="s">
        <v>1198</v>
      </c>
      <c r="C208" s="82" t="s">
        <v>1198</v>
      </c>
      <c r="D208" s="411" t="s">
        <v>1198</v>
      </c>
      <c r="E208" s="87"/>
      <c r="F208" s="87"/>
    </row>
    <row r="209" spans="1:7" s="82" customFormat="1" ht="13.5" customHeight="1">
      <c r="A209"/>
      <c r="B209" s="82" t="s">
        <v>1198</v>
      </c>
      <c r="C209" s="82">
        <v>0</v>
      </c>
      <c r="D209" s="412"/>
      <c r="E209" s="87"/>
      <c r="F209" s="87"/>
    </row>
    <row r="210" spans="1:7" s="82" customFormat="1" ht="13.5" customHeight="1">
      <c r="A210"/>
      <c r="B210" s="82" t="s">
        <v>1198</v>
      </c>
      <c r="C210" s="82" t="s">
        <v>1198</v>
      </c>
      <c r="D210" s="412"/>
      <c r="E210" s="87"/>
      <c r="F210" s="87"/>
    </row>
    <row r="211" spans="1:7" s="82" customFormat="1" ht="13.5" customHeight="1">
      <c r="A211">
        <v>0</v>
      </c>
      <c r="D211" s="412"/>
      <c r="E211" s="87"/>
      <c r="F211" s="87"/>
    </row>
    <row r="212" spans="1:7" s="82" customFormat="1" ht="13.5" customHeight="1">
      <c r="A212"/>
      <c r="B212" s="82" t="s">
        <v>1198</v>
      </c>
      <c r="C212" s="82" t="s">
        <v>1198</v>
      </c>
      <c r="D212" s="412" t="s">
        <v>1198</v>
      </c>
      <c r="E212" s="87" t="s">
        <v>1198</v>
      </c>
      <c r="F212" s="87" t="s">
        <v>1198</v>
      </c>
      <c r="G212" s="82">
        <v>0</v>
      </c>
    </row>
    <row r="213" spans="1:7" s="82" customFormat="1" ht="13.5" customHeight="1">
      <c r="A213"/>
      <c r="B213" s="82" t="s">
        <v>1198</v>
      </c>
      <c r="C213" s="82" t="s">
        <v>1198</v>
      </c>
      <c r="D213" s="412" t="s">
        <v>1198</v>
      </c>
      <c r="E213" s="87" t="s">
        <v>1198</v>
      </c>
      <c r="F213" s="87"/>
    </row>
    <row r="214" spans="1:7" s="82" customFormat="1" ht="13.5" customHeight="1">
      <c r="A214"/>
      <c r="B214" s="82" t="s">
        <v>1198</v>
      </c>
      <c r="C214" s="82" t="s">
        <v>1198</v>
      </c>
      <c r="D214" s="412"/>
      <c r="E214" s="87" t="s">
        <v>1198</v>
      </c>
      <c r="F214" s="87" t="s">
        <v>1198</v>
      </c>
    </row>
    <row r="215" spans="1:7" s="82" customFormat="1" ht="13.5" customHeight="1">
      <c r="A215"/>
      <c r="B215" s="82" t="s">
        <v>1198</v>
      </c>
      <c r="C215" s="82" t="s">
        <v>1198</v>
      </c>
      <c r="D215" s="411" t="s">
        <v>1198</v>
      </c>
      <c r="E215" s="87"/>
      <c r="F215" s="87"/>
    </row>
    <row r="216" spans="1:7" s="82" customFormat="1" ht="13.5" customHeight="1">
      <c r="A216"/>
      <c r="B216" s="82" t="s">
        <v>1198</v>
      </c>
      <c r="C216" s="82">
        <v>0</v>
      </c>
      <c r="D216" s="412"/>
      <c r="E216" s="87"/>
      <c r="F216" s="87"/>
    </row>
    <row r="217" spans="1:7" s="82" customFormat="1" ht="13.5" customHeight="1">
      <c r="A217"/>
      <c r="B217" s="82" t="s">
        <v>1198</v>
      </c>
      <c r="C217" s="82" t="s">
        <v>1198</v>
      </c>
      <c r="D217" s="412"/>
      <c r="E217" s="87"/>
      <c r="F217" s="87"/>
    </row>
    <row r="218" spans="1:7" s="82" customFormat="1" ht="13.5" customHeight="1">
      <c r="A218">
        <v>0</v>
      </c>
      <c r="D218" s="412"/>
      <c r="E218" s="87"/>
      <c r="F218" s="87"/>
    </row>
    <row r="219" spans="1:7" s="82" customFormat="1" ht="13.5" customHeight="1">
      <c r="A219"/>
      <c r="B219" s="82" t="s">
        <v>1198</v>
      </c>
      <c r="C219" s="82" t="s">
        <v>1198</v>
      </c>
      <c r="D219" s="412" t="s">
        <v>1198</v>
      </c>
      <c r="E219" s="87" t="s">
        <v>1198</v>
      </c>
      <c r="F219" s="87" t="s">
        <v>1198</v>
      </c>
      <c r="G219" s="82">
        <v>0</v>
      </c>
    </row>
    <row r="220" spans="1:7" s="82" customFormat="1" ht="13.5" customHeight="1">
      <c r="A220"/>
      <c r="B220" s="82" t="s">
        <v>1198</v>
      </c>
      <c r="C220" s="82" t="s">
        <v>1198</v>
      </c>
      <c r="D220" s="412" t="s">
        <v>1198</v>
      </c>
      <c r="E220" s="87" t="s">
        <v>1198</v>
      </c>
      <c r="F220" s="87"/>
    </row>
    <row r="221" spans="1:7" s="82" customFormat="1" ht="13.5" customHeight="1">
      <c r="A221"/>
      <c r="B221" s="82" t="s">
        <v>1198</v>
      </c>
      <c r="C221" s="82" t="s">
        <v>1198</v>
      </c>
      <c r="D221" s="412"/>
      <c r="E221" s="87" t="s">
        <v>1198</v>
      </c>
      <c r="F221" s="87" t="s">
        <v>1198</v>
      </c>
    </row>
    <row r="222" spans="1:7" s="82" customFormat="1" ht="13.5" customHeight="1">
      <c r="A222"/>
      <c r="B222" s="82" t="s">
        <v>1198</v>
      </c>
      <c r="C222" s="82" t="s">
        <v>1198</v>
      </c>
      <c r="D222" s="411" t="s">
        <v>1198</v>
      </c>
      <c r="E222" s="87"/>
      <c r="F222" s="87"/>
    </row>
    <row r="223" spans="1:7" s="82" customFormat="1" ht="13.5" customHeight="1">
      <c r="A223"/>
      <c r="B223" s="82" t="s">
        <v>1198</v>
      </c>
      <c r="C223" s="82">
        <v>0</v>
      </c>
      <c r="D223" s="412"/>
      <c r="E223" s="87"/>
      <c r="F223" s="87"/>
    </row>
    <row r="224" spans="1:7" s="82" customFormat="1" ht="13.5" customHeight="1">
      <c r="A224"/>
      <c r="B224" s="82" t="s">
        <v>1198</v>
      </c>
      <c r="C224" s="82" t="s">
        <v>1198</v>
      </c>
      <c r="D224" s="412"/>
      <c r="E224" s="87"/>
      <c r="F224" s="87"/>
    </row>
    <row r="225" spans="1:7" s="82" customFormat="1" ht="13.5" customHeight="1">
      <c r="A225">
        <v>0</v>
      </c>
      <c r="D225" s="412"/>
      <c r="E225" s="87"/>
      <c r="F225" s="87"/>
    </row>
    <row r="226" spans="1:7" s="82" customFormat="1" ht="13.5" customHeight="1">
      <c r="A226"/>
      <c r="B226" s="82" t="s">
        <v>1198</v>
      </c>
      <c r="C226" s="82" t="s">
        <v>1198</v>
      </c>
      <c r="D226" s="412" t="s">
        <v>1198</v>
      </c>
      <c r="E226" s="87" t="s">
        <v>1198</v>
      </c>
      <c r="F226" s="87" t="s">
        <v>1198</v>
      </c>
      <c r="G226" s="82">
        <v>0</v>
      </c>
    </row>
    <row r="227" spans="1:7" s="82" customFormat="1" ht="13.5" customHeight="1">
      <c r="A227"/>
      <c r="B227" s="82" t="s">
        <v>1198</v>
      </c>
      <c r="C227" s="82" t="s">
        <v>1198</v>
      </c>
      <c r="D227" s="410" t="s">
        <v>1198</v>
      </c>
      <c r="E227" s="82" t="s">
        <v>1198</v>
      </c>
      <c r="F227" s="83"/>
    </row>
    <row r="228" spans="1:7" s="82" customFormat="1" ht="13.5" customHeight="1">
      <c r="A228"/>
      <c r="B228" s="82" t="s">
        <v>1198</v>
      </c>
      <c r="C228" s="82" t="s">
        <v>1198</v>
      </c>
      <c r="D228" s="407"/>
      <c r="E228" s="82" t="s">
        <v>1198</v>
      </c>
      <c r="F228" s="82" t="s">
        <v>1198</v>
      </c>
    </row>
    <row r="229" spans="1:7" s="82" customFormat="1" ht="13.5" customHeight="1">
      <c r="A229"/>
      <c r="B229" s="82" t="s">
        <v>1198</v>
      </c>
      <c r="C229" s="82" t="s">
        <v>1198</v>
      </c>
      <c r="D229" s="411" t="s">
        <v>1198</v>
      </c>
      <c r="E229" s="186"/>
      <c r="F229" s="186"/>
    </row>
    <row r="230" spans="1:7" s="82" customFormat="1" ht="13.5" customHeight="1">
      <c r="A230"/>
      <c r="B230" s="82" t="s">
        <v>1198</v>
      </c>
      <c r="C230" s="82">
        <v>0</v>
      </c>
      <c r="D230" s="412"/>
      <c r="E230" s="87"/>
      <c r="F230" s="87"/>
    </row>
    <row r="231" spans="1:7">
      <c r="B231" s="82" t="s">
        <v>1198</v>
      </c>
      <c r="C231" s="82" t="s">
        <v>1198</v>
      </c>
      <c r="D231" s="413"/>
      <c r="E231" s="85"/>
      <c r="F231" s="186"/>
      <c r="G231" s="44" t="s">
        <v>2168</v>
      </c>
    </row>
  </sheetData>
  <mergeCells count="1">
    <mergeCell ref="A1:G1"/>
  </mergeCells>
  <phoneticPr fontId="1" type="noConversion"/>
  <conditionalFormatting sqref="A1:XFD1 H15:XFD15 A232:XFD1048576 B2:XFD4 B13:XFD14 B12:E12 G12:XFD12 B6:XFD11 B5:E5 G5:XFD5 G231:XFD231">
    <cfRule type="cellIs" dxfId="270" priority="319" operator="equal">
      <formula>0</formula>
    </cfRule>
  </conditionalFormatting>
  <conditionalFormatting sqref="A2:A15">
    <cfRule type="cellIs" dxfId="269" priority="316" operator="equal">
      <formula>0</formula>
    </cfRule>
  </conditionalFormatting>
  <conditionalFormatting sqref="H171:XFD171 B170 D170:XFD170">
    <cfRule type="cellIs" dxfId="268" priority="231" operator="equal">
      <formula>0</formula>
    </cfRule>
  </conditionalFormatting>
  <conditionalFormatting sqref="A170:A171">
    <cfRule type="cellIs" dxfId="267" priority="230" operator="equal">
      <formula>0</formula>
    </cfRule>
  </conditionalFormatting>
  <conditionalFormatting sqref="B172:XFD173">
    <cfRule type="cellIs" dxfId="266" priority="227" operator="equal">
      <formula>0</formula>
    </cfRule>
  </conditionalFormatting>
  <conditionalFormatting sqref="A172:A173">
    <cfRule type="cellIs" dxfId="265" priority="226" operator="equal">
      <formula>0</formula>
    </cfRule>
  </conditionalFormatting>
  <conditionalFormatting sqref="C170">
    <cfRule type="cellIs" dxfId="264" priority="202" operator="equal">
      <formula>0</formula>
    </cfRule>
  </conditionalFormatting>
  <conditionalFormatting sqref="C15">
    <cfRule type="cellIs" dxfId="263" priority="199" operator="equal">
      <formula>0</formula>
    </cfRule>
  </conditionalFormatting>
  <conditionalFormatting sqref="C171">
    <cfRule type="cellIs" dxfId="262" priority="177" operator="equal">
      <formula>0</formula>
    </cfRule>
  </conditionalFormatting>
  <conditionalFormatting sqref="F12">
    <cfRule type="cellIs" dxfId="261" priority="154" operator="equal">
      <formula>0</formula>
    </cfRule>
  </conditionalFormatting>
  <conditionalFormatting sqref="F5">
    <cfRule type="cellIs" dxfId="260" priority="153" operator="equal">
      <formula>0</formula>
    </cfRule>
  </conditionalFormatting>
  <conditionalFormatting sqref="H22:XFD22 B20:XFD20 B19:E19 G19:XFD19 B16:XFD18 B21:C21 E21:XFD21">
    <cfRule type="cellIs" dxfId="259" priority="152" operator="equal">
      <formula>0</formula>
    </cfRule>
  </conditionalFormatting>
  <conditionalFormatting sqref="A16:A22">
    <cfRule type="cellIs" dxfId="258" priority="151" operator="equal">
      <formula>0</formula>
    </cfRule>
  </conditionalFormatting>
  <conditionalFormatting sqref="C22">
    <cfRule type="cellIs" dxfId="257" priority="150" operator="equal">
      <formula>0</formula>
    </cfRule>
  </conditionalFormatting>
  <conditionalFormatting sqref="F19">
    <cfRule type="cellIs" dxfId="256" priority="149" operator="equal">
      <formula>0</formula>
    </cfRule>
  </conditionalFormatting>
  <conditionalFormatting sqref="H29:XFD29 B27:XFD27 B26:E26 G26:XFD26 B23:XFD25 B28:C28 E28:XFD28">
    <cfRule type="cellIs" dxfId="255" priority="144" operator="equal">
      <formula>0</formula>
    </cfRule>
  </conditionalFormatting>
  <conditionalFormatting sqref="A23:A29">
    <cfRule type="cellIs" dxfId="254" priority="143" operator="equal">
      <formula>0</formula>
    </cfRule>
  </conditionalFormatting>
  <conditionalFormatting sqref="C29">
    <cfRule type="cellIs" dxfId="253" priority="142" operator="equal">
      <formula>0</formula>
    </cfRule>
  </conditionalFormatting>
  <conditionalFormatting sqref="F26">
    <cfRule type="cellIs" dxfId="252" priority="141" operator="equal">
      <formula>0</formula>
    </cfRule>
  </conditionalFormatting>
  <conditionalFormatting sqref="H36:XFD36 B34:XFD34 B33:E33 G33:XFD33 B31:XFD32 B30:I30 K30:XFD30 B35:C35 K35:XFD35 E35:I35">
    <cfRule type="cellIs" dxfId="251" priority="140" operator="equal">
      <formula>0</formula>
    </cfRule>
  </conditionalFormatting>
  <conditionalFormatting sqref="A30:A36">
    <cfRule type="cellIs" dxfId="250" priority="139" operator="equal">
      <formula>0</formula>
    </cfRule>
  </conditionalFormatting>
  <conditionalFormatting sqref="C36">
    <cfRule type="cellIs" dxfId="249" priority="138" operator="equal">
      <formula>0</formula>
    </cfRule>
  </conditionalFormatting>
  <conditionalFormatting sqref="F33">
    <cfRule type="cellIs" dxfId="248" priority="137" operator="equal">
      <formula>0</formula>
    </cfRule>
  </conditionalFormatting>
  <conditionalFormatting sqref="H43:XFD43 B41:XFD41 B40:E40 G40:XFD40 B38:XFD39 B37:I37 K37:XFD37 B42:C42 E42:XFD42">
    <cfRule type="cellIs" dxfId="247" priority="136" operator="equal">
      <formula>0</formula>
    </cfRule>
  </conditionalFormatting>
  <conditionalFormatting sqref="A37:A43">
    <cfRule type="cellIs" dxfId="246" priority="135" operator="equal">
      <formula>0</formula>
    </cfRule>
  </conditionalFormatting>
  <conditionalFormatting sqref="C43">
    <cfRule type="cellIs" dxfId="245" priority="134" operator="equal">
      <formula>0</formula>
    </cfRule>
  </conditionalFormatting>
  <conditionalFormatting sqref="F40">
    <cfRule type="cellIs" dxfId="244" priority="133" operator="equal">
      <formula>0</formula>
    </cfRule>
  </conditionalFormatting>
  <conditionalFormatting sqref="H50:XFD50 B48:XFD49 B47:E47 G47:XFD47 B44:XFD46">
    <cfRule type="cellIs" dxfId="243" priority="132" operator="equal">
      <formula>0</formula>
    </cfRule>
  </conditionalFormatting>
  <conditionalFormatting sqref="A44:A50">
    <cfRule type="cellIs" dxfId="242" priority="131" operator="equal">
      <formula>0</formula>
    </cfRule>
  </conditionalFormatting>
  <conditionalFormatting sqref="C50">
    <cfRule type="cellIs" dxfId="241" priority="130" operator="equal">
      <formula>0</formula>
    </cfRule>
  </conditionalFormatting>
  <conditionalFormatting sqref="F47">
    <cfRule type="cellIs" dxfId="240" priority="129" operator="equal">
      <formula>0</formula>
    </cfRule>
  </conditionalFormatting>
  <conditionalFormatting sqref="H57:XFD57 B55:XFD55 B54:E54 G54:XFD54 B51:XFD53 B56:C56 E56:XFD56">
    <cfRule type="cellIs" dxfId="239" priority="128" operator="equal">
      <formula>0</formula>
    </cfRule>
  </conditionalFormatting>
  <conditionalFormatting sqref="A51:A57">
    <cfRule type="cellIs" dxfId="238" priority="127" operator="equal">
      <formula>0</formula>
    </cfRule>
  </conditionalFormatting>
  <conditionalFormatting sqref="C57">
    <cfRule type="cellIs" dxfId="237" priority="126" operator="equal">
      <formula>0</formula>
    </cfRule>
  </conditionalFormatting>
  <conditionalFormatting sqref="F54">
    <cfRule type="cellIs" dxfId="236" priority="125" operator="equal">
      <formula>0</formula>
    </cfRule>
  </conditionalFormatting>
  <conditionalFormatting sqref="H64:XFD64 B62:XFD63 B61:E61 G61:XFD61 B58:XFD60">
    <cfRule type="cellIs" dxfId="235" priority="124" operator="equal">
      <formula>0</formula>
    </cfRule>
  </conditionalFormatting>
  <conditionalFormatting sqref="A58:A64">
    <cfRule type="cellIs" dxfId="234" priority="123" operator="equal">
      <formula>0</formula>
    </cfRule>
  </conditionalFormatting>
  <conditionalFormatting sqref="C64">
    <cfRule type="cellIs" dxfId="233" priority="122" operator="equal">
      <formula>0</formula>
    </cfRule>
  </conditionalFormatting>
  <conditionalFormatting sqref="F61">
    <cfRule type="cellIs" dxfId="232" priority="121" operator="equal">
      <formula>0</formula>
    </cfRule>
  </conditionalFormatting>
  <conditionalFormatting sqref="H71:XFD71 B69:XFD70 B68:E68 G68:XFD68 B65:XFD67">
    <cfRule type="cellIs" dxfId="231" priority="120" operator="equal">
      <formula>0</formula>
    </cfRule>
  </conditionalFormatting>
  <conditionalFormatting sqref="A65:A71">
    <cfRule type="cellIs" dxfId="230" priority="119" operator="equal">
      <formula>0</formula>
    </cfRule>
  </conditionalFormatting>
  <conditionalFormatting sqref="C71">
    <cfRule type="cellIs" dxfId="229" priority="118" operator="equal">
      <formula>0</formula>
    </cfRule>
  </conditionalFormatting>
  <conditionalFormatting sqref="F68">
    <cfRule type="cellIs" dxfId="228" priority="117" operator="equal">
      <formula>0</formula>
    </cfRule>
  </conditionalFormatting>
  <conditionalFormatting sqref="H78:XFD78 B76:XFD77 B75:E75 G75:XFD75 B72:XFD74">
    <cfRule type="cellIs" dxfId="227" priority="116" operator="equal">
      <formula>0</formula>
    </cfRule>
  </conditionalFormatting>
  <conditionalFormatting sqref="A72:A78">
    <cfRule type="cellIs" dxfId="226" priority="115" operator="equal">
      <formula>0</formula>
    </cfRule>
  </conditionalFormatting>
  <conditionalFormatting sqref="C78">
    <cfRule type="cellIs" dxfId="225" priority="114" operator="equal">
      <formula>0</formula>
    </cfRule>
  </conditionalFormatting>
  <conditionalFormatting sqref="F75">
    <cfRule type="cellIs" dxfId="224" priority="113" operator="equal">
      <formula>0</formula>
    </cfRule>
  </conditionalFormatting>
  <conditionalFormatting sqref="H85:XFD85 B84:XFD84 B82:E82 G82:XFD82 B79:XFD81 B83:I83 K83:XFD83">
    <cfRule type="cellIs" dxfId="223" priority="112" operator="equal">
      <formula>0</formula>
    </cfRule>
  </conditionalFormatting>
  <conditionalFormatting sqref="A79:A85">
    <cfRule type="cellIs" dxfId="222" priority="111" operator="equal">
      <formula>0</formula>
    </cfRule>
  </conditionalFormatting>
  <conditionalFormatting sqref="C85">
    <cfRule type="cellIs" dxfId="221" priority="110" operator="equal">
      <formula>0</formula>
    </cfRule>
  </conditionalFormatting>
  <conditionalFormatting sqref="F82">
    <cfRule type="cellIs" dxfId="220" priority="109" operator="equal">
      <formula>0</formula>
    </cfRule>
  </conditionalFormatting>
  <conditionalFormatting sqref="H92:XFD92 B90:XFD91 B89:E89 G89:XFD89 B86:XFD87 B88:I88 K88:XFD88">
    <cfRule type="cellIs" dxfId="219" priority="108" operator="equal">
      <formula>0</formula>
    </cfRule>
  </conditionalFormatting>
  <conditionalFormatting sqref="A86:A92">
    <cfRule type="cellIs" dxfId="218" priority="107" operator="equal">
      <formula>0</formula>
    </cfRule>
  </conditionalFormatting>
  <conditionalFormatting sqref="C92">
    <cfRule type="cellIs" dxfId="217" priority="106" operator="equal">
      <formula>0</formula>
    </cfRule>
  </conditionalFormatting>
  <conditionalFormatting sqref="F89">
    <cfRule type="cellIs" dxfId="216" priority="105" operator="equal">
      <formula>0</formula>
    </cfRule>
  </conditionalFormatting>
  <conditionalFormatting sqref="H99:XFD99 B97:XFD98 B96:E96 G96:XFD96 B93:XFD95">
    <cfRule type="cellIs" dxfId="215" priority="104" operator="equal">
      <formula>0</formula>
    </cfRule>
  </conditionalFormatting>
  <conditionalFormatting sqref="A93:A99">
    <cfRule type="cellIs" dxfId="214" priority="103" operator="equal">
      <formula>0</formula>
    </cfRule>
  </conditionalFormatting>
  <conditionalFormatting sqref="C99">
    <cfRule type="cellIs" dxfId="213" priority="102" operator="equal">
      <formula>0</formula>
    </cfRule>
  </conditionalFormatting>
  <conditionalFormatting sqref="F96">
    <cfRule type="cellIs" dxfId="212" priority="101" operator="equal">
      <formula>0</formula>
    </cfRule>
  </conditionalFormatting>
  <conditionalFormatting sqref="H106:XFD106 B104:XFD105 B103:E103 G103:XFD103 B100:XFD102">
    <cfRule type="cellIs" dxfId="211" priority="100" operator="equal">
      <formula>0</formula>
    </cfRule>
  </conditionalFormatting>
  <conditionalFormatting sqref="A100:A106">
    <cfRule type="cellIs" dxfId="210" priority="99" operator="equal">
      <formula>0</formula>
    </cfRule>
  </conditionalFormatting>
  <conditionalFormatting sqref="C106">
    <cfRule type="cellIs" dxfId="209" priority="98" operator="equal">
      <formula>0</formula>
    </cfRule>
  </conditionalFormatting>
  <conditionalFormatting sqref="F103">
    <cfRule type="cellIs" dxfId="208" priority="97" operator="equal">
      <formula>0</formula>
    </cfRule>
  </conditionalFormatting>
  <conditionalFormatting sqref="H113:XFD113 B111:XFD112 B110:E110 G110:XFD110 B107:XFD109">
    <cfRule type="cellIs" dxfId="207" priority="96" operator="equal">
      <formula>0</formula>
    </cfRule>
  </conditionalFormatting>
  <conditionalFormatting sqref="A107:A113">
    <cfRule type="cellIs" dxfId="206" priority="95" operator="equal">
      <formula>0</formula>
    </cfRule>
  </conditionalFormatting>
  <conditionalFormatting sqref="C113">
    <cfRule type="cellIs" dxfId="205" priority="94" operator="equal">
      <formula>0</formula>
    </cfRule>
  </conditionalFormatting>
  <conditionalFormatting sqref="F110">
    <cfRule type="cellIs" dxfId="204" priority="93" operator="equal">
      <formula>0</formula>
    </cfRule>
  </conditionalFormatting>
  <conditionalFormatting sqref="H120:XFD120 B118:XFD119 B117:E117 G117:XFD117 B114:XFD116">
    <cfRule type="cellIs" dxfId="203" priority="92" operator="equal">
      <formula>0</formula>
    </cfRule>
  </conditionalFormatting>
  <conditionalFormatting sqref="A114:A120">
    <cfRule type="cellIs" dxfId="202" priority="91" operator="equal">
      <formula>0</formula>
    </cfRule>
  </conditionalFormatting>
  <conditionalFormatting sqref="C120">
    <cfRule type="cellIs" dxfId="201" priority="90" operator="equal">
      <formula>0</formula>
    </cfRule>
  </conditionalFormatting>
  <conditionalFormatting sqref="F117">
    <cfRule type="cellIs" dxfId="200" priority="89" operator="equal">
      <formula>0</formula>
    </cfRule>
  </conditionalFormatting>
  <conditionalFormatting sqref="H127:XFD127 B125:XFD126 B124:E124 G124:XFD124 B121:XFD123">
    <cfRule type="cellIs" dxfId="199" priority="88" operator="equal">
      <formula>0</formula>
    </cfRule>
  </conditionalFormatting>
  <conditionalFormatting sqref="A121:A127">
    <cfRule type="cellIs" dxfId="198" priority="87" operator="equal">
      <formula>0</formula>
    </cfRule>
  </conditionalFormatting>
  <conditionalFormatting sqref="C127">
    <cfRule type="cellIs" dxfId="197" priority="86" operator="equal">
      <formula>0</formula>
    </cfRule>
  </conditionalFormatting>
  <conditionalFormatting sqref="F124">
    <cfRule type="cellIs" dxfId="196" priority="85" operator="equal">
      <formula>0</formula>
    </cfRule>
  </conditionalFormatting>
  <conditionalFormatting sqref="H134:XFD134 B132:XFD133 B131:E131 G131:XFD131 B128:XFD130">
    <cfRule type="cellIs" dxfId="195" priority="84" operator="equal">
      <formula>0</formula>
    </cfRule>
  </conditionalFormatting>
  <conditionalFormatting sqref="A128:A134">
    <cfRule type="cellIs" dxfId="194" priority="83" operator="equal">
      <formula>0</formula>
    </cfRule>
  </conditionalFormatting>
  <conditionalFormatting sqref="C134">
    <cfRule type="cellIs" dxfId="193" priority="82" operator="equal">
      <formula>0</formula>
    </cfRule>
  </conditionalFormatting>
  <conditionalFormatting sqref="F131">
    <cfRule type="cellIs" dxfId="192" priority="81" operator="equal">
      <formula>0</formula>
    </cfRule>
  </conditionalFormatting>
  <conditionalFormatting sqref="H141:XFD141 B139:XFD140 B138:E138 G138:XFD138 B135:XFD137">
    <cfRule type="cellIs" dxfId="191" priority="80" operator="equal">
      <formula>0</formula>
    </cfRule>
  </conditionalFormatting>
  <conditionalFormatting sqref="A135:A141">
    <cfRule type="cellIs" dxfId="190" priority="79" operator="equal">
      <formula>0</formula>
    </cfRule>
  </conditionalFormatting>
  <conditionalFormatting sqref="C141">
    <cfRule type="cellIs" dxfId="189" priority="78" operator="equal">
      <formula>0</formula>
    </cfRule>
  </conditionalFormatting>
  <conditionalFormatting sqref="F138">
    <cfRule type="cellIs" dxfId="188" priority="77" operator="equal">
      <formula>0</formula>
    </cfRule>
  </conditionalFormatting>
  <conditionalFormatting sqref="H148:XFD148 B146:XFD147 B145:E145 G145:XFD145 B142:XFD144">
    <cfRule type="cellIs" dxfId="187" priority="76" operator="equal">
      <formula>0</formula>
    </cfRule>
  </conditionalFormatting>
  <conditionalFormatting sqref="A142:A148">
    <cfRule type="cellIs" dxfId="186" priority="75" operator="equal">
      <formula>0</formula>
    </cfRule>
  </conditionalFormatting>
  <conditionalFormatting sqref="C148">
    <cfRule type="cellIs" dxfId="185" priority="74" operator="equal">
      <formula>0</formula>
    </cfRule>
  </conditionalFormatting>
  <conditionalFormatting sqref="F145">
    <cfRule type="cellIs" dxfId="184" priority="73" operator="equal">
      <formula>0</formula>
    </cfRule>
  </conditionalFormatting>
  <conditionalFormatting sqref="H155:XFD155 B153:XFD154 B152:E152 G152:XFD152 B149:XFD151">
    <cfRule type="cellIs" dxfId="183" priority="72" operator="equal">
      <formula>0</formula>
    </cfRule>
  </conditionalFormatting>
  <conditionalFormatting sqref="A149:A155">
    <cfRule type="cellIs" dxfId="182" priority="71" operator="equal">
      <formula>0</formula>
    </cfRule>
  </conditionalFormatting>
  <conditionalFormatting sqref="C155">
    <cfRule type="cellIs" dxfId="181" priority="70" operator="equal">
      <formula>0</formula>
    </cfRule>
  </conditionalFormatting>
  <conditionalFormatting sqref="F152">
    <cfRule type="cellIs" dxfId="180" priority="69" operator="equal">
      <formula>0</formula>
    </cfRule>
  </conditionalFormatting>
  <conditionalFormatting sqref="H162:XFD162 B160:XFD161 B159:E159 G159:XFD159 B157:XFD158">
    <cfRule type="cellIs" dxfId="179" priority="68" operator="equal">
      <formula>0</formula>
    </cfRule>
  </conditionalFormatting>
  <conditionalFormatting sqref="A157:A162">
    <cfRule type="cellIs" dxfId="178" priority="67" operator="equal">
      <formula>0</formula>
    </cfRule>
  </conditionalFormatting>
  <conditionalFormatting sqref="C162">
    <cfRule type="cellIs" dxfId="177" priority="66" operator="equal">
      <formula>0</formula>
    </cfRule>
  </conditionalFormatting>
  <conditionalFormatting sqref="F159">
    <cfRule type="cellIs" dxfId="176" priority="65" operator="equal">
      <formula>0</formula>
    </cfRule>
  </conditionalFormatting>
  <conditionalFormatting sqref="H169:XFD169 B167:XFD168 B166:E166 G166:XFD166 B163:XFD165">
    <cfRule type="cellIs" dxfId="175" priority="64" operator="equal">
      <formula>0</formula>
    </cfRule>
  </conditionalFormatting>
  <conditionalFormatting sqref="A163:A169">
    <cfRule type="cellIs" dxfId="174" priority="63" operator="equal">
      <formula>0</formula>
    </cfRule>
  </conditionalFormatting>
  <conditionalFormatting sqref="C169">
    <cfRule type="cellIs" dxfId="173" priority="62" operator="equal">
      <formula>0</formula>
    </cfRule>
  </conditionalFormatting>
  <conditionalFormatting sqref="F166">
    <cfRule type="cellIs" dxfId="172" priority="61" operator="equal">
      <formula>0</formula>
    </cfRule>
  </conditionalFormatting>
  <conditionalFormatting sqref="B174:XFD175">
    <cfRule type="cellIs" dxfId="171" priority="60" operator="equal">
      <formula>0</formula>
    </cfRule>
  </conditionalFormatting>
  <conditionalFormatting sqref="A174:A175">
    <cfRule type="cellIs" dxfId="170" priority="59" operator="equal">
      <formula>0</formula>
    </cfRule>
  </conditionalFormatting>
  <conditionalFormatting sqref="B230:XFD230 B228:E228 G228:XFD228 B227:XFD227 B229:C229 E229:XFD229">
    <cfRule type="cellIs" dxfId="169" priority="28" operator="equal">
      <formula>0</formula>
    </cfRule>
  </conditionalFormatting>
  <conditionalFormatting sqref="A227:A230">
    <cfRule type="cellIs" dxfId="168" priority="27" operator="equal">
      <formula>0</formula>
    </cfRule>
  </conditionalFormatting>
  <conditionalFormatting sqref="F228">
    <cfRule type="cellIs" dxfId="167" priority="26" operator="equal">
      <formula>0</formula>
    </cfRule>
  </conditionalFormatting>
  <conditionalFormatting sqref="A231">
    <cfRule type="cellIs" dxfId="166" priority="25" operator="equal">
      <formula>0</formula>
    </cfRule>
  </conditionalFormatting>
  <conditionalFormatting sqref="C231">
    <cfRule type="cellIs" dxfId="165" priority="24" operator="equal">
      <formula>0</formula>
    </cfRule>
  </conditionalFormatting>
  <conditionalFormatting sqref="B176:B226 D176:XFD226">
    <cfRule type="cellIs" dxfId="164" priority="23" operator="equal">
      <formula>0</formula>
    </cfRule>
  </conditionalFormatting>
  <conditionalFormatting sqref="A176:A226">
    <cfRule type="cellIs" dxfId="163" priority="22" operator="equal">
      <formula>0</formula>
    </cfRule>
  </conditionalFormatting>
  <conditionalFormatting sqref="C176:C226">
    <cfRule type="cellIs" dxfId="162" priority="21" operator="equal">
      <formula>0</formula>
    </cfRule>
  </conditionalFormatting>
  <conditionalFormatting sqref="D229">
    <cfRule type="cellIs" dxfId="161" priority="20" operator="equal">
      <formula>0</formula>
    </cfRule>
  </conditionalFormatting>
  <conditionalFormatting sqref="C1:C155 C157:C1048576">
    <cfRule type="containsText" dxfId="160" priority="19" operator="containsText" text="规格">
      <formula>NOT(ISERROR(SEARCH("规格",C1)))</formula>
    </cfRule>
  </conditionalFormatting>
  <conditionalFormatting sqref="H156:XFD156">
    <cfRule type="cellIs" dxfId="159" priority="18" operator="equal">
      <formula>0</formula>
    </cfRule>
  </conditionalFormatting>
  <conditionalFormatting sqref="A156">
    <cfRule type="cellIs" dxfId="158" priority="17" operator="equal">
      <formula>0</formula>
    </cfRule>
  </conditionalFormatting>
  <conditionalFormatting sqref="C156">
    <cfRule type="cellIs" dxfId="157" priority="16" operator="equal">
      <formula>0</formula>
    </cfRule>
  </conditionalFormatting>
  <conditionalFormatting sqref="C156">
    <cfRule type="containsText" dxfId="156" priority="15" operator="containsText" text="规格">
      <formula>NOT(ISERROR(SEARCH("规格",C156)))</formula>
    </cfRule>
  </conditionalFormatting>
  <conditionalFormatting sqref="J30">
    <cfRule type="cellIs" dxfId="155" priority="12" operator="equal">
      <formula>0</formula>
    </cfRule>
  </conditionalFormatting>
  <conditionalFormatting sqref="J35">
    <cfRule type="cellIs" dxfId="154" priority="11" operator="equal">
      <formula>0</formula>
    </cfRule>
  </conditionalFormatting>
  <conditionalFormatting sqref="J83">
    <cfRule type="cellIs" dxfId="153" priority="10" operator="equal">
      <formula>0</formula>
    </cfRule>
  </conditionalFormatting>
  <conditionalFormatting sqref="J88">
    <cfRule type="cellIs" dxfId="152" priority="9" operator="equal">
      <formula>0</formula>
    </cfRule>
  </conditionalFormatting>
  <conditionalFormatting sqref="D21">
    <cfRule type="cellIs" dxfId="151" priority="8" operator="equal">
      <formula>0</formula>
    </cfRule>
  </conditionalFormatting>
  <conditionalFormatting sqref="D56">
    <cfRule type="cellIs" dxfId="150" priority="7" operator="equal">
      <formula>0</formula>
    </cfRule>
  </conditionalFormatting>
  <conditionalFormatting sqref="J37">
    <cfRule type="cellIs" dxfId="149" priority="6" operator="equal">
      <formula>0</formula>
    </cfRule>
  </conditionalFormatting>
  <conditionalFormatting sqref="D42">
    <cfRule type="cellIs" dxfId="148" priority="4" operator="equal">
      <formula>0</formula>
    </cfRule>
  </conditionalFormatting>
  <conditionalFormatting sqref="D28">
    <cfRule type="cellIs" dxfId="147" priority="2" operator="equal">
      <formula>0</formula>
    </cfRule>
  </conditionalFormatting>
  <conditionalFormatting sqref="D35">
    <cfRule type="cellIs" dxfId="146" priority="1" operator="equal">
      <formula>0</formula>
    </cfRule>
  </conditionalFormatting>
  <pageMargins left="0.39370078740157483" right="0" top="0.19685039370078741" bottom="0" header="0.31496062992125984" footer="0.31496062992125984"/>
  <pageSetup paperSize="9" orientation="portrait" verticalDpi="4294967295" r:id="rId1"/>
  <rowBreaks count="2" manualBreakCount="2">
    <brk id="57" max="16383" man="1"/>
    <brk id="114"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N106"/>
  <sheetViews>
    <sheetView workbookViewId="0">
      <selection activeCell="C36" sqref="C36"/>
    </sheetView>
  </sheetViews>
  <sheetFormatPr defaultRowHeight="14.25"/>
  <cols>
    <col min="1" max="1" width="5.25" customWidth="1"/>
    <col min="2" max="2" width="6.5" customWidth="1"/>
    <col min="3" max="3" width="26.125" customWidth="1"/>
    <col min="4" max="4" width="8.625" customWidth="1"/>
    <col min="5" max="5" width="8.5" customWidth="1"/>
    <col min="6" max="6" width="6" style="406" customWidth="1"/>
    <col min="7" max="7" width="7.5" customWidth="1"/>
    <col min="8" max="8" width="10.875" customWidth="1"/>
    <col min="9" max="9" width="13.5" customWidth="1"/>
    <col min="12" max="12" width="39.5" customWidth="1"/>
  </cols>
  <sheetData>
    <row r="1" spans="1:14" ht="4.5" customHeight="1">
      <c r="A1" s="17"/>
      <c r="B1" s="17"/>
      <c r="C1" s="17"/>
      <c r="D1" s="17"/>
      <c r="E1" s="17"/>
      <c r="F1" s="397"/>
      <c r="G1" s="17"/>
      <c r="H1" s="17"/>
      <c r="I1" s="17"/>
    </row>
    <row r="2" spans="1:14" ht="22.5">
      <c r="A2" s="470" t="s">
        <v>1206</v>
      </c>
      <c r="B2" s="470"/>
      <c r="C2" s="470"/>
      <c r="D2" s="470"/>
      <c r="E2" s="470"/>
      <c r="F2" s="470"/>
      <c r="G2" s="470"/>
      <c r="H2" s="470"/>
      <c r="I2" s="470"/>
    </row>
    <row r="3" spans="1:14" ht="3.75" customHeight="1">
      <c r="A3" s="17"/>
      <c r="B3" s="17"/>
      <c r="C3" s="17"/>
      <c r="D3" s="17"/>
      <c r="E3" s="17"/>
      <c r="F3" s="397"/>
      <c r="G3" s="17"/>
      <c r="H3" s="34"/>
      <c r="I3" s="48"/>
    </row>
    <row r="4" spans="1:14" ht="3.75" customHeight="1">
      <c r="A4" s="17"/>
      <c r="B4" s="17"/>
      <c r="C4" s="17"/>
      <c r="D4" s="17"/>
      <c r="E4" s="17"/>
      <c r="F4" s="397"/>
      <c r="G4" s="17"/>
      <c r="H4" s="17"/>
      <c r="I4" s="17"/>
    </row>
    <row r="5" spans="1:14" ht="15.75">
      <c r="A5" s="35" t="s">
        <v>43</v>
      </c>
      <c r="B5" s="36"/>
      <c r="C5" s="36"/>
      <c r="D5" s="37"/>
      <c r="E5" s="61"/>
      <c r="F5" s="398" t="s">
        <v>42</v>
      </c>
      <c r="G5" s="71"/>
      <c r="H5" s="36"/>
      <c r="I5" s="37"/>
    </row>
    <row r="6" spans="1:14" ht="15.75">
      <c r="A6" s="103" t="s">
        <v>229</v>
      </c>
      <c r="B6" s="58"/>
      <c r="C6" s="58"/>
      <c r="D6" s="59"/>
      <c r="E6" s="58"/>
      <c r="F6" s="399" t="str">
        <f>VLOOKUP(LEFT(发货清单!$R$2,8)&amp;"-"&amp;ROW(A1),地址数据库!A:B,2,0)</f>
        <v xml:space="preserve"> Fluorochem Limited</v>
      </c>
      <c r="G6" s="422"/>
      <c r="H6" s="423"/>
      <c r="I6" s="424"/>
    </row>
    <row r="7" spans="1:14" ht="15" customHeight="1">
      <c r="A7" s="104" t="s">
        <v>527</v>
      </c>
      <c r="B7" s="60"/>
      <c r="C7" s="60"/>
      <c r="D7" s="59"/>
      <c r="E7" s="61"/>
      <c r="F7" s="432" t="str">
        <f>VLOOKUP(LEFT(发货清单!$R$2,8)&amp;"-"&amp;ROW(A2),地址数据库!A:B,2,0)</f>
        <v>Unit 14 Graphite Way</v>
      </c>
      <c r="G7" s="425"/>
      <c r="H7" s="426"/>
      <c r="I7" s="424"/>
      <c r="J7" s="16"/>
    </row>
    <row r="8" spans="1:14" ht="15" customHeight="1">
      <c r="A8" s="104" t="s">
        <v>529</v>
      </c>
      <c r="B8" s="60"/>
      <c r="C8" s="60"/>
      <c r="D8" s="59"/>
      <c r="E8" s="61"/>
      <c r="F8" s="431" t="str">
        <f>VLOOKUP(LEFT(发货清单!$R$2,8)&amp;"-"&amp;ROW(A3),地址数据库!A:B,2,0)</f>
        <v>Hadfield  Derbyshire</v>
      </c>
      <c r="G8" s="425"/>
      <c r="H8" s="426"/>
      <c r="I8" s="424"/>
      <c r="J8" s="16"/>
    </row>
    <row r="9" spans="1:14" ht="15" customHeight="1">
      <c r="A9" s="105" t="s">
        <v>232</v>
      </c>
      <c r="B9" s="60"/>
      <c r="C9" s="60"/>
      <c r="D9" s="59"/>
      <c r="E9" s="61"/>
      <c r="F9" s="431" t="str">
        <f>VLOOKUP(LEFT(发货清单!$R$2,8)&amp;"-"&amp;ROW(A4),地址数据库!A:B,2,0)</f>
        <v>SK13 1QH UK</v>
      </c>
      <c r="G9" s="427"/>
      <c r="H9" s="426"/>
      <c r="I9" s="424"/>
      <c r="J9" s="14"/>
    </row>
    <row r="10" spans="1:14" ht="15.75">
      <c r="A10" s="106" t="s">
        <v>233</v>
      </c>
      <c r="B10" s="62"/>
      <c r="C10" s="62"/>
      <c r="D10" s="63"/>
      <c r="E10" s="61"/>
      <c r="F10" s="431" t="str">
        <f>VLOOKUP(LEFT(发货清单!$R$2,8)&amp;"-"&amp;ROW(A5),地址数据库!A:B,2,0)</f>
        <v>TEL:4401457860111</v>
      </c>
      <c r="G10" s="428"/>
      <c r="H10" s="429"/>
      <c r="I10" s="430"/>
      <c r="J10" s="14"/>
    </row>
    <row r="11" spans="1:14" ht="5.25" customHeight="1">
      <c r="A11" s="17"/>
      <c r="B11" s="17"/>
      <c r="C11" s="17"/>
      <c r="D11" s="17"/>
      <c r="E11" s="17"/>
      <c r="F11" s="397"/>
      <c r="G11" s="17"/>
      <c r="H11" s="17"/>
      <c r="I11" s="17"/>
      <c r="J11" s="14"/>
    </row>
    <row r="12" spans="1:14" s="68" customFormat="1">
      <c r="A12" s="471" t="s">
        <v>17</v>
      </c>
      <c r="B12" s="472"/>
      <c r="C12" s="235" t="s">
        <v>633</v>
      </c>
      <c r="D12" s="67" t="s">
        <v>369</v>
      </c>
      <c r="E12" s="67" t="s">
        <v>21</v>
      </c>
      <c r="F12" s="400" t="s">
        <v>19</v>
      </c>
      <c r="G12" s="276" t="s">
        <v>20</v>
      </c>
      <c r="H12" s="471" t="s">
        <v>30</v>
      </c>
      <c r="I12" s="472"/>
    </row>
    <row r="13" spans="1:14" s="68" customFormat="1" ht="12.75">
      <c r="A13" s="471"/>
      <c r="B13" s="472"/>
      <c r="C13" s="67" t="str">
        <f>发货清单!S2</f>
        <v>P100426</v>
      </c>
      <c r="D13" s="67"/>
      <c r="E13" s="67"/>
      <c r="F13" s="401" t="s">
        <v>38</v>
      </c>
      <c r="G13" s="67"/>
      <c r="H13" s="471" t="s">
        <v>386</v>
      </c>
      <c r="I13" s="472"/>
      <c r="J13" s="30"/>
    </row>
    <row r="14" spans="1:14" s="68" customFormat="1" ht="12.75">
      <c r="A14" s="471" t="s">
        <v>22</v>
      </c>
      <c r="B14" s="473"/>
      <c r="C14" s="472"/>
      <c r="D14" s="263" t="s">
        <v>70</v>
      </c>
      <c r="E14" s="471" t="s">
        <v>23</v>
      </c>
      <c r="F14" s="472"/>
      <c r="G14" s="277" t="s">
        <v>29</v>
      </c>
      <c r="H14" s="471" t="s">
        <v>18</v>
      </c>
      <c r="I14" s="472"/>
      <c r="J14" s="30"/>
    </row>
    <row r="15" spans="1:14" s="28" customFormat="1" ht="15.75">
      <c r="A15" s="476" t="s">
        <v>39</v>
      </c>
      <c r="B15" s="477"/>
      <c r="C15" s="478"/>
      <c r="D15" s="27"/>
      <c r="E15" s="476" t="str">
        <f>VLOOKUP(LEFT(发货清单!R2,8)&amp;"-"&amp;ROW(A1),地址数据库!A:E,5,0)</f>
        <v>UK</v>
      </c>
      <c r="F15" s="478"/>
      <c r="G15" s="79">
        <f ca="1">TODAY()</f>
        <v>43839</v>
      </c>
      <c r="H15" s="479" t="str">
        <f>发货清单!$AA$2</f>
        <v>20200109-607</v>
      </c>
      <c r="I15" s="480"/>
      <c r="J15" s="30"/>
    </row>
    <row r="16" spans="1:14" s="26" customFormat="1" ht="23.25" customHeight="1">
      <c r="A16" s="66" t="s">
        <v>24</v>
      </c>
      <c r="B16" s="481" t="s">
        <v>25</v>
      </c>
      <c r="C16" s="482"/>
      <c r="D16" s="483"/>
      <c r="E16" s="55" t="s">
        <v>28</v>
      </c>
      <c r="F16" s="482" t="str">
        <f>IF(E15="USA","HTS code","HS code")</f>
        <v>HS code</v>
      </c>
      <c r="G16" s="483"/>
      <c r="H16" s="444" t="s">
        <v>26</v>
      </c>
      <c r="I16" s="444" t="s">
        <v>27</v>
      </c>
      <c r="N16" s="47"/>
    </row>
    <row r="17" spans="1:12" s="44" customFormat="1" ht="30" customHeight="1">
      <c r="A17" s="176">
        <f>辅助!N2</f>
        <v>600</v>
      </c>
      <c r="B17" s="474" t="str">
        <f>IFERROR(辅助!P2&amp;CHAR(10)&amp;VLOOKUP(辅助!P2,数据库!C:G,5,0),"")</f>
        <v>Carboxylic acid compound category (AB-04)1
White powder</v>
      </c>
      <c r="C17" s="474"/>
      <c r="D17" s="474"/>
      <c r="E17" s="309" t="str">
        <f>IF(A17=0,"","Glass/Plastic bottle")</f>
        <v>Glass/Plastic bottle</v>
      </c>
      <c r="F17" s="475">
        <f>IFERROR(IF($E$15="USA",VLOOKUP(辅助!R2,数据库!D:E,2,0),辅助!R2),"")</f>
        <v>2917190090</v>
      </c>
      <c r="G17" s="475"/>
      <c r="H17" s="275">
        <f>I17/A17</f>
        <v>0.36399999999999999</v>
      </c>
      <c r="I17" s="177">
        <f>辅助!O2</f>
        <v>218.4</v>
      </c>
      <c r="L17" s="384" t="str">
        <f>辅助!P2&amp;"/"&amp;辅助!N2&amp;"g"&amp;IF(辅助!P3="",,CHAR(10)&amp;辅助!P3&amp;"/"&amp;辅助!N3&amp;"g")&amp;IF(辅助!P4="",,CHAR(10)&amp;辅助!P4&amp;"/"&amp;辅助!N4&amp;"g")&amp;IF(辅助!P5="",,CHAR(10)&amp;辅助!P5&amp;"/"&amp;辅助!N5&amp;"g")&amp;IF(辅助!P6="",,CHAR(10)&amp;辅助!P6&amp;"/"&amp;辅助!N6&amp;"g")</f>
        <v>Carboxylic acid compound category (AB-04)1/600g
Carboxylic acid compound category (AB-04)6/10g
Sulfonamide compound category(AB-08)1/1000g
Heterocyclic with single or more oxygen atoms compound category （AB-15）4/205g
Acyclic hydrocarbon compound category （AB-02）11/500g</v>
      </c>
    </row>
    <row r="18" spans="1:12" s="44" customFormat="1" ht="30" customHeight="1">
      <c r="A18" s="176">
        <f>辅助!N3</f>
        <v>10</v>
      </c>
      <c r="B18" s="474" t="str">
        <f>IFERROR(辅助!P3&amp;CHAR(10)&amp;VLOOKUP(辅助!P3,数据库!C:G,5,0),"")</f>
        <v>Carboxylic acid compound category (AB-04)6
White Solid</v>
      </c>
      <c r="C18" s="474"/>
      <c r="D18" s="474"/>
      <c r="E18" s="309" t="str">
        <f t="shared" ref="E18:E28" si="0">IF(A18=0,"","Glass/Plastic bottle")</f>
        <v>Glass/Plastic bottle</v>
      </c>
      <c r="F18" s="475">
        <f>IFERROR(IF($E$15="USA",VLOOKUP(辅助!R3,数据库!D:E,2,0),辅助!R3),"")</f>
        <v>2917190090</v>
      </c>
      <c r="G18" s="475"/>
      <c r="H18" s="275">
        <f>IF(A18=0,0,I18/A18)</f>
        <v>15.680000000000001</v>
      </c>
      <c r="I18" s="177">
        <f>辅助!O3</f>
        <v>156.80000000000001</v>
      </c>
      <c r="L18" s="44">
        <f>COUNTA(发货清单!H:H)-1</f>
        <v>29</v>
      </c>
    </row>
    <row r="19" spans="1:12" s="44" customFormat="1" ht="30" customHeight="1">
      <c r="A19" s="176">
        <f>辅助!N4</f>
        <v>1000</v>
      </c>
      <c r="B19" s="474" t="str">
        <f>IFERROR(辅助!P4&amp;CHAR(10)&amp;VLOOKUP(辅助!P4,数据库!C:G,5,0),"")</f>
        <v>Sulfonamide compound category(AB-08)1
White Solid</v>
      </c>
      <c r="C19" s="474"/>
      <c r="D19" s="474"/>
      <c r="E19" s="309" t="str">
        <f t="shared" si="0"/>
        <v>Glass/Plastic bottle</v>
      </c>
      <c r="F19" s="475">
        <f>IFERROR(IF($E$15="USA",VLOOKUP(辅助!R4,数据库!D:E,2,0),辅助!R4),"")</f>
        <v>2935900090</v>
      </c>
      <c r="G19" s="475"/>
      <c r="H19" s="275">
        <f t="shared" ref="H19:H28" si="1">IF(A19=0,0,I19/A19)</f>
        <v>5.5299999999999995E-2</v>
      </c>
      <c r="I19" s="177">
        <f>辅助!O4</f>
        <v>55.3</v>
      </c>
      <c r="L19" s="44">
        <f>SUM(辅助!N:N)/1000</f>
        <v>3.266</v>
      </c>
    </row>
    <row r="20" spans="1:12" s="44" customFormat="1" ht="30" customHeight="1">
      <c r="A20" s="176">
        <f>辅助!N5</f>
        <v>205</v>
      </c>
      <c r="B20" s="474" t="str">
        <f>IFERROR(辅助!P5&amp;CHAR(10)&amp;VLOOKUP(辅助!P5,数据库!C:G,5,0),"")</f>
        <v>Heterocyclic with single or more oxygen atoms compound category （AB-15）4
White crystal</v>
      </c>
      <c r="C20" s="474"/>
      <c r="D20" s="474"/>
      <c r="E20" s="309" t="str">
        <f t="shared" si="0"/>
        <v>Glass/Plastic bottle</v>
      </c>
      <c r="F20" s="475">
        <f>IFERROR(IF($E$15="USA",VLOOKUP(辅助!R5,数据库!D:E,2,0),辅助!R5),"")</f>
        <v>2932999099</v>
      </c>
      <c r="G20" s="475"/>
      <c r="H20" s="275">
        <f t="shared" si="1"/>
        <v>0.48829268292682926</v>
      </c>
      <c r="I20" s="177">
        <f>辅助!O5</f>
        <v>100.1</v>
      </c>
      <c r="L20" s="456"/>
    </row>
    <row r="21" spans="1:12" s="44" customFormat="1" ht="30" customHeight="1">
      <c r="A21" s="176">
        <f>辅助!N6</f>
        <v>500</v>
      </c>
      <c r="B21" s="474" t="str">
        <f>IFERROR(辅助!P6&amp;CHAR(10)&amp;VLOOKUP(辅助!P6,数据库!C:G,5,0),"")</f>
        <v>Acyclic hydrocarbon compound category （AB-02）11
Colorless Transparent Liquid</v>
      </c>
      <c r="C21" s="474"/>
      <c r="D21" s="474"/>
      <c r="E21" s="309" t="str">
        <f t="shared" si="0"/>
        <v>Glass/Plastic bottle</v>
      </c>
      <c r="F21" s="475">
        <f>IFERROR(IF($E$15="USA",VLOOKUP(辅助!R6,数据库!D:E,2,0),辅助!R6),"")</f>
        <v>2903399090</v>
      </c>
      <c r="G21" s="475"/>
      <c r="H21" s="275">
        <f t="shared" si="1"/>
        <v>0.2044</v>
      </c>
      <c r="I21" s="177">
        <f>辅助!O6</f>
        <v>102.2</v>
      </c>
      <c r="L21" s="44">
        <f>SUM(发货清单!U2:U298)</f>
        <v>3532.9000000000005</v>
      </c>
    </row>
    <row r="22" spans="1:12" s="44" customFormat="1" ht="30" customHeight="1">
      <c r="A22" s="176">
        <f>辅助!N7</f>
        <v>26</v>
      </c>
      <c r="B22" s="474" t="str">
        <f>IFERROR(辅助!P7&amp;CHAR(10)&amp;VLOOKUP(辅助!P7,数据库!C:G,5,0),"")</f>
        <v>Acyclic hydrocarbon compound category （AB-02）13
brown liquid</v>
      </c>
      <c r="C22" s="474"/>
      <c r="D22" s="474"/>
      <c r="E22" s="309" t="str">
        <f t="shared" si="0"/>
        <v>Glass/Plastic bottle</v>
      </c>
      <c r="F22" s="475">
        <f>IFERROR(IF($E$15="USA",VLOOKUP(辅助!R7,数据库!D:E,2,0),辅助!R7),"")</f>
        <v>2903399090</v>
      </c>
      <c r="G22" s="475"/>
      <c r="H22" s="275">
        <f t="shared" si="1"/>
        <v>5.3307692307692314</v>
      </c>
      <c r="I22" s="177">
        <f>辅助!O7</f>
        <v>138.60000000000002</v>
      </c>
    </row>
    <row r="23" spans="1:12" s="44" customFormat="1" ht="30" customHeight="1">
      <c r="A23" s="176">
        <f>辅助!N8</f>
        <v>25</v>
      </c>
      <c r="B23" s="474" t="str">
        <f>IFERROR(辅助!P8&amp;CHAR(10)&amp;VLOOKUP(辅助!P8,数据库!C:G,5,0),"")</f>
        <v>Heterocyclic with nitrogen compound category (AB-06)46
Yellow powder</v>
      </c>
      <c r="C23" s="474"/>
      <c r="D23" s="474"/>
      <c r="E23" s="309" t="str">
        <f t="shared" si="0"/>
        <v>Glass/Plastic bottle</v>
      </c>
      <c r="F23" s="475">
        <f>IFERROR(IF($E$15="USA",VLOOKUP(辅助!R8,数据库!D:E,2,0),辅助!R8),"")</f>
        <v>2933990099</v>
      </c>
      <c r="G23" s="475"/>
      <c r="H23" s="275">
        <f t="shared" si="1"/>
        <v>2.4079999999999999</v>
      </c>
      <c r="I23" s="177">
        <f>辅助!O8</f>
        <v>60.2</v>
      </c>
    </row>
    <row r="24" spans="1:12" s="44" customFormat="1" ht="30" customHeight="1">
      <c r="A24" s="176">
        <f>辅助!N9</f>
        <v>50</v>
      </c>
      <c r="B24" s="474" t="str">
        <f>IFERROR(辅助!P9&amp;CHAR(10)&amp;VLOOKUP(辅助!P9,数据库!C:G,5,0),"")</f>
        <v>Heterocyclic with nitrogen compound category (AB-06)53
Brown solid</v>
      </c>
      <c r="C24" s="474"/>
      <c r="D24" s="474"/>
      <c r="E24" s="309" t="str">
        <f t="shared" si="0"/>
        <v>Glass/Plastic bottle</v>
      </c>
      <c r="F24" s="475">
        <f>IFERROR(IF($E$15="USA",VLOOKUP(辅助!R9,数据库!D:E,2,0),辅助!R9),"")</f>
        <v>2933990099</v>
      </c>
      <c r="G24" s="475"/>
      <c r="H24" s="275">
        <f t="shared" si="1"/>
        <v>42.798000000000002</v>
      </c>
      <c r="I24" s="177">
        <f>辅助!O9</f>
        <v>2139.9</v>
      </c>
    </row>
    <row r="25" spans="1:12" s="44" customFormat="1" ht="30" customHeight="1">
      <c r="A25" s="176">
        <f>辅助!N10</f>
        <v>700</v>
      </c>
      <c r="B25" s="474" t="str">
        <f>IFERROR(辅助!P10&amp;CHAR(10)&amp;VLOOKUP(辅助!P10,数据库!C:G,5,0),"")</f>
        <v>Aromatic ring products without heteroatoms category （AB-16）33
Light yellow-green granular crystals</v>
      </c>
      <c r="C25" s="474"/>
      <c r="D25" s="474"/>
      <c r="E25" s="309" t="str">
        <f t="shared" si="0"/>
        <v>Glass/Plastic bottle</v>
      </c>
      <c r="F25" s="475">
        <f>IFERROR(IF($E$15="USA",VLOOKUP(辅助!R10,数据库!D:E,2,0),辅助!R10),"")</f>
        <v>2903999090</v>
      </c>
      <c r="G25" s="475"/>
      <c r="H25" s="275">
        <f t="shared" si="1"/>
        <v>0.39799999999999996</v>
      </c>
      <c r="I25" s="177">
        <f>辅助!O10</f>
        <v>278.59999999999997</v>
      </c>
    </row>
    <row r="26" spans="1:12" s="44" customFormat="1" ht="30" customHeight="1">
      <c r="A26" s="176">
        <f>辅助!N11</f>
        <v>150</v>
      </c>
      <c r="B26" s="474" t="str">
        <f>IFERROR(辅助!P11&amp;CHAR(10)&amp;VLOOKUP(辅助!P11,数据库!C:G,5,0),"")</f>
        <v>Aromatic ring products without heteroatoms category （AB-16）36
White powder</v>
      </c>
      <c r="C26" s="474"/>
      <c r="D26" s="474"/>
      <c r="E26" s="309" t="str">
        <f t="shared" si="0"/>
        <v>Glass/Plastic bottle</v>
      </c>
      <c r="F26" s="475">
        <f>IFERROR(IF($E$15="USA",VLOOKUP(辅助!R11,数据库!D:E,2,0),辅助!R11),"")</f>
        <v>2916399090</v>
      </c>
      <c r="G26" s="475"/>
      <c r="H26" s="275">
        <f t="shared" si="1"/>
        <v>1.8853333333333333</v>
      </c>
      <c r="I26" s="177">
        <f>辅助!O11</f>
        <v>282.8</v>
      </c>
    </row>
    <row r="27" spans="1:12" s="44" customFormat="1" ht="30" customHeight="1">
      <c r="A27" s="176">
        <f>辅助!N12</f>
        <v>0</v>
      </c>
      <c r="B27" s="474" t="str">
        <f>IFERROR(辅助!P12&amp;CHAR(10)&amp;VLOOKUP(辅助!P12,数据库!C:G,5,0),"")</f>
        <v/>
      </c>
      <c r="C27" s="474"/>
      <c r="D27" s="474"/>
      <c r="E27" s="309" t="str">
        <f t="shared" si="0"/>
        <v/>
      </c>
      <c r="F27" s="475" t="str">
        <f>IFERROR(IF($E$15="USA",VLOOKUP(辅助!R12,数据库!D:E,2,0),辅助!R12),"")</f>
        <v/>
      </c>
      <c r="G27" s="475"/>
      <c r="H27" s="275">
        <f t="shared" si="1"/>
        <v>0</v>
      </c>
      <c r="I27" s="177">
        <f>辅助!O12</f>
        <v>0</v>
      </c>
    </row>
    <row r="28" spans="1:12" s="44" customFormat="1" ht="30" customHeight="1">
      <c r="A28" s="176">
        <f>辅助!N13</f>
        <v>0</v>
      </c>
      <c r="B28" s="474" t="str">
        <f>IFERROR(辅助!P13&amp;CHAR(10)&amp;VLOOKUP(辅助!P13,数据库!C:G,5,0),"")</f>
        <v/>
      </c>
      <c r="C28" s="474"/>
      <c r="D28" s="474"/>
      <c r="E28" s="309" t="str">
        <f t="shared" si="0"/>
        <v/>
      </c>
      <c r="F28" s="475" t="str">
        <f>IFERROR(IF($E$15="USA",VLOOKUP(辅助!R13,数据库!D:E,2,0),辅助!R13),"")</f>
        <v/>
      </c>
      <c r="G28" s="475"/>
      <c r="H28" s="275">
        <f t="shared" si="1"/>
        <v>0</v>
      </c>
      <c r="I28" s="177">
        <f>辅助!O13</f>
        <v>0</v>
      </c>
    </row>
    <row r="29" spans="1:12" s="44" customFormat="1" ht="33.75" customHeight="1" thickBot="1">
      <c r="A29" s="176"/>
      <c r="B29" s="510" t="str">
        <f>IF(COUNTIF(辅助!N:N,"&gt;0")&lt;=12,"Total Net Weight（g）:   "&amp;SUM(辅助!N:N)," ")&amp;CHAR(10)&amp;IF(COUNTIF(辅助!N:N,"&gt;0")&lt;=12,"Gross Weight(kg):   "&amp;发货清单!Y2," ")</f>
        <v>Total Net Weight（g）:   3266
Gross Weight(kg):   10</v>
      </c>
      <c r="C29" s="511"/>
      <c r="D29" s="512"/>
      <c r="E29" s="66"/>
      <c r="F29" s="475"/>
      <c r="G29" s="475"/>
      <c r="H29" s="278" t="str">
        <f>IF(COUNTIF(辅助!O:O,"&gt;0")&lt;=12,"TOTAL:"," ")</f>
        <v>TOTAL:</v>
      </c>
      <c r="I29" s="274">
        <f>IF(COUNTIF(辅助!O:O,"&gt;0")&lt;=12,SUM(辅助!O:O)," ")</f>
        <v>3532.9</v>
      </c>
    </row>
    <row r="30" spans="1:12" ht="15.75">
      <c r="A30" s="169" t="s">
        <v>31</v>
      </c>
      <c r="B30" s="170"/>
      <c r="C30" s="170"/>
      <c r="D30" s="171"/>
      <c r="E30" s="41"/>
      <c r="F30" s="484"/>
      <c r="G30" s="484"/>
      <c r="H30" s="484"/>
      <c r="I30" s="485"/>
    </row>
    <row r="31" spans="1:12" ht="15" customHeight="1">
      <c r="A31" s="486" t="str">
        <f>IF(LEFT(发货清单!R2,8)="WB000178","I certify that all chemicals in this shipment are subject to TSCA.","I certify that all chemicals in this shipment are not subject to TSCA.")</f>
        <v>I certify that all chemicals in this shipment are not subject to TSCA.</v>
      </c>
      <c r="B31" s="487"/>
      <c r="C31" s="488"/>
      <c r="D31" s="39"/>
      <c r="E31" s="492" t="s">
        <v>73</v>
      </c>
      <c r="F31" s="493"/>
      <c r="G31" s="493"/>
      <c r="H31" s="493"/>
      <c r="I31" s="494"/>
    </row>
    <row r="32" spans="1:12" ht="11.25" customHeight="1" thickBot="1">
      <c r="A32" s="489"/>
      <c r="B32" s="490"/>
      <c r="C32" s="491"/>
      <c r="D32" s="39"/>
      <c r="E32" s="495"/>
      <c r="F32" s="496"/>
      <c r="G32" s="496"/>
      <c r="H32" s="496"/>
      <c r="I32" s="497"/>
    </row>
    <row r="33" spans="1:10" ht="16.5" customHeight="1" thickBot="1">
      <c r="A33" s="498" t="s">
        <v>525</v>
      </c>
      <c r="B33" s="499"/>
      <c r="C33" s="500"/>
      <c r="D33" s="39"/>
      <c r="E33" s="42" t="s">
        <v>71</v>
      </c>
      <c r="F33" s="402"/>
      <c r="G33" s="507" t="str">
        <f>发货清单!F2</f>
        <v>2786337676</v>
      </c>
      <c r="H33" s="508"/>
      <c r="I33" s="509"/>
    </row>
    <row r="34" spans="1:10" ht="32.25" customHeight="1" thickBot="1">
      <c r="A34" s="501"/>
      <c r="B34" s="502"/>
      <c r="C34" s="503"/>
      <c r="D34" s="39"/>
      <c r="E34" s="42" t="s">
        <v>34</v>
      </c>
      <c r="F34" s="402"/>
      <c r="G34" s="43"/>
      <c r="H34" s="43"/>
      <c r="I34" s="172"/>
    </row>
    <row r="35" spans="1:10" ht="15" thickBot="1">
      <c r="A35" s="504"/>
      <c r="B35" s="505"/>
      <c r="C35" s="506"/>
      <c r="D35" s="43"/>
      <c r="E35" s="43"/>
      <c r="F35" s="403"/>
      <c r="G35" s="43"/>
      <c r="H35" s="43"/>
      <c r="I35" s="172"/>
    </row>
    <row r="36" spans="1:10" ht="21.75" customHeight="1">
      <c r="A36" s="17"/>
      <c r="B36" s="17"/>
      <c r="C36" s="17"/>
      <c r="D36" s="17"/>
      <c r="E36" s="310" t="str">
        <f>"page 1/"&amp;IF(COUNTIF(辅助!K:K,"&gt;0")&lt;13,1,IF(COUNTIF(辅助!K:K,"&gt;0")&lt;25,2,3))</f>
        <v>page 1/1</v>
      </c>
      <c r="F36" s="397"/>
      <c r="G36" s="17"/>
      <c r="H36" s="17"/>
      <c r="I36" s="17"/>
    </row>
    <row r="37" spans="1:10" ht="22.5">
      <c r="A37" s="470" t="s">
        <v>44</v>
      </c>
      <c r="B37" s="470"/>
      <c r="C37" s="470"/>
      <c r="D37" s="470"/>
      <c r="E37" s="470"/>
      <c r="F37" s="470"/>
      <c r="G37" s="470"/>
      <c r="H37" s="470"/>
      <c r="I37" s="470"/>
    </row>
    <row r="38" spans="1:10" ht="3.75" customHeight="1">
      <c r="A38" s="17"/>
      <c r="B38" s="17"/>
      <c r="C38" s="17"/>
      <c r="D38" s="17"/>
      <c r="E38" s="17"/>
      <c r="F38" s="397"/>
      <c r="G38" s="17"/>
      <c r="H38" s="34"/>
      <c r="I38" s="48"/>
    </row>
    <row r="39" spans="1:10" ht="3.75" customHeight="1">
      <c r="A39" s="17"/>
      <c r="B39" s="17"/>
      <c r="C39" s="17"/>
      <c r="D39" s="17"/>
      <c r="E39" s="17"/>
      <c r="F39" s="397"/>
      <c r="G39" s="17"/>
      <c r="H39" s="17"/>
      <c r="I39" s="17"/>
    </row>
    <row r="40" spans="1:10" ht="15.75">
      <c r="A40" s="35" t="s">
        <v>43</v>
      </c>
      <c r="B40" s="36"/>
      <c r="C40" s="36"/>
      <c r="D40" s="37"/>
      <c r="E40" s="61"/>
      <c r="F40" s="398" t="s">
        <v>42</v>
      </c>
      <c r="G40" s="71"/>
      <c r="H40" s="36"/>
      <c r="I40" s="37"/>
    </row>
    <row r="41" spans="1:10" ht="15.75">
      <c r="A41" s="103" t="s">
        <v>75</v>
      </c>
      <c r="B41" s="58"/>
      <c r="C41" s="58"/>
      <c r="D41" s="59"/>
      <c r="E41" s="58"/>
      <c r="F41" s="399" t="str">
        <f>F6</f>
        <v xml:space="preserve"> Fluorochem Limited</v>
      </c>
      <c r="G41" s="192"/>
      <c r="H41" s="15"/>
      <c r="I41" s="38"/>
    </row>
    <row r="42" spans="1:10" ht="15" customHeight="1">
      <c r="A42" s="104" t="s">
        <v>527</v>
      </c>
      <c r="B42" s="60"/>
      <c r="C42" s="60"/>
      <c r="D42" s="59"/>
      <c r="E42" s="61"/>
      <c r="F42" s="404" t="str">
        <f t="shared" ref="F42:F45" si="2">F7</f>
        <v>Unit 14 Graphite Way</v>
      </c>
      <c r="G42" s="7"/>
      <c r="H42" s="39"/>
      <c r="I42" s="38"/>
      <c r="J42" s="16"/>
    </row>
    <row r="43" spans="1:10" ht="15" customHeight="1">
      <c r="A43" s="104" t="s">
        <v>529</v>
      </c>
      <c r="B43" s="60"/>
      <c r="C43" s="60"/>
      <c r="D43" s="59"/>
      <c r="E43" s="61"/>
      <c r="F43" s="404" t="str">
        <f t="shared" si="2"/>
        <v>Hadfield  Derbyshire</v>
      </c>
      <c r="G43" s="7"/>
      <c r="H43" s="39"/>
      <c r="I43" s="38"/>
      <c r="J43" s="16"/>
    </row>
    <row r="44" spans="1:10" ht="15" customHeight="1">
      <c r="A44" s="105" t="s">
        <v>232</v>
      </c>
      <c r="B44" s="60"/>
      <c r="C44" s="60"/>
      <c r="D44" s="59"/>
      <c r="E44" s="61"/>
      <c r="F44" s="404" t="str">
        <f t="shared" si="2"/>
        <v>SK13 1QH UK</v>
      </c>
      <c r="G44" s="193"/>
      <c r="H44" s="39"/>
      <c r="I44" s="38"/>
      <c r="J44" s="14"/>
    </row>
    <row r="45" spans="1:10" ht="15">
      <c r="A45" s="106" t="s">
        <v>233</v>
      </c>
      <c r="B45" s="62"/>
      <c r="C45" s="62"/>
      <c r="D45" s="63"/>
      <c r="E45" s="61"/>
      <c r="F45" s="404" t="str">
        <f t="shared" si="2"/>
        <v>TEL:4401457860111</v>
      </c>
      <c r="G45" s="6"/>
      <c r="H45" s="18"/>
      <c r="I45" s="40"/>
      <c r="J45" s="14"/>
    </row>
    <row r="46" spans="1:10" ht="5.25" customHeight="1">
      <c r="A46" s="17"/>
      <c r="B46" s="17"/>
      <c r="C46" s="17"/>
      <c r="D46" s="17"/>
      <c r="E46" s="17"/>
      <c r="F46" s="397"/>
      <c r="G46" s="17"/>
      <c r="H46" s="17"/>
      <c r="I46" s="17"/>
      <c r="J46" s="14"/>
    </row>
    <row r="47" spans="1:10" s="68" customFormat="1">
      <c r="A47" s="471" t="s">
        <v>17</v>
      </c>
      <c r="B47" s="472"/>
      <c r="C47" s="67" t="s">
        <v>632</v>
      </c>
      <c r="D47" s="263" t="s">
        <v>369</v>
      </c>
      <c r="E47" s="67" t="s">
        <v>21</v>
      </c>
      <c r="F47" s="400" t="s">
        <v>19</v>
      </c>
      <c r="G47" s="276" t="s">
        <v>20</v>
      </c>
      <c r="H47" s="471" t="s">
        <v>30</v>
      </c>
      <c r="I47" s="472"/>
    </row>
    <row r="48" spans="1:10" s="68" customFormat="1" ht="12.75">
      <c r="A48" s="471"/>
      <c r="B48" s="472"/>
      <c r="C48" s="67" t="str">
        <f>C13</f>
        <v>P100426</v>
      </c>
      <c r="D48" s="67"/>
      <c r="E48" s="67"/>
      <c r="F48" s="401" t="s">
        <v>38</v>
      </c>
      <c r="G48" s="67"/>
      <c r="H48" s="471" t="s">
        <v>386</v>
      </c>
      <c r="I48" s="472"/>
      <c r="J48" s="30"/>
    </row>
    <row r="49" spans="1:14" s="68" customFormat="1" ht="12.75">
      <c r="A49" s="471" t="s">
        <v>22</v>
      </c>
      <c r="B49" s="473"/>
      <c r="C49" s="472"/>
      <c r="D49" s="263" t="s">
        <v>70</v>
      </c>
      <c r="E49" s="471" t="s">
        <v>23</v>
      </c>
      <c r="F49" s="472"/>
      <c r="G49" s="277" t="s">
        <v>29</v>
      </c>
      <c r="H49" s="471" t="s">
        <v>18</v>
      </c>
      <c r="I49" s="472"/>
      <c r="J49" s="30"/>
    </row>
    <row r="50" spans="1:14" s="28" customFormat="1" ht="15.75">
      <c r="A50" s="476" t="s">
        <v>39</v>
      </c>
      <c r="B50" s="477"/>
      <c r="C50" s="478"/>
      <c r="D50" s="27"/>
      <c r="E50" s="476" t="str">
        <f>E15</f>
        <v>UK</v>
      </c>
      <c r="F50" s="478"/>
      <c r="G50" s="79">
        <f ca="1">TODAY()</f>
        <v>43839</v>
      </c>
      <c r="H50" s="479" t="str">
        <f>发货清单!$AA$2</f>
        <v>20200109-607</v>
      </c>
      <c r="I50" s="480"/>
      <c r="J50" s="30"/>
    </row>
    <row r="51" spans="1:14" s="26" customFormat="1" ht="23.25" customHeight="1">
      <c r="A51" s="66" t="s">
        <v>24</v>
      </c>
      <c r="B51" s="481" t="s">
        <v>25</v>
      </c>
      <c r="C51" s="482"/>
      <c r="D51" s="483"/>
      <c r="E51" s="55" t="s">
        <v>28</v>
      </c>
      <c r="F51" s="482" t="str">
        <f>F16</f>
        <v>HS code</v>
      </c>
      <c r="G51" s="483"/>
      <c r="H51" s="444" t="s">
        <v>26</v>
      </c>
      <c r="I51" s="444" t="s">
        <v>27</v>
      </c>
      <c r="N51" s="47"/>
    </row>
    <row r="52" spans="1:14" s="44" customFormat="1" ht="30" customHeight="1">
      <c r="A52" s="176">
        <f>辅助!N14</f>
        <v>0</v>
      </c>
      <c r="B52" s="474" t="str">
        <f>IFERROR(辅助!P14&amp;CHAR(10)&amp;VLOOKUP(辅助!P14,数据库!C:G,5,0),"")</f>
        <v/>
      </c>
      <c r="C52" s="474"/>
      <c r="D52" s="474"/>
      <c r="E52" s="309" t="str">
        <f t="shared" ref="E52:E63" si="3">IF(A52=0,"","Glass/Plastic bottle")</f>
        <v/>
      </c>
      <c r="F52" s="475" t="str">
        <f>IFERROR(IF($E$15="USA",VLOOKUP(辅助!R14,数据库!D:E,2,0),辅助!R14),"")</f>
        <v/>
      </c>
      <c r="G52" s="475"/>
      <c r="H52" s="275">
        <f>IF(A52=0,0,I52/A52)</f>
        <v>0</v>
      </c>
      <c r="I52" s="177">
        <f>辅助!O14</f>
        <v>0</v>
      </c>
    </row>
    <row r="53" spans="1:14" s="44" customFormat="1" ht="30" customHeight="1">
      <c r="A53" s="176">
        <f>辅助!N15</f>
        <v>0</v>
      </c>
      <c r="B53" s="474" t="str">
        <f>IFERROR(辅助!P15&amp;CHAR(10)&amp;VLOOKUP(辅助!P15,数据库!C:G,5,0),"")</f>
        <v/>
      </c>
      <c r="C53" s="474"/>
      <c r="D53" s="474"/>
      <c r="E53" s="309" t="str">
        <f t="shared" si="3"/>
        <v/>
      </c>
      <c r="F53" s="475" t="str">
        <f>IFERROR(IF($E$15="USA",VLOOKUP(辅助!R15,数据库!D:E,2,0),辅助!R15),"")</f>
        <v/>
      </c>
      <c r="G53" s="475"/>
      <c r="H53" s="275">
        <f>IF(A53=0,0,I53/A53)</f>
        <v>0</v>
      </c>
      <c r="I53" s="177">
        <f>辅助!O15</f>
        <v>0</v>
      </c>
    </row>
    <row r="54" spans="1:14" s="44" customFormat="1" ht="30" customHeight="1">
      <c r="A54" s="176">
        <f>辅助!N16</f>
        <v>0</v>
      </c>
      <c r="B54" s="474" t="str">
        <f>IFERROR(辅助!P16&amp;CHAR(10)&amp;VLOOKUP(辅助!P16,数据库!C:G,5,0),"")</f>
        <v/>
      </c>
      <c r="C54" s="474"/>
      <c r="D54" s="474"/>
      <c r="E54" s="309" t="str">
        <f t="shared" si="3"/>
        <v/>
      </c>
      <c r="F54" s="475" t="str">
        <f>IFERROR(IF($E$15="USA",VLOOKUP(辅助!R16,数据库!D:E,2,0),辅助!R16),"")</f>
        <v/>
      </c>
      <c r="G54" s="475"/>
      <c r="H54" s="275">
        <f t="shared" ref="H54:H63" si="4">IF(A54=0,0,I54/A54)</f>
        <v>0</v>
      </c>
      <c r="I54" s="177">
        <f>辅助!O16</f>
        <v>0</v>
      </c>
    </row>
    <row r="55" spans="1:14" s="44" customFormat="1" ht="30" customHeight="1">
      <c r="A55" s="176">
        <f>辅助!N17</f>
        <v>0</v>
      </c>
      <c r="B55" s="474" t="str">
        <f>IFERROR(辅助!P17&amp;CHAR(10)&amp;VLOOKUP(辅助!P17,数据库!C:G,5,0),"")</f>
        <v/>
      </c>
      <c r="C55" s="474"/>
      <c r="D55" s="474"/>
      <c r="E55" s="309" t="str">
        <f t="shared" si="3"/>
        <v/>
      </c>
      <c r="F55" s="475" t="str">
        <f>IFERROR(IF($E$15="USA",VLOOKUP(辅助!R17,数据库!D:E,2,0),辅助!R17),"")</f>
        <v/>
      </c>
      <c r="G55" s="475"/>
      <c r="H55" s="275">
        <f t="shared" si="4"/>
        <v>0</v>
      </c>
      <c r="I55" s="177">
        <f>辅助!O17</f>
        <v>0</v>
      </c>
    </row>
    <row r="56" spans="1:14" s="44" customFormat="1" ht="30" customHeight="1">
      <c r="A56" s="176">
        <f>辅助!N18</f>
        <v>0</v>
      </c>
      <c r="B56" s="474" t="str">
        <f>IFERROR(辅助!P18&amp;CHAR(10)&amp;VLOOKUP(辅助!P18,数据库!C:G,5,0),"")</f>
        <v/>
      </c>
      <c r="C56" s="474"/>
      <c r="D56" s="474"/>
      <c r="E56" s="309" t="str">
        <f t="shared" si="3"/>
        <v/>
      </c>
      <c r="F56" s="475" t="str">
        <f>IFERROR(IF($E$15="USA",VLOOKUP(辅助!R18,数据库!D:E,2,0),辅助!R18),"")</f>
        <v/>
      </c>
      <c r="G56" s="475"/>
      <c r="H56" s="275">
        <f t="shared" si="4"/>
        <v>0</v>
      </c>
      <c r="I56" s="177">
        <f>辅助!O18</f>
        <v>0</v>
      </c>
    </row>
    <row r="57" spans="1:14" s="44" customFormat="1" ht="30" customHeight="1">
      <c r="A57" s="176">
        <f>辅助!N19</f>
        <v>0</v>
      </c>
      <c r="B57" s="474" t="str">
        <f>IFERROR(辅助!P19&amp;CHAR(10)&amp;VLOOKUP(辅助!P19,数据库!C:G,5,0),"")</f>
        <v/>
      </c>
      <c r="C57" s="474"/>
      <c r="D57" s="474"/>
      <c r="E57" s="309" t="str">
        <f t="shared" si="3"/>
        <v/>
      </c>
      <c r="F57" s="475" t="str">
        <f>IFERROR(IF($E$15="USA",VLOOKUP(辅助!R19,数据库!D:E,2,0),辅助!R19),"")</f>
        <v/>
      </c>
      <c r="G57" s="475"/>
      <c r="H57" s="275">
        <f t="shared" si="4"/>
        <v>0</v>
      </c>
      <c r="I57" s="177">
        <f>辅助!O19</f>
        <v>0</v>
      </c>
    </row>
    <row r="58" spans="1:14" s="44" customFormat="1" ht="30" customHeight="1">
      <c r="A58" s="176">
        <f>辅助!N20</f>
        <v>0</v>
      </c>
      <c r="B58" s="474" t="str">
        <f>IFERROR(辅助!P20&amp;CHAR(10)&amp;VLOOKUP(辅助!P20,数据库!C:G,5,0),"")</f>
        <v/>
      </c>
      <c r="C58" s="474"/>
      <c r="D58" s="474"/>
      <c r="E58" s="309" t="str">
        <f t="shared" si="3"/>
        <v/>
      </c>
      <c r="F58" s="475" t="str">
        <f>IFERROR(IF($E$15="USA",VLOOKUP(辅助!R20,数据库!D:E,2,0),辅助!R20),"")</f>
        <v/>
      </c>
      <c r="G58" s="475"/>
      <c r="H58" s="275">
        <f t="shared" si="4"/>
        <v>0</v>
      </c>
      <c r="I58" s="177">
        <f>辅助!O20</f>
        <v>0</v>
      </c>
    </row>
    <row r="59" spans="1:14" s="44" customFormat="1" ht="30" customHeight="1">
      <c r="A59" s="176">
        <f>辅助!N21</f>
        <v>0</v>
      </c>
      <c r="B59" s="474" t="str">
        <f>IFERROR(辅助!P21&amp;CHAR(10)&amp;VLOOKUP(辅助!P21,数据库!C:G,5,0),"")</f>
        <v/>
      </c>
      <c r="C59" s="474"/>
      <c r="D59" s="474"/>
      <c r="E59" s="309" t="str">
        <f t="shared" si="3"/>
        <v/>
      </c>
      <c r="F59" s="475" t="str">
        <f>IFERROR(IF($E$15="USA",VLOOKUP(辅助!R21,数据库!D:E,2,0),辅助!R21),"")</f>
        <v/>
      </c>
      <c r="G59" s="475"/>
      <c r="H59" s="275">
        <f t="shared" si="4"/>
        <v>0</v>
      </c>
      <c r="I59" s="177">
        <f>辅助!O21</f>
        <v>0</v>
      </c>
    </row>
    <row r="60" spans="1:14" s="44" customFormat="1" ht="30" customHeight="1">
      <c r="A60" s="176">
        <f>辅助!N22</f>
        <v>0</v>
      </c>
      <c r="B60" s="474" t="str">
        <f>IFERROR(辅助!P22&amp;CHAR(10)&amp;VLOOKUP(辅助!P22,数据库!C:G,5,0),"")</f>
        <v/>
      </c>
      <c r="C60" s="474"/>
      <c r="D60" s="474"/>
      <c r="E60" s="309" t="str">
        <f t="shared" si="3"/>
        <v/>
      </c>
      <c r="F60" s="475" t="str">
        <f>IFERROR(IF($E$15="USA",VLOOKUP(辅助!R22,数据库!D:E,2,0),辅助!R22),"")</f>
        <v/>
      </c>
      <c r="G60" s="475"/>
      <c r="H60" s="275">
        <f t="shared" si="4"/>
        <v>0</v>
      </c>
      <c r="I60" s="177">
        <f>辅助!O22</f>
        <v>0</v>
      </c>
    </row>
    <row r="61" spans="1:14" s="44" customFormat="1" ht="30" customHeight="1">
      <c r="A61" s="176">
        <f>辅助!N23</f>
        <v>0</v>
      </c>
      <c r="B61" s="474" t="str">
        <f>IFERROR(辅助!P23&amp;CHAR(10)&amp;VLOOKUP(辅助!P23,数据库!C:G,5,0),"")</f>
        <v/>
      </c>
      <c r="C61" s="474"/>
      <c r="D61" s="474"/>
      <c r="E61" s="309" t="str">
        <f t="shared" si="3"/>
        <v/>
      </c>
      <c r="F61" s="475" t="str">
        <f>IFERROR(IF($E$15="USA",VLOOKUP(辅助!R23,数据库!D:E,2,0),辅助!R23),"")</f>
        <v/>
      </c>
      <c r="G61" s="475"/>
      <c r="H61" s="275">
        <f t="shared" si="4"/>
        <v>0</v>
      </c>
      <c r="I61" s="177">
        <f>辅助!O23</f>
        <v>0</v>
      </c>
    </row>
    <row r="62" spans="1:14" s="44" customFormat="1" ht="30" customHeight="1">
      <c r="A62" s="176">
        <f>辅助!N24</f>
        <v>0</v>
      </c>
      <c r="B62" s="474" t="str">
        <f>IFERROR(辅助!P24&amp;CHAR(10)&amp;VLOOKUP(辅助!P24,数据库!C:G,5,0),"")</f>
        <v/>
      </c>
      <c r="C62" s="474"/>
      <c r="D62" s="474"/>
      <c r="E62" s="309" t="str">
        <f t="shared" si="3"/>
        <v/>
      </c>
      <c r="F62" s="475" t="str">
        <f>IFERROR(IF($E$15="USA",VLOOKUP(辅助!R24,数据库!D:E,2,0),辅助!R24),"")</f>
        <v/>
      </c>
      <c r="G62" s="475"/>
      <c r="H62" s="275">
        <f t="shared" si="4"/>
        <v>0</v>
      </c>
      <c r="I62" s="177">
        <f>辅助!O24</f>
        <v>0</v>
      </c>
    </row>
    <row r="63" spans="1:14" s="44" customFormat="1" ht="30" customHeight="1">
      <c r="A63" s="176">
        <f>辅助!N25</f>
        <v>0</v>
      </c>
      <c r="B63" s="474" t="str">
        <f>IFERROR(辅助!P25&amp;CHAR(10)&amp;VLOOKUP(辅助!P25,数据库!C:G,5,0),"")</f>
        <v/>
      </c>
      <c r="C63" s="474"/>
      <c r="D63" s="474"/>
      <c r="E63" s="309" t="str">
        <f t="shared" si="3"/>
        <v/>
      </c>
      <c r="F63" s="475" t="str">
        <f>IFERROR(IF($E$15="USA",VLOOKUP(辅助!R25,数据库!D:E,2,0),辅助!R25),"")</f>
        <v/>
      </c>
      <c r="G63" s="475"/>
      <c r="H63" s="275">
        <f t="shared" si="4"/>
        <v>0</v>
      </c>
      <c r="I63" s="177">
        <f>辅助!O25</f>
        <v>0</v>
      </c>
    </row>
    <row r="64" spans="1:14" s="44" customFormat="1" ht="37.5" customHeight="1" thickBot="1">
      <c r="A64" s="176"/>
      <c r="B64" s="510" t="str">
        <f>IF(COUNTIF(辅助!N:N,"&gt;0")&lt;=24,"Total Net Weight（g）:   "&amp;SUM(辅助!N2:N999)," ")&amp;CHAR(10)&amp;IF(COUNTIF(辅助!N:N,"&gt;0")&lt;=24,"Gross Weight(kg):   "&amp;发货清单!Y2," ")</f>
        <v>Total Net Weight（g）:   3266
Gross Weight(kg):   10</v>
      </c>
      <c r="C64" s="511"/>
      <c r="D64" s="512"/>
      <c r="E64" s="66"/>
      <c r="F64" s="475"/>
      <c r="G64" s="475"/>
      <c r="H64" s="278" t="str">
        <f>IF(COUNTIF(辅助!O:O,"&gt;0")&lt;=24,"TOTAL:"," ")</f>
        <v>TOTAL:</v>
      </c>
      <c r="I64" s="274">
        <f>IF(COUNTIF(辅助!O:O,"&gt;0")&lt;=24,SUM(辅助!O:O)," ")</f>
        <v>3532.9</v>
      </c>
    </row>
    <row r="65" spans="1:10" ht="15.75">
      <c r="A65" s="169" t="s">
        <v>31</v>
      </c>
      <c r="B65" s="170"/>
      <c r="C65" s="170"/>
      <c r="D65" s="171"/>
      <c r="E65" s="41"/>
      <c r="F65" s="484"/>
      <c r="G65" s="484"/>
      <c r="H65" s="484"/>
      <c r="I65" s="485"/>
    </row>
    <row r="66" spans="1:10" ht="15" customHeight="1">
      <c r="A66" s="486" t="str">
        <f>A31</f>
        <v>I certify that all chemicals in this shipment are not subject to TSCA.</v>
      </c>
      <c r="B66" s="487"/>
      <c r="C66" s="488"/>
      <c r="D66" s="39"/>
      <c r="E66" s="492" t="s">
        <v>73</v>
      </c>
      <c r="F66" s="493"/>
      <c r="G66" s="493"/>
      <c r="H66" s="493"/>
      <c r="I66" s="494"/>
    </row>
    <row r="67" spans="1:10" ht="12.75" customHeight="1" thickBot="1">
      <c r="A67" s="489"/>
      <c r="B67" s="490"/>
      <c r="C67" s="491"/>
      <c r="D67" s="39"/>
      <c r="E67" s="495"/>
      <c r="F67" s="496"/>
      <c r="G67" s="496"/>
      <c r="H67" s="496"/>
      <c r="I67" s="497"/>
    </row>
    <row r="68" spans="1:10" ht="16.5" customHeight="1" thickBot="1">
      <c r="A68" s="498" t="s">
        <v>525</v>
      </c>
      <c r="B68" s="499"/>
      <c r="C68" s="500"/>
      <c r="D68" s="39"/>
      <c r="E68" s="42" t="s">
        <v>71</v>
      </c>
      <c r="F68" s="402"/>
      <c r="G68" s="507" t="str">
        <f>G33</f>
        <v>2786337676</v>
      </c>
      <c r="H68" s="508"/>
      <c r="I68" s="509"/>
    </row>
    <row r="69" spans="1:10" ht="32.25" customHeight="1" thickBot="1">
      <c r="A69" s="501"/>
      <c r="B69" s="502"/>
      <c r="C69" s="503"/>
      <c r="D69" s="39"/>
      <c r="E69" s="42" t="s">
        <v>34</v>
      </c>
      <c r="F69" s="402"/>
      <c r="G69" s="43"/>
      <c r="H69" s="43"/>
      <c r="I69" s="172"/>
    </row>
    <row r="70" spans="1:10" ht="15" thickBot="1">
      <c r="A70" s="504"/>
      <c r="B70" s="505"/>
      <c r="C70" s="506"/>
      <c r="D70" s="43"/>
      <c r="E70" s="43"/>
      <c r="F70" s="403"/>
      <c r="G70" s="43"/>
      <c r="H70" s="43"/>
      <c r="I70" s="172"/>
    </row>
    <row r="71" spans="1:10" ht="17.25" customHeight="1">
      <c r="A71" s="17"/>
      <c r="B71" s="17"/>
      <c r="C71" s="17"/>
      <c r="D71" s="17"/>
      <c r="E71" s="310" t="str">
        <f>"page 2/"&amp;IF(COUNTIF(辅助!K:K,"&gt;0")&lt;25,2,3)</f>
        <v>page 2/2</v>
      </c>
      <c r="F71" s="397"/>
      <c r="G71" s="17"/>
      <c r="H71" s="17"/>
      <c r="I71" s="17"/>
    </row>
    <row r="72" spans="1:10" ht="22.5">
      <c r="A72" s="470" t="s">
        <v>44</v>
      </c>
      <c r="B72" s="470"/>
      <c r="C72" s="470"/>
      <c r="D72" s="470"/>
      <c r="E72" s="470"/>
      <c r="F72" s="470"/>
      <c r="G72" s="470"/>
      <c r="H72" s="470"/>
      <c r="I72" s="470"/>
    </row>
    <row r="73" spans="1:10" ht="3.75" customHeight="1">
      <c r="A73" s="17"/>
      <c r="B73" s="17"/>
      <c r="C73" s="17"/>
      <c r="D73" s="17"/>
      <c r="E73" s="17"/>
      <c r="F73" s="397"/>
      <c r="G73" s="17"/>
      <c r="H73" s="34"/>
      <c r="I73" s="48"/>
    </row>
    <row r="74" spans="1:10" ht="3.75" customHeight="1">
      <c r="A74" s="17"/>
      <c r="B74" s="17"/>
      <c r="C74" s="17"/>
      <c r="D74" s="17"/>
      <c r="E74" s="17"/>
      <c r="F74" s="397"/>
      <c r="G74" s="17"/>
      <c r="H74" s="17"/>
      <c r="I74" s="17"/>
    </row>
    <row r="75" spans="1:10" ht="15.75">
      <c r="A75" s="35" t="s">
        <v>43</v>
      </c>
      <c r="B75" s="36"/>
      <c r="C75" s="36"/>
      <c r="D75" s="37"/>
      <c r="E75" s="61"/>
      <c r="F75" s="398" t="s">
        <v>42</v>
      </c>
      <c r="G75" s="71"/>
      <c r="H75" s="36"/>
      <c r="I75" s="37"/>
    </row>
    <row r="76" spans="1:10" ht="15.75">
      <c r="A76" s="103" t="s">
        <v>75</v>
      </c>
      <c r="B76" s="58"/>
      <c r="C76" s="58"/>
      <c r="D76" s="59"/>
      <c r="E76" s="58"/>
      <c r="F76" s="399" t="str">
        <f>F41</f>
        <v xml:space="preserve"> Fluorochem Limited</v>
      </c>
      <c r="G76" s="192"/>
      <c r="H76" s="15"/>
      <c r="I76" s="38"/>
    </row>
    <row r="77" spans="1:10" ht="15" customHeight="1">
      <c r="A77" s="104" t="s">
        <v>527</v>
      </c>
      <c r="B77" s="60"/>
      <c r="C77" s="60"/>
      <c r="D77" s="59"/>
      <c r="E77" s="61"/>
      <c r="F77" s="404" t="str">
        <f>F42</f>
        <v>Unit 14 Graphite Way</v>
      </c>
      <c r="G77" s="7"/>
      <c r="H77" s="39"/>
      <c r="I77" s="38"/>
      <c r="J77" s="16"/>
    </row>
    <row r="78" spans="1:10" ht="15" customHeight="1">
      <c r="A78" s="104" t="s">
        <v>529</v>
      </c>
      <c r="B78" s="60"/>
      <c r="C78" s="60"/>
      <c r="D78" s="59"/>
      <c r="E78" s="61"/>
      <c r="F78" s="404" t="str">
        <f>F43</f>
        <v>Hadfield  Derbyshire</v>
      </c>
      <c r="G78" s="7"/>
      <c r="H78" s="39"/>
      <c r="I78" s="38"/>
      <c r="J78" s="16"/>
    </row>
    <row r="79" spans="1:10" ht="15" customHeight="1">
      <c r="A79" s="105" t="s">
        <v>232</v>
      </c>
      <c r="B79" s="60"/>
      <c r="C79" s="60"/>
      <c r="D79" s="59"/>
      <c r="E79" s="61"/>
      <c r="F79" s="404" t="str">
        <f>F44</f>
        <v>SK13 1QH UK</v>
      </c>
      <c r="G79" s="193"/>
      <c r="H79" s="39"/>
      <c r="I79" s="38"/>
      <c r="J79" s="14"/>
    </row>
    <row r="80" spans="1:10" ht="15">
      <c r="A80" s="106" t="s">
        <v>233</v>
      </c>
      <c r="B80" s="62"/>
      <c r="C80" s="62"/>
      <c r="D80" s="63"/>
      <c r="E80" s="61"/>
      <c r="F80" s="405" t="str">
        <f>F45</f>
        <v>TEL:4401457860111</v>
      </c>
      <c r="G80" s="6"/>
      <c r="H80" s="18"/>
      <c r="I80" s="40"/>
      <c r="J80" s="14"/>
    </row>
    <row r="81" spans="1:14" ht="3.75" customHeight="1">
      <c r="A81" s="17"/>
      <c r="B81" s="17"/>
      <c r="C81" s="17"/>
      <c r="D81" s="17"/>
      <c r="E81" s="17"/>
      <c r="F81" s="397"/>
      <c r="G81" s="17"/>
      <c r="H81" s="17"/>
      <c r="I81" s="17"/>
      <c r="J81" s="14"/>
    </row>
    <row r="82" spans="1:14" s="68" customFormat="1">
      <c r="A82" s="471" t="s">
        <v>17</v>
      </c>
      <c r="B82" s="472"/>
      <c r="C82" s="67" t="s">
        <v>632</v>
      </c>
      <c r="D82" s="263" t="s">
        <v>369</v>
      </c>
      <c r="E82" s="67" t="s">
        <v>21</v>
      </c>
      <c r="F82" s="400" t="s">
        <v>19</v>
      </c>
      <c r="G82" s="276" t="s">
        <v>20</v>
      </c>
      <c r="H82" s="471" t="s">
        <v>30</v>
      </c>
      <c r="I82" s="472"/>
    </row>
    <row r="83" spans="1:14" s="68" customFormat="1" ht="12.75">
      <c r="A83" s="471"/>
      <c r="B83" s="472"/>
      <c r="C83" s="67" t="str">
        <f>C48</f>
        <v>P100426</v>
      </c>
      <c r="D83" s="67"/>
      <c r="E83" s="67"/>
      <c r="F83" s="401" t="s">
        <v>38</v>
      </c>
      <c r="G83" s="67"/>
      <c r="H83" s="471" t="s">
        <v>386</v>
      </c>
      <c r="I83" s="472"/>
      <c r="J83" s="30"/>
    </row>
    <row r="84" spans="1:14" s="68" customFormat="1" ht="12.75">
      <c r="A84" s="471" t="s">
        <v>22</v>
      </c>
      <c r="B84" s="473"/>
      <c r="C84" s="472"/>
      <c r="D84" s="263" t="s">
        <v>70</v>
      </c>
      <c r="E84" s="471" t="s">
        <v>23</v>
      </c>
      <c r="F84" s="472"/>
      <c r="G84" s="277" t="s">
        <v>29</v>
      </c>
      <c r="H84" s="471" t="s">
        <v>18</v>
      </c>
      <c r="I84" s="472"/>
      <c r="J84" s="30"/>
    </row>
    <row r="85" spans="1:14" s="28" customFormat="1" ht="15.75">
      <c r="A85" s="476" t="s">
        <v>39</v>
      </c>
      <c r="B85" s="477"/>
      <c r="C85" s="478"/>
      <c r="D85" s="27"/>
      <c r="E85" s="476" t="str">
        <f>E50</f>
        <v>UK</v>
      </c>
      <c r="F85" s="478"/>
      <c r="G85" s="79">
        <f ca="1">TODAY()</f>
        <v>43839</v>
      </c>
      <c r="H85" s="479" t="str">
        <f>发货清单!$AA$2</f>
        <v>20200109-607</v>
      </c>
      <c r="I85" s="480"/>
      <c r="J85" s="30"/>
    </row>
    <row r="86" spans="1:14" s="26" customFormat="1" ht="23.25" customHeight="1">
      <c r="A86" s="66" t="s">
        <v>24</v>
      </c>
      <c r="B86" s="481" t="s">
        <v>25</v>
      </c>
      <c r="C86" s="482"/>
      <c r="D86" s="483"/>
      <c r="E86" s="55" t="s">
        <v>28</v>
      </c>
      <c r="F86" s="482" t="str">
        <f>F16</f>
        <v>HS code</v>
      </c>
      <c r="G86" s="483"/>
      <c r="H86" s="444" t="s">
        <v>26</v>
      </c>
      <c r="I86" s="444" t="s">
        <v>27</v>
      </c>
      <c r="N86" s="47"/>
    </row>
    <row r="87" spans="1:14" s="44" customFormat="1" ht="30" customHeight="1">
      <c r="A87" s="176">
        <f>辅助!N26</f>
        <v>0</v>
      </c>
      <c r="B87" s="474" t="str">
        <f>IFERROR(辅助!P26&amp;CHAR(10)&amp;VLOOKUP(辅助!P26,数据库!C:G,5,0),"")</f>
        <v/>
      </c>
      <c r="C87" s="474"/>
      <c r="D87" s="474"/>
      <c r="E87" s="309" t="str">
        <f t="shared" ref="E87:E98" si="5">IF(A87=0,"","Glass/Plastic bottle")</f>
        <v/>
      </c>
      <c r="F87" s="475" t="str">
        <f>IFERROR(IF($E$15="USA",VLOOKUP(辅助!R26,数据库!D:E,2,0),辅助!R26),"")</f>
        <v/>
      </c>
      <c r="G87" s="475"/>
      <c r="H87" s="275">
        <f>IF(A87=0,0,I87/A87)</f>
        <v>0</v>
      </c>
      <c r="I87" s="177">
        <f>辅助!O26</f>
        <v>0</v>
      </c>
    </row>
    <row r="88" spans="1:14" s="44" customFormat="1" ht="30" customHeight="1">
      <c r="A88" s="176">
        <f>辅助!N27</f>
        <v>0</v>
      </c>
      <c r="B88" s="474" t="str">
        <f>IFERROR(辅助!P27&amp;CHAR(10)&amp;VLOOKUP(辅助!P27,数据库!C:G,5,0),"")</f>
        <v/>
      </c>
      <c r="C88" s="474"/>
      <c r="D88" s="474"/>
      <c r="E88" s="309" t="str">
        <f t="shared" si="5"/>
        <v/>
      </c>
      <c r="F88" s="475" t="str">
        <f>IFERROR(IF($E$15="USA",VLOOKUP(辅助!R27,数据库!D:E,2,0),辅助!R27),"")</f>
        <v/>
      </c>
      <c r="G88" s="475"/>
      <c r="H88" s="275">
        <f>IF(A88=0,0,I88/A88)</f>
        <v>0</v>
      </c>
      <c r="I88" s="177">
        <f>辅助!O27</f>
        <v>0</v>
      </c>
    </row>
    <row r="89" spans="1:14" s="44" customFormat="1" ht="30" customHeight="1">
      <c r="A89" s="176">
        <f>辅助!N28</f>
        <v>0</v>
      </c>
      <c r="B89" s="474" t="str">
        <f>IFERROR(辅助!P28&amp;CHAR(10)&amp;VLOOKUP(辅助!P28,数据库!C:G,5,0),"")</f>
        <v/>
      </c>
      <c r="C89" s="474"/>
      <c r="D89" s="474"/>
      <c r="E89" s="309" t="str">
        <f t="shared" si="5"/>
        <v/>
      </c>
      <c r="F89" s="475" t="str">
        <f>IFERROR(IF($E$15="USA",VLOOKUP(辅助!R28,数据库!D:E,2,0),辅助!R28),"")</f>
        <v/>
      </c>
      <c r="G89" s="475"/>
      <c r="H89" s="275">
        <f t="shared" ref="H89:H98" si="6">IF(A89=0,0,I89/A89)</f>
        <v>0</v>
      </c>
      <c r="I89" s="177">
        <f>辅助!O28</f>
        <v>0</v>
      </c>
    </row>
    <row r="90" spans="1:14" s="44" customFormat="1" ht="30" customHeight="1">
      <c r="A90" s="176">
        <f>辅助!N29</f>
        <v>0</v>
      </c>
      <c r="B90" s="474" t="str">
        <f>IFERROR(辅助!P29&amp;CHAR(10)&amp;VLOOKUP(辅助!P29,数据库!C:G,5,0),"")</f>
        <v/>
      </c>
      <c r="C90" s="474"/>
      <c r="D90" s="474"/>
      <c r="E90" s="309" t="str">
        <f t="shared" si="5"/>
        <v/>
      </c>
      <c r="F90" s="475" t="str">
        <f>IFERROR(IF($E$15="USA",VLOOKUP(辅助!R29,数据库!D:E,2,0),辅助!R29),"")</f>
        <v/>
      </c>
      <c r="G90" s="475"/>
      <c r="H90" s="275">
        <f t="shared" si="6"/>
        <v>0</v>
      </c>
      <c r="I90" s="177">
        <f>辅助!O29</f>
        <v>0</v>
      </c>
    </row>
    <row r="91" spans="1:14" s="44" customFormat="1" ht="30" customHeight="1">
      <c r="A91" s="176">
        <f>辅助!N30</f>
        <v>0</v>
      </c>
      <c r="B91" s="474" t="str">
        <f>IFERROR(辅助!P30&amp;CHAR(10)&amp;VLOOKUP(辅助!P30,数据库!C:G,5,0),"")</f>
        <v/>
      </c>
      <c r="C91" s="474"/>
      <c r="D91" s="474"/>
      <c r="E91" s="309" t="str">
        <f t="shared" si="5"/>
        <v/>
      </c>
      <c r="F91" s="475" t="str">
        <f>IFERROR(IF($E$15="USA",VLOOKUP(辅助!R30,数据库!D:E,2,0),辅助!R30),"")</f>
        <v/>
      </c>
      <c r="G91" s="475"/>
      <c r="H91" s="275">
        <f t="shared" si="6"/>
        <v>0</v>
      </c>
      <c r="I91" s="177">
        <f>辅助!O30</f>
        <v>0</v>
      </c>
    </row>
    <row r="92" spans="1:14" s="44" customFormat="1" ht="30" customHeight="1">
      <c r="A92" s="176">
        <f>辅助!N31</f>
        <v>0</v>
      </c>
      <c r="B92" s="474" t="str">
        <f>IFERROR(辅助!P31&amp;CHAR(10)&amp;VLOOKUP(辅助!P31,数据库!C:G,5,0),"")</f>
        <v/>
      </c>
      <c r="C92" s="474"/>
      <c r="D92" s="474"/>
      <c r="E92" s="309" t="str">
        <f t="shared" si="5"/>
        <v/>
      </c>
      <c r="F92" s="475" t="str">
        <f>IFERROR(IF($E$15="USA",VLOOKUP(辅助!R31,数据库!D:E,2,0),辅助!R31),"")</f>
        <v/>
      </c>
      <c r="G92" s="475"/>
      <c r="H92" s="275">
        <f t="shared" si="6"/>
        <v>0</v>
      </c>
      <c r="I92" s="177">
        <f>辅助!O31</f>
        <v>0</v>
      </c>
    </row>
    <row r="93" spans="1:14" s="44" customFormat="1" ht="30" customHeight="1">
      <c r="A93" s="176">
        <f>辅助!N32</f>
        <v>0</v>
      </c>
      <c r="B93" s="474" t="str">
        <f>IFERROR(辅助!P32&amp;CHAR(10)&amp;VLOOKUP(辅助!P32,数据库!C:G,5,0),"")</f>
        <v/>
      </c>
      <c r="C93" s="474"/>
      <c r="D93" s="474"/>
      <c r="E93" s="309" t="str">
        <f t="shared" si="5"/>
        <v/>
      </c>
      <c r="F93" s="475" t="str">
        <f>IFERROR(IF($E$15="USA",VLOOKUP(辅助!R32,数据库!D:E,2,0),辅助!R32),"")</f>
        <v/>
      </c>
      <c r="G93" s="475"/>
      <c r="H93" s="275">
        <f t="shared" si="6"/>
        <v>0</v>
      </c>
      <c r="I93" s="177">
        <f>辅助!O32</f>
        <v>0</v>
      </c>
    </row>
    <row r="94" spans="1:14" s="44" customFormat="1" ht="30" customHeight="1">
      <c r="A94" s="176">
        <f>辅助!N33</f>
        <v>0</v>
      </c>
      <c r="B94" s="474" t="str">
        <f>IFERROR(辅助!P33&amp;CHAR(10)&amp;VLOOKUP(辅助!P33,数据库!C:G,5,0),"")</f>
        <v/>
      </c>
      <c r="C94" s="474"/>
      <c r="D94" s="474"/>
      <c r="E94" s="309" t="str">
        <f t="shared" si="5"/>
        <v/>
      </c>
      <c r="F94" s="475" t="str">
        <f>IFERROR(IF($E$15="USA",VLOOKUP(辅助!R33,数据库!D:E,2,0),辅助!R33),"")</f>
        <v/>
      </c>
      <c r="G94" s="475"/>
      <c r="H94" s="275">
        <f t="shared" si="6"/>
        <v>0</v>
      </c>
      <c r="I94" s="177">
        <f>辅助!O33</f>
        <v>0</v>
      </c>
    </row>
    <row r="95" spans="1:14" s="44" customFormat="1" ht="30" customHeight="1">
      <c r="A95" s="176">
        <f>辅助!N34</f>
        <v>0</v>
      </c>
      <c r="B95" s="474" t="str">
        <f>IFERROR(辅助!P34&amp;CHAR(10)&amp;VLOOKUP(辅助!P34,数据库!C:G,5,0),"")</f>
        <v/>
      </c>
      <c r="C95" s="474"/>
      <c r="D95" s="474"/>
      <c r="E95" s="309" t="str">
        <f t="shared" si="5"/>
        <v/>
      </c>
      <c r="F95" s="475" t="str">
        <f>IFERROR(IF($E$15="USA",VLOOKUP(辅助!R34,数据库!D:E,2,0),辅助!R34),"")</f>
        <v/>
      </c>
      <c r="G95" s="475"/>
      <c r="H95" s="275">
        <f t="shared" si="6"/>
        <v>0</v>
      </c>
      <c r="I95" s="177">
        <f>辅助!O34</f>
        <v>0</v>
      </c>
    </row>
    <row r="96" spans="1:14" s="44" customFormat="1" ht="30" customHeight="1">
      <c r="A96" s="176">
        <f>辅助!N35</f>
        <v>0</v>
      </c>
      <c r="B96" s="474" t="str">
        <f>IFERROR(辅助!P35&amp;CHAR(10)&amp;VLOOKUP(辅助!P35,数据库!C:G,5,0),"")</f>
        <v/>
      </c>
      <c r="C96" s="474"/>
      <c r="D96" s="474"/>
      <c r="E96" s="309" t="str">
        <f t="shared" si="5"/>
        <v/>
      </c>
      <c r="F96" s="475" t="str">
        <f>IFERROR(IF($E$15="USA",VLOOKUP(辅助!R35,数据库!D:E,2,0),辅助!R35),"")</f>
        <v/>
      </c>
      <c r="G96" s="475"/>
      <c r="H96" s="275">
        <f t="shared" si="6"/>
        <v>0</v>
      </c>
      <c r="I96" s="177">
        <f>辅助!O35</f>
        <v>0</v>
      </c>
    </row>
    <row r="97" spans="1:9" s="44" customFormat="1" ht="30" customHeight="1">
      <c r="A97" s="176">
        <f>辅助!N36</f>
        <v>0</v>
      </c>
      <c r="B97" s="474" t="str">
        <f>IFERROR(辅助!P36&amp;CHAR(10)&amp;VLOOKUP(辅助!P36,数据库!C:G,5,0),"")</f>
        <v/>
      </c>
      <c r="C97" s="474"/>
      <c r="D97" s="474"/>
      <c r="E97" s="309" t="str">
        <f t="shared" si="5"/>
        <v/>
      </c>
      <c r="F97" s="475" t="str">
        <f>IFERROR(IF($E$15="USA",VLOOKUP(辅助!R36,数据库!D:E,2,0),辅助!R36),"")</f>
        <v/>
      </c>
      <c r="G97" s="475"/>
      <c r="H97" s="275">
        <f t="shared" si="6"/>
        <v>0</v>
      </c>
      <c r="I97" s="177">
        <f>辅助!O36</f>
        <v>0</v>
      </c>
    </row>
    <row r="98" spans="1:9" s="44" customFormat="1" ht="30" customHeight="1">
      <c r="A98" s="176">
        <f>辅助!N37</f>
        <v>0</v>
      </c>
      <c r="B98" s="474" t="str">
        <f>IFERROR(辅助!P37&amp;CHAR(10)&amp;VLOOKUP(辅助!P37,数据库!C:G,5,0),"")</f>
        <v/>
      </c>
      <c r="C98" s="474"/>
      <c r="D98" s="474"/>
      <c r="E98" s="309" t="str">
        <f t="shared" si="5"/>
        <v/>
      </c>
      <c r="F98" s="475" t="str">
        <f>IFERROR(IF($E$15="USA",VLOOKUP(辅助!R37,数据库!D:E,2,0),辅助!R37),"")</f>
        <v/>
      </c>
      <c r="G98" s="475"/>
      <c r="H98" s="275">
        <f t="shared" si="6"/>
        <v>0</v>
      </c>
      <c r="I98" s="177">
        <f>辅助!O37</f>
        <v>0</v>
      </c>
    </row>
    <row r="99" spans="1:9" s="44" customFormat="1" ht="37.5" customHeight="1" thickBot="1">
      <c r="A99" s="176"/>
      <c r="B99" s="510" t="str">
        <f>IF(COUNTIF(辅助!N:N,"&gt;0")&lt;=36,"Total Net Weight（g）:   "&amp;SUM(辅助!N:N)," ")&amp;CHAR(10)&amp;IF(COUNTIF(辅助!N:N,"&gt;0")&lt;=36,"Gross Weight(kg):   "&amp;发货清单!Y2," ")</f>
        <v>Total Net Weight（g）:   3266
Gross Weight(kg):   10</v>
      </c>
      <c r="C99" s="511"/>
      <c r="D99" s="512"/>
      <c r="E99" s="66"/>
      <c r="F99" s="475"/>
      <c r="G99" s="475"/>
      <c r="H99" s="278" t="str">
        <f>IF(COUNTIF(辅助!O:O,"&gt;0")&lt;=36,"TOTAL:"," ")</f>
        <v>TOTAL:</v>
      </c>
      <c r="I99" s="274">
        <f>IF(COUNTIF(辅助!O:O,"&gt;0")&lt;=36,SUM(辅助!O:O)," ")</f>
        <v>3532.9</v>
      </c>
    </row>
    <row r="100" spans="1:9" ht="15.75">
      <c r="A100" s="169" t="s">
        <v>31</v>
      </c>
      <c r="B100" s="170"/>
      <c r="C100" s="170"/>
      <c r="D100" s="171"/>
      <c r="E100" s="41"/>
      <c r="F100" s="484"/>
      <c r="G100" s="484"/>
      <c r="H100" s="484"/>
      <c r="I100" s="485"/>
    </row>
    <row r="101" spans="1:9" ht="15" customHeight="1">
      <c r="A101" s="486" t="str">
        <f>A66</f>
        <v>I certify that all chemicals in this shipment are not subject to TSCA.</v>
      </c>
      <c r="B101" s="487"/>
      <c r="C101" s="488"/>
      <c r="D101" s="39"/>
      <c r="E101" s="492" t="s">
        <v>73</v>
      </c>
      <c r="F101" s="493"/>
      <c r="G101" s="493"/>
      <c r="H101" s="493"/>
      <c r="I101" s="494"/>
    </row>
    <row r="102" spans="1:9" ht="10.5" customHeight="1" thickBot="1">
      <c r="A102" s="489"/>
      <c r="B102" s="490"/>
      <c r="C102" s="491"/>
      <c r="D102" s="39"/>
      <c r="E102" s="495"/>
      <c r="F102" s="496"/>
      <c r="G102" s="496"/>
      <c r="H102" s="496"/>
      <c r="I102" s="497"/>
    </row>
    <row r="103" spans="1:9" ht="16.5" customHeight="1" thickBot="1">
      <c r="A103" s="498" t="s">
        <v>525</v>
      </c>
      <c r="B103" s="499"/>
      <c r="C103" s="500"/>
      <c r="D103" s="39"/>
      <c r="E103" s="42" t="s">
        <v>71</v>
      </c>
      <c r="F103" s="402"/>
      <c r="G103" s="507" t="str">
        <f>G33</f>
        <v>2786337676</v>
      </c>
      <c r="H103" s="508"/>
      <c r="I103" s="509"/>
    </row>
    <row r="104" spans="1:9" ht="32.25" customHeight="1" thickBot="1">
      <c r="A104" s="501"/>
      <c r="B104" s="502"/>
      <c r="C104" s="503"/>
      <c r="D104" s="39"/>
      <c r="E104" s="42" t="s">
        <v>34</v>
      </c>
      <c r="F104" s="402"/>
      <c r="G104" s="43"/>
      <c r="H104" s="43"/>
      <c r="I104" s="172"/>
    </row>
    <row r="105" spans="1:9" ht="15" thickBot="1">
      <c r="A105" s="504"/>
      <c r="B105" s="505"/>
      <c r="C105" s="506"/>
      <c r="D105" s="43"/>
      <c r="E105" s="43"/>
      <c r="F105" s="403"/>
      <c r="G105" s="43"/>
      <c r="H105" s="43"/>
      <c r="I105" s="172"/>
    </row>
    <row r="106" spans="1:9">
      <c r="E106" s="19" t="s">
        <v>568</v>
      </c>
    </row>
  </sheetData>
  <mergeCells count="135">
    <mergeCell ref="A2:I2"/>
    <mergeCell ref="A12:B12"/>
    <mergeCell ref="H12:I12"/>
    <mergeCell ref="A13:B13"/>
    <mergeCell ref="H13:I13"/>
    <mergeCell ref="A14:C14"/>
    <mergeCell ref="E14:F14"/>
    <mergeCell ref="H14:I14"/>
    <mergeCell ref="B18:D18"/>
    <mergeCell ref="F18:G18"/>
    <mergeCell ref="B19:D19"/>
    <mergeCell ref="F19:G19"/>
    <mergeCell ref="B20:D20"/>
    <mergeCell ref="F20:G20"/>
    <mergeCell ref="A15:C15"/>
    <mergeCell ref="E15:F15"/>
    <mergeCell ref="H15:I15"/>
    <mergeCell ref="B16:D16"/>
    <mergeCell ref="F16:G16"/>
    <mergeCell ref="B17:D17"/>
    <mergeCell ref="F17:G17"/>
    <mergeCell ref="B24:D24"/>
    <mergeCell ref="F24:G24"/>
    <mergeCell ref="B25:D25"/>
    <mergeCell ref="F25:G25"/>
    <mergeCell ref="B26:D26"/>
    <mergeCell ref="F26:G26"/>
    <mergeCell ref="B21:D21"/>
    <mergeCell ref="F21:G21"/>
    <mergeCell ref="B22:D22"/>
    <mergeCell ref="F22:G22"/>
    <mergeCell ref="B23:D23"/>
    <mergeCell ref="F23:G23"/>
    <mergeCell ref="F30:I30"/>
    <mergeCell ref="A31:C32"/>
    <mergeCell ref="E31:I31"/>
    <mergeCell ref="E32:I32"/>
    <mergeCell ref="A33:C35"/>
    <mergeCell ref="G33:I33"/>
    <mergeCell ref="B27:D27"/>
    <mergeCell ref="F27:G27"/>
    <mergeCell ref="B28:D28"/>
    <mergeCell ref="F28:G28"/>
    <mergeCell ref="B29:D29"/>
    <mergeCell ref="F29:G29"/>
    <mergeCell ref="A50:C50"/>
    <mergeCell ref="E50:F50"/>
    <mergeCell ref="H50:I50"/>
    <mergeCell ref="B51:D51"/>
    <mergeCell ref="F51:G51"/>
    <mergeCell ref="B52:D52"/>
    <mergeCell ref="F52:G52"/>
    <mergeCell ref="A37:I37"/>
    <mergeCell ref="A47:B47"/>
    <mergeCell ref="H47:I47"/>
    <mergeCell ref="A48:B48"/>
    <mergeCell ref="H48:I48"/>
    <mergeCell ref="A49:C49"/>
    <mergeCell ref="E49:F49"/>
    <mergeCell ref="H49:I49"/>
    <mergeCell ref="B56:D56"/>
    <mergeCell ref="F56:G56"/>
    <mergeCell ref="B57:D57"/>
    <mergeCell ref="F57:G57"/>
    <mergeCell ref="B58:D58"/>
    <mergeCell ref="F58:G58"/>
    <mergeCell ref="B53:D53"/>
    <mergeCell ref="F53:G53"/>
    <mergeCell ref="B54:D54"/>
    <mergeCell ref="F54:G54"/>
    <mergeCell ref="B55:D55"/>
    <mergeCell ref="F55:G55"/>
    <mergeCell ref="B62:D62"/>
    <mergeCell ref="F62:G62"/>
    <mergeCell ref="B63:D63"/>
    <mergeCell ref="F63:G63"/>
    <mergeCell ref="B64:D64"/>
    <mergeCell ref="F64:G64"/>
    <mergeCell ref="B59:D59"/>
    <mergeCell ref="F59:G59"/>
    <mergeCell ref="B60:D60"/>
    <mergeCell ref="F60:G60"/>
    <mergeCell ref="B61:D61"/>
    <mergeCell ref="F61:G61"/>
    <mergeCell ref="A72:I72"/>
    <mergeCell ref="A82:B82"/>
    <mergeCell ref="H82:I82"/>
    <mergeCell ref="A83:B83"/>
    <mergeCell ref="H83:I83"/>
    <mergeCell ref="A84:C84"/>
    <mergeCell ref="E84:F84"/>
    <mergeCell ref="H84:I84"/>
    <mergeCell ref="F65:I65"/>
    <mergeCell ref="A66:C67"/>
    <mergeCell ref="E66:I66"/>
    <mergeCell ref="E67:I67"/>
    <mergeCell ref="A68:C70"/>
    <mergeCell ref="G68:I68"/>
    <mergeCell ref="B88:D88"/>
    <mergeCell ref="F88:G88"/>
    <mergeCell ref="B89:D89"/>
    <mergeCell ref="F89:G89"/>
    <mergeCell ref="B90:D90"/>
    <mergeCell ref="F90:G90"/>
    <mergeCell ref="A85:C85"/>
    <mergeCell ref="E85:F85"/>
    <mergeCell ref="H85:I85"/>
    <mergeCell ref="B86:D86"/>
    <mergeCell ref="F86:G86"/>
    <mergeCell ref="B87:D87"/>
    <mergeCell ref="F87:G87"/>
    <mergeCell ref="B94:D94"/>
    <mergeCell ref="F94:G94"/>
    <mergeCell ref="B95:D95"/>
    <mergeCell ref="F95:G95"/>
    <mergeCell ref="B96:D96"/>
    <mergeCell ref="F96:G96"/>
    <mergeCell ref="B91:D91"/>
    <mergeCell ref="F91:G91"/>
    <mergeCell ref="B92:D92"/>
    <mergeCell ref="F92:G92"/>
    <mergeCell ref="B93:D93"/>
    <mergeCell ref="F93:G93"/>
    <mergeCell ref="F100:I100"/>
    <mergeCell ref="A101:C102"/>
    <mergeCell ref="E101:I101"/>
    <mergeCell ref="E102:I102"/>
    <mergeCell ref="A103:C105"/>
    <mergeCell ref="G103:I103"/>
    <mergeCell ref="B97:D97"/>
    <mergeCell ref="F97:G97"/>
    <mergeCell ref="B98:D98"/>
    <mergeCell ref="F98:G98"/>
    <mergeCell ref="B99:D99"/>
    <mergeCell ref="F99:G99"/>
  </mergeCells>
  <phoneticPr fontId="1" type="noConversion"/>
  <conditionalFormatting sqref="H17:I29 E17:F29 A17:B29">
    <cfRule type="cellIs" dxfId="145" priority="9" operator="equal">
      <formula>0</formula>
    </cfRule>
  </conditionalFormatting>
  <conditionalFormatting sqref="E64:F64 H52:I64 A52:B64 F52:F63">
    <cfRule type="cellIs" dxfId="144" priority="8" operator="equal">
      <formula>0</formula>
    </cfRule>
  </conditionalFormatting>
  <conditionalFormatting sqref="E99:F99 A87:B99 H87:I99 F87:F98">
    <cfRule type="cellIs" dxfId="143" priority="7" operator="equal">
      <formula>0</formula>
    </cfRule>
  </conditionalFormatting>
  <conditionalFormatting sqref="F80">
    <cfRule type="cellIs" dxfId="142" priority="6" operator="equal">
      <formula>0</formula>
    </cfRule>
  </conditionalFormatting>
  <conditionalFormatting sqref="E52:E63">
    <cfRule type="cellIs" dxfId="141" priority="5" operator="equal">
      <formula>0</formula>
    </cfRule>
  </conditionalFormatting>
  <conditionalFormatting sqref="E87:E98">
    <cfRule type="cellIs" dxfId="140" priority="4" operator="equal">
      <formula>0</formula>
    </cfRule>
  </conditionalFormatting>
  <conditionalFormatting sqref="A72:XFD106">
    <cfRule type="expression" dxfId="139" priority="3">
      <formula>$A$87=0</formula>
    </cfRule>
  </conditionalFormatting>
  <conditionalFormatting sqref="A37:XFD41 A42:E45 G42:XFD45 A46:XFD71">
    <cfRule type="expression" dxfId="138" priority="2">
      <formula>$A$52=0</formula>
    </cfRule>
  </conditionalFormatting>
  <conditionalFormatting sqref="F42:F45">
    <cfRule type="expression" dxfId="137" priority="1">
      <formula>$A$52=0</formula>
    </cfRule>
  </conditionalFormatting>
  <dataValidations count="2">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2 E67 E10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1 A66 A101"/>
  </dataValidations>
  <hyperlinks>
    <hyperlink ref="A10" r:id="rId1"/>
    <hyperlink ref="A45" r:id="rId2"/>
    <hyperlink ref="A80" r:id="rId3"/>
  </hyperlinks>
  <pageMargins left="0.19685039370078741" right="0" top="0.51181102362204722" bottom="0.74803149606299213" header="0.31496062992125984" footer="0.31496062992125984"/>
  <pageSetup paperSize="9" orientation="portrait" horizontalDpi="4294967295" verticalDpi="4294967295"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N106"/>
  <sheetViews>
    <sheetView workbookViewId="0">
      <selection activeCell="E26" sqref="E26"/>
    </sheetView>
  </sheetViews>
  <sheetFormatPr defaultRowHeight="14.25"/>
  <cols>
    <col min="1" max="1" width="5.25" customWidth="1"/>
    <col min="2" max="2" width="6.5" customWidth="1"/>
    <col min="3" max="3" width="26.125" customWidth="1"/>
    <col min="4" max="4" width="8.625" customWidth="1"/>
    <col min="5" max="5" width="8.5" customWidth="1"/>
    <col min="6" max="6" width="6" style="406" customWidth="1"/>
    <col min="7" max="7" width="7.5" customWidth="1"/>
    <col min="8" max="8" width="10.875" customWidth="1"/>
    <col min="9" max="9" width="13.5" customWidth="1"/>
    <col min="12" max="12" width="39.5" customWidth="1"/>
  </cols>
  <sheetData>
    <row r="1" spans="1:14" ht="4.5" customHeight="1">
      <c r="A1" s="17"/>
      <c r="B1" s="17"/>
      <c r="C1" s="17"/>
      <c r="D1" s="17"/>
      <c r="E1" s="17"/>
      <c r="F1" s="397"/>
      <c r="G1" s="17"/>
      <c r="H1" s="17"/>
      <c r="I1" s="17"/>
    </row>
    <row r="2" spans="1:14" ht="22.5">
      <c r="A2" s="470" t="s">
        <v>1206</v>
      </c>
      <c r="B2" s="470"/>
      <c r="C2" s="470"/>
      <c r="D2" s="470"/>
      <c r="E2" s="470"/>
      <c r="F2" s="470"/>
      <c r="G2" s="470"/>
      <c r="H2" s="470"/>
      <c r="I2" s="470"/>
    </row>
    <row r="3" spans="1:14" ht="3.75" customHeight="1">
      <c r="A3" s="17"/>
      <c r="B3" s="17"/>
      <c r="C3" s="17"/>
      <c r="D3" s="17"/>
      <c r="E3" s="17"/>
      <c r="F3" s="397"/>
      <c r="G3" s="17"/>
      <c r="H3" s="34"/>
      <c r="I3" s="48"/>
    </row>
    <row r="4" spans="1:14" ht="3.75" customHeight="1">
      <c r="A4" s="17"/>
      <c r="B4" s="17"/>
      <c r="C4" s="17"/>
      <c r="D4" s="17"/>
      <c r="E4" s="17"/>
      <c r="F4" s="397"/>
      <c r="G4" s="17"/>
      <c r="H4" s="17"/>
      <c r="I4" s="17"/>
    </row>
    <row r="5" spans="1:14" ht="15.75">
      <c r="A5" s="35" t="s">
        <v>43</v>
      </c>
      <c r="B5" s="36"/>
      <c r="C5" s="36"/>
      <c r="D5" s="37"/>
      <c r="E5" s="61"/>
      <c r="F5" s="398" t="s">
        <v>42</v>
      </c>
      <c r="G5" s="71"/>
      <c r="H5" s="36"/>
      <c r="I5" s="37"/>
    </row>
    <row r="6" spans="1:14" ht="15.75">
      <c r="A6" s="103" t="s">
        <v>229</v>
      </c>
      <c r="B6" s="58"/>
      <c r="C6" s="58"/>
      <c r="D6" s="59"/>
      <c r="E6" s="58"/>
      <c r="F6" s="399" t="str">
        <f>VLOOKUP(LEFT(发货清单!$R$2,8)&amp;"-"&amp;ROW(A1),地址数据库!A:B,2,0)</f>
        <v xml:space="preserve"> Fluorochem Limited</v>
      </c>
      <c r="G6" s="422"/>
      <c r="H6" s="423"/>
      <c r="I6" s="424"/>
    </row>
    <row r="7" spans="1:14" ht="15" customHeight="1">
      <c r="A7" s="104" t="s">
        <v>527</v>
      </c>
      <c r="B7" s="60"/>
      <c r="C7" s="60"/>
      <c r="D7" s="59"/>
      <c r="E7" s="61"/>
      <c r="F7" s="432" t="str">
        <f>VLOOKUP(LEFT(发货清单!$R$2,8)&amp;"-"&amp;ROW(A2),地址数据库!A:B,2,0)</f>
        <v>Unit 14 Graphite Way</v>
      </c>
      <c r="G7" s="425"/>
      <c r="H7" s="426"/>
      <c r="I7" s="424"/>
      <c r="J7" s="16"/>
    </row>
    <row r="8" spans="1:14" ht="15" customHeight="1">
      <c r="A8" s="104" t="s">
        <v>529</v>
      </c>
      <c r="B8" s="60"/>
      <c r="C8" s="60"/>
      <c r="D8" s="59"/>
      <c r="E8" s="61"/>
      <c r="F8" s="431" t="str">
        <f>VLOOKUP(LEFT(发货清单!$R$2,8)&amp;"-"&amp;ROW(A3),地址数据库!A:B,2,0)</f>
        <v>Hadfield  Derbyshire</v>
      </c>
      <c r="G8" s="425"/>
      <c r="H8" s="426"/>
      <c r="I8" s="424"/>
      <c r="J8" s="16"/>
    </row>
    <row r="9" spans="1:14" ht="15" customHeight="1">
      <c r="A9" s="105" t="s">
        <v>232</v>
      </c>
      <c r="B9" s="60"/>
      <c r="C9" s="60"/>
      <c r="D9" s="59"/>
      <c r="E9" s="61"/>
      <c r="F9" s="431" t="str">
        <f>VLOOKUP(LEFT(发货清单!$R$2,8)&amp;"-"&amp;ROW(A4),地址数据库!A:B,2,0)</f>
        <v>SK13 1QH UK</v>
      </c>
      <c r="G9" s="427"/>
      <c r="H9" s="426"/>
      <c r="I9" s="424"/>
      <c r="J9" s="14"/>
    </row>
    <row r="10" spans="1:14" ht="15.75">
      <c r="A10" s="106" t="s">
        <v>233</v>
      </c>
      <c r="B10" s="62"/>
      <c r="C10" s="62"/>
      <c r="D10" s="63"/>
      <c r="E10" s="61"/>
      <c r="F10" s="431" t="str">
        <f>VLOOKUP(LEFT(发货清单!$R$2,8)&amp;"-"&amp;ROW(A5),地址数据库!A:B,2,0)</f>
        <v>TEL:4401457860111</v>
      </c>
      <c r="G10" s="428"/>
      <c r="H10" s="429"/>
      <c r="I10" s="430"/>
      <c r="J10" s="14"/>
    </row>
    <row r="11" spans="1:14" ht="5.25" customHeight="1">
      <c r="A11" s="17"/>
      <c r="B11" s="17"/>
      <c r="C11" s="17"/>
      <c r="D11" s="17"/>
      <c r="E11" s="17"/>
      <c r="F11" s="397"/>
      <c r="G11" s="17"/>
      <c r="H11" s="17"/>
      <c r="I11" s="17"/>
      <c r="J11" s="14"/>
    </row>
    <row r="12" spans="1:14" s="68" customFormat="1">
      <c r="A12" s="471" t="s">
        <v>17</v>
      </c>
      <c r="B12" s="472"/>
      <c r="C12" s="235" t="s">
        <v>633</v>
      </c>
      <c r="D12" s="67" t="s">
        <v>369</v>
      </c>
      <c r="E12" s="67" t="s">
        <v>21</v>
      </c>
      <c r="F12" s="400" t="s">
        <v>19</v>
      </c>
      <c r="G12" s="276" t="s">
        <v>20</v>
      </c>
      <c r="H12" s="471" t="s">
        <v>30</v>
      </c>
      <c r="I12" s="472"/>
    </row>
    <row r="13" spans="1:14" s="68" customFormat="1" ht="12.75">
      <c r="A13" s="471"/>
      <c r="B13" s="472"/>
      <c r="C13" s="67" t="str">
        <f>发货清单!S2</f>
        <v>P100426</v>
      </c>
      <c r="D13" s="67"/>
      <c r="E13" s="67"/>
      <c r="F13" s="401" t="s">
        <v>38</v>
      </c>
      <c r="G13" s="67"/>
      <c r="H13" s="471" t="s">
        <v>386</v>
      </c>
      <c r="I13" s="472"/>
      <c r="J13" s="30"/>
    </row>
    <row r="14" spans="1:14" s="68" customFormat="1" ht="12.75">
      <c r="A14" s="471" t="s">
        <v>22</v>
      </c>
      <c r="B14" s="473"/>
      <c r="C14" s="472"/>
      <c r="D14" s="263" t="s">
        <v>70</v>
      </c>
      <c r="E14" s="471" t="s">
        <v>23</v>
      </c>
      <c r="F14" s="472"/>
      <c r="G14" s="277" t="s">
        <v>29</v>
      </c>
      <c r="H14" s="471" t="s">
        <v>18</v>
      </c>
      <c r="I14" s="472"/>
      <c r="J14" s="30"/>
    </row>
    <row r="15" spans="1:14" s="28" customFormat="1" ht="15.75">
      <c r="A15" s="476" t="s">
        <v>39</v>
      </c>
      <c r="B15" s="477"/>
      <c r="C15" s="478"/>
      <c r="D15" s="27"/>
      <c r="E15" s="476" t="str">
        <f>VLOOKUP(LEFT(发货清单!R2,8)&amp;"-"&amp;ROW(A1),地址数据库!A:E,5,0)</f>
        <v>UK</v>
      </c>
      <c r="F15" s="478"/>
      <c r="G15" s="79">
        <f ca="1">TODAY()</f>
        <v>43839</v>
      </c>
      <c r="H15" s="479" t="str">
        <f>发货清单!$AA$2</f>
        <v>20200109-607</v>
      </c>
      <c r="I15" s="480"/>
      <c r="J15" s="30"/>
    </row>
    <row r="16" spans="1:14" s="26" customFormat="1" ht="23.25" customHeight="1">
      <c r="A16" s="66" t="s">
        <v>24</v>
      </c>
      <c r="B16" s="481" t="s">
        <v>25</v>
      </c>
      <c r="C16" s="482"/>
      <c r="D16" s="483"/>
      <c r="E16" s="55" t="s">
        <v>28</v>
      </c>
      <c r="F16" s="482" t="str">
        <f>IF(E15="USA","HTS code","HS code")</f>
        <v>HS code</v>
      </c>
      <c r="G16" s="483"/>
      <c r="H16" s="444" t="s">
        <v>26</v>
      </c>
      <c r="I16" s="444" t="s">
        <v>27</v>
      </c>
      <c r="N16" s="47"/>
    </row>
    <row r="17" spans="1:12" s="44" customFormat="1" ht="30" customHeight="1">
      <c r="A17" s="176">
        <f>辅助!N2</f>
        <v>600</v>
      </c>
      <c r="B17" s="474" t="str">
        <f>IFERROR(辅助!P2&amp;CHAR(10)&amp;VLOOKUP(辅助!P2,数据库!C:G,5,0),"")</f>
        <v>Carboxylic acid compound category (AB-04)1
White powder</v>
      </c>
      <c r="C17" s="474"/>
      <c r="D17" s="474"/>
      <c r="E17" s="309" t="str">
        <f>IF(A17=0,"","Glass/Plastic bottle")</f>
        <v>Glass/Plastic bottle</v>
      </c>
      <c r="F17" s="475">
        <f>IFERROR(IF($E$15="USA",VLOOKUP(辅助!R2,数据库!D:E,2,0),辅助!R2),"")</f>
        <v>2917190090</v>
      </c>
      <c r="G17" s="475"/>
      <c r="H17" s="275">
        <f>I17/A17</f>
        <v>0.36399999999999999</v>
      </c>
      <c r="I17" s="177">
        <f>辅助!O2</f>
        <v>218.4</v>
      </c>
      <c r="L17" s="384" t="str">
        <f>辅助!P2&amp;"/"&amp;辅助!N2&amp;"g"&amp;IF(辅助!P3="",,CHAR(10)&amp;辅助!P3&amp;"/"&amp;辅助!N3&amp;"g")&amp;IF(辅助!P4="",,CHAR(10)&amp;辅助!P4&amp;"/"&amp;辅助!N4&amp;"g")&amp;IF(辅助!P5="",,CHAR(10)&amp;辅助!P5&amp;"/"&amp;辅助!N5&amp;"g")&amp;IF(辅助!P6="",,CHAR(10)&amp;辅助!P6&amp;"/"&amp;辅助!N6&amp;"g")</f>
        <v>Carboxylic acid compound category (AB-04)1/600g
Carboxylic acid compound category (AB-04)6/10g
Sulfonamide compound category(AB-08)1/1000g
Heterocyclic with single or more oxygen atoms compound category （AB-15）4/205g
Acyclic hydrocarbon compound category （AB-02）11/500g</v>
      </c>
    </row>
    <row r="18" spans="1:12" s="44" customFormat="1" ht="30" customHeight="1">
      <c r="A18" s="176">
        <f>辅助!N3</f>
        <v>10</v>
      </c>
      <c r="B18" s="474" t="str">
        <f>IFERROR(辅助!P3&amp;CHAR(10)&amp;VLOOKUP(辅助!P3,数据库!C:G,5,0),"")</f>
        <v>Carboxylic acid compound category (AB-04)6
White Solid</v>
      </c>
      <c r="C18" s="474"/>
      <c r="D18" s="474"/>
      <c r="E18" s="309" t="str">
        <f t="shared" ref="E18:E28" si="0">IF(A18=0,"","Glass/Plastic bottle")</f>
        <v>Glass/Plastic bottle</v>
      </c>
      <c r="F18" s="475">
        <f>IFERROR(IF($E$15="USA",VLOOKUP(辅助!R3,数据库!D:E,2,0),辅助!R3),"")</f>
        <v>2917190090</v>
      </c>
      <c r="G18" s="475"/>
      <c r="H18" s="275">
        <f>IF(A18=0,0,I18/A18)</f>
        <v>15.680000000000001</v>
      </c>
      <c r="I18" s="177">
        <f>辅助!O3</f>
        <v>156.80000000000001</v>
      </c>
      <c r="L18" s="44">
        <f>COUNTA(发货清单!H:H)-1</f>
        <v>29</v>
      </c>
    </row>
    <row r="19" spans="1:12" s="44" customFormat="1" ht="30" customHeight="1">
      <c r="A19" s="176">
        <f>辅助!N4</f>
        <v>1000</v>
      </c>
      <c r="B19" s="474" t="str">
        <f>IFERROR(辅助!P4&amp;CHAR(10)&amp;VLOOKUP(辅助!P4,数据库!C:G,5,0),"")</f>
        <v>Sulfonamide compound category(AB-08)1
White Solid</v>
      </c>
      <c r="C19" s="474"/>
      <c r="D19" s="474"/>
      <c r="E19" s="309" t="str">
        <f t="shared" si="0"/>
        <v>Glass/Plastic bottle</v>
      </c>
      <c r="F19" s="475">
        <f>IFERROR(IF($E$15="USA",VLOOKUP(辅助!R4,数据库!D:E,2,0),辅助!R4),"")</f>
        <v>2935900090</v>
      </c>
      <c r="G19" s="475"/>
      <c r="H19" s="275">
        <f t="shared" ref="H19:H28" si="1">IF(A19=0,0,I19/A19)</f>
        <v>5.5299999999999995E-2</v>
      </c>
      <c r="I19" s="177">
        <f>辅助!O4</f>
        <v>55.3</v>
      </c>
      <c r="L19" s="44">
        <f>SUM(辅助!N:N)/1000</f>
        <v>3.266</v>
      </c>
    </row>
    <row r="20" spans="1:12" s="44" customFormat="1" ht="30" customHeight="1">
      <c r="A20" s="176">
        <f>辅助!N5</f>
        <v>205</v>
      </c>
      <c r="B20" s="474" t="str">
        <f>IFERROR(辅助!P5&amp;CHAR(10)&amp;VLOOKUP(辅助!P5,数据库!C:G,5,0),"")</f>
        <v>Heterocyclic with single or more oxygen atoms compound category （AB-15）4
White crystal</v>
      </c>
      <c r="C20" s="474"/>
      <c r="D20" s="474"/>
      <c r="E20" s="309" t="str">
        <f t="shared" si="0"/>
        <v>Glass/Plastic bottle</v>
      </c>
      <c r="F20" s="475">
        <f>IFERROR(IF($E$15="USA",VLOOKUP(辅助!R5,数据库!D:E,2,0),辅助!R5),"")</f>
        <v>2932999099</v>
      </c>
      <c r="G20" s="475"/>
      <c r="H20" s="275">
        <f t="shared" si="1"/>
        <v>0.48829268292682926</v>
      </c>
      <c r="I20" s="177">
        <f>辅助!O5</f>
        <v>100.1</v>
      </c>
      <c r="L20" s="385">
        <f>I29</f>
        <v>3532.9</v>
      </c>
    </row>
    <row r="21" spans="1:12" s="44" customFormat="1" ht="30" customHeight="1">
      <c r="A21" s="176">
        <f>辅助!N6</f>
        <v>500</v>
      </c>
      <c r="B21" s="474" t="str">
        <f>IFERROR(辅助!P6&amp;CHAR(10)&amp;VLOOKUP(辅助!P6,数据库!C:G,5,0),"")</f>
        <v>Acyclic hydrocarbon compound category （AB-02）11
Colorless Transparent Liquid</v>
      </c>
      <c r="C21" s="474"/>
      <c r="D21" s="474"/>
      <c r="E21" s="309" t="str">
        <f t="shared" si="0"/>
        <v>Glass/Plastic bottle</v>
      </c>
      <c r="F21" s="475">
        <f>IFERROR(IF($E$15="USA",VLOOKUP(辅助!R6,数据库!D:E,2,0),辅助!R6),"")</f>
        <v>2903399090</v>
      </c>
      <c r="G21" s="475"/>
      <c r="H21" s="275">
        <f t="shared" si="1"/>
        <v>0.2044</v>
      </c>
      <c r="I21" s="177">
        <f>辅助!O6</f>
        <v>102.2</v>
      </c>
    </row>
    <row r="22" spans="1:12" s="44" customFormat="1" ht="30" customHeight="1">
      <c r="A22" s="176">
        <f>辅助!N7</f>
        <v>26</v>
      </c>
      <c r="B22" s="474" t="str">
        <f>IFERROR(辅助!P7&amp;CHAR(10)&amp;VLOOKUP(辅助!P7,数据库!C:G,5,0),"")</f>
        <v>Acyclic hydrocarbon compound category （AB-02）13
brown liquid</v>
      </c>
      <c r="C22" s="474"/>
      <c r="D22" s="474"/>
      <c r="E22" s="309" t="str">
        <f t="shared" si="0"/>
        <v>Glass/Plastic bottle</v>
      </c>
      <c r="F22" s="475">
        <f>IFERROR(IF($E$15="USA",VLOOKUP(辅助!R7,数据库!D:E,2,0),辅助!R7),"")</f>
        <v>2903399090</v>
      </c>
      <c r="G22" s="475"/>
      <c r="H22" s="275">
        <f t="shared" si="1"/>
        <v>5.3307692307692314</v>
      </c>
      <c r="I22" s="177">
        <f>辅助!O7</f>
        <v>138.60000000000002</v>
      </c>
    </row>
    <row r="23" spans="1:12" s="44" customFormat="1" ht="30" customHeight="1">
      <c r="A23" s="176">
        <f>辅助!N8</f>
        <v>25</v>
      </c>
      <c r="B23" s="474" t="str">
        <f>IFERROR(辅助!P8&amp;CHAR(10)&amp;VLOOKUP(辅助!P8,数据库!C:G,5,0),"")</f>
        <v>Heterocyclic with nitrogen compound category (AB-06)46
Yellow powder</v>
      </c>
      <c r="C23" s="474"/>
      <c r="D23" s="474"/>
      <c r="E23" s="309" t="str">
        <f t="shared" si="0"/>
        <v>Glass/Plastic bottle</v>
      </c>
      <c r="F23" s="475">
        <f>IFERROR(IF($E$15="USA",VLOOKUP(辅助!R8,数据库!D:E,2,0),辅助!R8),"")</f>
        <v>2933990099</v>
      </c>
      <c r="G23" s="475"/>
      <c r="H23" s="275">
        <f t="shared" si="1"/>
        <v>2.4079999999999999</v>
      </c>
      <c r="I23" s="177">
        <f>辅助!O8</f>
        <v>60.2</v>
      </c>
    </row>
    <row r="24" spans="1:12" s="44" customFormat="1" ht="30" customHeight="1">
      <c r="A24" s="176">
        <f>辅助!N9</f>
        <v>50</v>
      </c>
      <c r="B24" s="474" t="str">
        <f>IFERROR(辅助!P9&amp;CHAR(10)&amp;VLOOKUP(辅助!P9,数据库!C:G,5,0),"")</f>
        <v>Heterocyclic with nitrogen compound category (AB-06)53
Brown solid</v>
      </c>
      <c r="C24" s="474"/>
      <c r="D24" s="474"/>
      <c r="E24" s="309" t="str">
        <f t="shared" si="0"/>
        <v>Glass/Plastic bottle</v>
      </c>
      <c r="F24" s="475">
        <f>IFERROR(IF($E$15="USA",VLOOKUP(辅助!R9,数据库!D:E,2,0),辅助!R9),"")</f>
        <v>2933990099</v>
      </c>
      <c r="G24" s="475"/>
      <c r="H24" s="275">
        <f t="shared" si="1"/>
        <v>42.798000000000002</v>
      </c>
      <c r="I24" s="177">
        <f>辅助!O9</f>
        <v>2139.9</v>
      </c>
    </row>
    <row r="25" spans="1:12" s="44" customFormat="1" ht="30" customHeight="1">
      <c r="A25" s="176">
        <f>辅助!N10</f>
        <v>700</v>
      </c>
      <c r="B25" s="474" t="str">
        <f>IFERROR(辅助!P10&amp;CHAR(10)&amp;VLOOKUP(辅助!P10,数据库!C:G,5,0),"")</f>
        <v>Aromatic ring products without heteroatoms category （AB-16）33
Light yellow-green granular crystals</v>
      </c>
      <c r="C25" s="474"/>
      <c r="D25" s="474"/>
      <c r="E25" s="309" t="str">
        <f t="shared" si="0"/>
        <v>Glass/Plastic bottle</v>
      </c>
      <c r="F25" s="475">
        <f>IFERROR(IF($E$15="USA",VLOOKUP(辅助!R10,数据库!D:E,2,0),辅助!R10),"")</f>
        <v>2903999090</v>
      </c>
      <c r="G25" s="475"/>
      <c r="H25" s="275">
        <f t="shared" si="1"/>
        <v>0.39799999999999996</v>
      </c>
      <c r="I25" s="177">
        <f>辅助!O10</f>
        <v>278.59999999999997</v>
      </c>
    </row>
    <row r="26" spans="1:12" s="44" customFormat="1" ht="30" customHeight="1">
      <c r="A26" s="176">
        <f>辅助!N11</f>
        <v>150</v>
      </c>
      <c r="B26" s="474" t="str">
        <f>IFERROR(辅助!P11&amp;CHAR(10)&amp;VLOOKUP(辅助!P11,数据库!C:G,5,0),"")</f>
        <v>Aromatic ring products without heteroatoms category （AB-16）36
White powder</v>
      </c>
      <c r="C26" s="474"/>
      <c r="D26" s="474"/>
      <c r="E26" s="309" t="str">
        <f t="shared" si="0"/>
        <v>Glass/Plastic bottle</v>
      </c>
      <c r="F26" s="475">
        <f>IFERROR(IF($E$15="USA",VLOOKUP(辅助!R11,数据库!D:E,2,0),辅助!R11),"")</f>
        <v>2916399090</v>
      </c>
      <c r="G26" s="475"/>
      <c r="H26" s="275">
        <f t="shared" si="1"/>
        <v>1.8853333333333333</v>
      </c>
      <c r="I26" s="177">
        <f>辅助!O11</f>
        <v>282.8</v>
      </c>
    </row>
    <row r="27" spans="1:12" s="44" customFormat="1" ht="30" customHeight="1">
      <c r="A27" s="176">
        <f>辅助!N12</f>
        <v>0</v>
      </c>
      <c r="B27" s="474" t="str">
        <f>IFERROR(辅助!P12&amp;CHAR(10)&amp;VLOOKUP(辅助!P12,数据库!C:G,5,0),"")</f>
        <v/>
      </c>
      <c r="C27" s="474"/>
      <c r="D27" s="474"/>
      <c r="E27" s="309" t="str">
        <f t="shared" si="0"/>
        <v/>
      </c>
      <c r="F27" s="475" t="str">
        <f>IFERROR(IF($E$15="USA",VLOOKUP(辅助!R12,数据库!D:E,2,0),辅助!R12),"")</f>
        <v/>
      </c>
      <c r="G27" s="475"/>
      <c r="H27" s="275">
        <f t="shared" si="1"/>
        <v>0</v>
      </c>
      <c r="I27" s="177">
        <f>辅助!O12</f>
        <v>0</v>
      </c>
    </row>
    <row r="28" spans="1:12" s="44" customFormat="1" ht="30" customHeight="1">
      <c r="A28" s="176">
        <f>辅助!N13</f>
        <v>0</v>
      </c>
      <c r="B28" s="474" t="str">
        <f>IFERROR(辅助!P13&amp;CHAR(10)&amp;VLOOKUP(辅助!P13,数据库!C:G,5,0),"")</f>
        <v/>
      </c>
      <c r="C28" s="474"/>
      <c r="D28" s="474"/>
      <c r="E28" s="309" t="str">
        <f t="shared" si="0"/>
        <v/>
      </c>
      <c r="F28" s="475" t="str">
        <f>IFERROR(IF($E$15="USA",VLOOKUP(辅助!R13,数据库!D:E,2,0),辅助!R13),"")</f>
        <v/>
      </c>
      <c r="G28" s="475"/>
      <c r="H28" s="275">
        <f t="shared" si="1"/>
        <v>0</v>
      </c>
      <c r="I28" s="177">
        <f>辅助!O13</f>
        <v>0</v>
      </c>
    </row>
    <row r="29" spans="1:12" s="44" customFormat="1" ht="33.75" customHeight="1" thickBot="1">
      <c r="A29" s="176"/>
      <c r="B29" s="510" t="str">
        <f>IF(COUNTIF(辅助!N:N,"&gt;0")&lt;=12,"Total Net Weight（g）:   "&amp;SUM(辅助!N:N)," ")&amp;CHAR(10)&amp;IF(COUNTIF(辅助!N:N,"&gt;0")&lt;=12,"Gross Weight(kg):   "&amp;发货清单!Y2," ")</f>
        <v>Total Net Weight（g）:   3266
Gross Weight(kg):   10</v>
      </c>
      <c r="C29" s="511"/>
      <c r="D29" s="512"/>
      <c r="E29" s="66"/>
      <c r="F29" s="475"/>
      <c r="G29" s="475"/>
      <c r="H29" s="278" t="str">
        <f>IF(COUNTIF(辅助!O:O,"&gt;0")&lt;=12,"TOTAL:"," ")</f>
        <v>TOTAL:</v>
      </c>
      <c r="I29" s="274">
        <f>IF(COUNTIF(辅助!O:O,"&gt;0")&lt;=12,SUM(辅助!O:O)," ")</f>
        <v>3532.9</v>
      </c>
    </row>
    <row r="30" spans="1:12" ht="15.75">
      <c r="A30" s="169" t="s">
        <v>31</v>
      </c>
      <c r="B30" s="170"/>
      <c r="C30" s="170"/>
      <c r="D30" s="171"/>
      <c r="E30" s="41"/>
      <c r="F30" s="484"/>
      <c r="G30" s="484"/>
      <c r="H30" s="484"/>
      <c r="I30" s="485"/>
    </row>
    <row r="31" spans="1:12" ht="15" customHeight="1">
      <c r="A31" s="486" t="str">
        <f>IF(LEFT(发货清单!R2,8)="WB000178","I certify that all chemicals in this shipment are subject to TSCA.","I certify that all chemicals in this shipment are not subject to TSCA.")</f>
        <v>I certify that all chemicals in this shipment are not subject to TSCA.</v>
      </c>
      <c r="B31" s="487"/>
      <c r="C31" s="488"/>
      <c r="D31" s="39"/>
      <c r="E31" s="492" t="s">
        <v>73</v>
      </c>
      <c r="F31" s="493"/>
      <c r="G31" s="493"/>
      <c r="H31" s="493"/>
      <c r="I31" s="494"/>
    </row>
    <row r="32" spans="1:12" ht="11.25" customHeight="1" thickBot="1">
      <c r="A32" s="489"/>
      <c r="B32" s="490"/>
      <c r="C32" s="491"/>
      <c r="D32" s="39"/>
      <c r="E32" s="495"/>
      <c r="F32" s="496"/>
      <c r="G32" s="496"/>
      <c r="H32" s="496"/>
      <c r="I32" s="497"/>
    </row>
    <row r="33" spans="1:10" ht="16.5" customHeight="1" thickBot="1">
      <c r="A33" s="498" t="s">
        <v>525</v>
      </c>
      <c r="B33" s="499"/>
      <c r="C33" s="500"/>
      <c r="D33" s="39"/>
      <c r="E33" s="42" t="s">
        <v>71</v>
      </c>
      <c r="F33" s="402"/>
      <c r="G33" s="507" t="str">
        <f>发货清单!F2</f>
        <v>2786337676</v>
      </c>
      <c r="H33" s="508"/>
      <c r="I33" s="509"/>
    </row>
    <row r="34" spans="1:10" ht="32.25" customHeight="1" thickBot="1">
      <c r="A34" s="501"/>
      <c r="B34" s="502"/>
      <c r="C34" s="503"/>
      <c r="D34" s="39"/>
      <c r="E34" s="42" t="s">
        <v>34</v>
      </c>
      <c r="F34" s="402"/>
      <c r="G34" s="43"/>
      <c r="H34" s="43"/>
      <c r="I34" s="172"/>
    </row>
    <row r="35" spans="1:10" ht="15" thickBot="1">
      <c r="A35" s="504"/>
      <c r="B35" s="505"/>
      <c r="C35" s="506"/>
      <c r="D35" s="43"/>
      <c r="E35" s="43"/>
      <c r="F35" s="403"/>
      <c r="G35" s="43"/>
      <c r="H35" s="43"/>
      <c r="I35" s="172"/>
    </row>
    <row r="36" spans="1:10" ht="21.75" customHeight="1">
      <c r="A36" s="17"/>
      <c r="B36" s="17"/>
      <c r="C36" s="17"/>
      <c r="D36" s="17"/>
      <c r="E36" s="310" t="str">
        <f>"page 1/"&amp;IF(COUNTIF(辅助!K:K,"&gt;0")&lt;13,1,IF(COUNTIF(辅助!K:K,"&gt;0")&lt;25,2,3))</f>
        <v>page 1/1</v>
      </c>
      <c r="F36" s="397"/>
      <c r="G36" s="17"/>
      <c r="H36" s="17"/>
      <c r="I36" s="17"/>
    </row>
    <row r="37" spans="1:10" ht="22.5">
      <c r="A37" s="470" t="s">
        <v>44</v>
      </c>
      <c r="B37" s="470"/>
      <c r="C37" s="470"/>
      <c r="D37" s="470"/>
      <c r="E37" s="470"/>
      <c r="F37" s="470"/>
      <c r="G37" s="470"/>
      <c r="H37" s="470"/>
      <c r="I37" s="470"/>
    </row>
    <row r="38" spans="1:10" ht="3.75" customHeight="1">
      <c r="A38" s="17"/>
      <c r="B38" s="17"/>
      <c r="C38" s="17"/>
      <c r="D38" s="17"/>
      <c r="E38" s="17"/>
      <c r="F38" s="397"/>
      <c r="G38" s="17"/>
      <c r="H38" s="34"/>
      <c r="I38" s="48"/>
    </row>
    <row r="39" spans="1:10" ht="3.75" customHeight="1">
      <c r="A39" s="17"/>
      <c r="B39" s="17"/>
      <c r="C39" s="17"/>
      <c r="D39" s="17"/>
      <c r="E39" s="17"/>
      <c r="F39" s="397"/>
      <c r="G39" s="17"/>
      <c r="H39" s="17"/>
      <c r="I39" s="17"/>
    </row>
    <row r="40" spans="1:10" ht="15.75">
      <c r="A40" s="35" t="s">
        <v>43</v>
      </c>
      <c r="B40" s="36"/>
      <c r="C40" s="36"/>
      <c r="D40" s="37"/>
      <c r="E40" s="61"/>
      <c r="F40" s="398" t="s">
        <v>42</v>
      </c>
      <c r="G40" s="71"/>
      <c r="H40" s="36"/>
      <c r="I40" s="37"/>
    </row>
    <row r="41" spans="1:10" ht="15.75">
      <c r="A41" s="103" t="s">
        <v>75</v>
      </c>
      <c r="B41" s="58"/>
      <c r="C41" s="58"/>
      <c r="D41" s="59"/>
      <c r="E41" s="58"/>
      <c r="F41" s="399" t="str">
        <f>F6</f>
        <v xml:space="preserve"> Fluorochem Limited</v>
      </c>
      <c r="G41" s="192"/>
      <c r="H41" s="15"/>
      <c r="I41" s="38"/>
    </row>
    <row r="42" spans="1:10" ht="15" customHeight="1">
      <c r="A42" s="104" t="s">
        <v>527</v>
      </c>
      <c r="B42" s="60"/>
      <c r="C42" s="60"/>
      <c r="D42" s="59"/>
      <c r="E42" s="61"/>
      <c r="F42" s="404" t="str">
        <f t="shared" ref="F42:F45" si="2">F7</f>
        <v>Unit 14 Graphite Way</v>
      </c>
      <c r="G42" s="7"/>
      <c r="H42" s="39"/>
      <c r="I42" s="38"/>
      <c r="J42" s="16"/>
    </row>
    <row r="43" spans="1:10" ht="15" customHeight="1">
      <c r="A43" s="104" t="s">
        <v>529</v>
      </c>
      <c r="B43" s="60"/>
      <c r="C43" s="60"/>
      <c r="D43" s="59"/>
      <c r="E43" s="61"/>
      <c r="F43" s="404" t="str">
        <f t="shared" si="2"/>
        <v>Hadfield  Derbyshire</v>
      </c>
      <c r="G43" s="7"/>
      <c r="H43" s="39"/>
      <c r="I43" s="38"/>
      <c r="J43" s="16"/>
    </row>
    <row r="44" spans="1:10" ht="15" customHeight="1">
      <c r="A44" s="105" t="s">
        <v>232</v>
      </c>
      <c r="B44" s="60"/>
      <c r="C44" s="60"/>
      <c r="D44" s="59"/>
      <c r="E44" s="61"/>
      <c r="F44" s="404" t="str">
        <f t="shared" si="2"/>
        <v>SK13 1QH UK</v>
      </c>
      <c r="G44" s="193"/>
      <c r="H44" s="39"/>
      <c r="I44" s="38"/>
      <c r="J44" s="14"/>
    </row>
    <row r="45" spans="1:10" ht="15">
      <c r="A45" s="106" t="s">
        <v>233</v>
      </c>
      <c r="B45" s="62"/>
      <c r="C45" s="62"/>
      <c r="D45" s="63"/>
      <c r="E45" s="61"/>
      <c r="F45" s="404" t="str">
        <f t="shared" si="2"/>
        <v>TEL:4401457860111</v>
      </c>
      <c r="G45" s="6"/>
      <c r="H45" s="18"/>
      <c r="I45" s="40"/>
      <c r="J45" s="14"/>
    </row>
    <row r="46" spans="1:10" ht="5.25" customHeight="1">
      <c r="A46" s="17"/>
      <c r="B46" s="17"/>
      <c r="C46" s="17"/>
      <c r="D46" s="17"/>
      <c r="E46" s="17"/>
      <c r="F46" s="397"/>
      <c r="G46" s="17"/>
      <c r="H46" s="17"/>
      <c r="I46" s="17"/>
      <c r="J46" s="14"/>
    </row>
    <row r="47" spans="1:10" s="68" customFormat="1">
      <c r="A47" s="471" t="s">
        <v>17</v>
      </c>
      <c r="B47" s="472"/>
      <c r="C47" s="67" t="s">
        <v>632</v>
      </c>
      <c r="D47" s="263" t="s">
        <v>369</v>
      </c>
      <c r="E47" s="67" t="s">
        <v>21</v>
      </c>
      <c r="F47" s="400" t="s">
        <v>19</v>
      </c>
      <c r="G47" s="276" t="s">
        <v>20</v>
      </c>
      <c r="H47" s="471" t="s">
        <v>30</v>
      </c>
      <c r="I47" s="472"/>
    </row>
    <row r="48" spans="1:10" s="68" customFormat="1" ht="12.75">
      <c r="A48" s="471"/>
      <c r="B48" s="472"/>
      <c r="C48" s="67" t="str">
        <f>C13</f>
        <v>P100426</v>
      </c>
      <c r="D48" s="67"/>
      <c r="E48" s="67"/>
      <c r="F48" s="401" t="s">
        <v>38</v>
      </c>
      <c r="G48" s="67"/>
      <c r="H48" s="471" t="s">
        <v>386</v>
      </c>
      <c r="I48" s="472"/>
      <c r="J48" s="30"/>
    </row>
    <row r="49" spans="1:14" s="68" customFormat="1" ht="12.75">
      <c r="A49" s="471" t="s">
        <v>22</v>
      </c>
      <c r="B49" s="473"/>
      <c r="C49" s="472"/>
      <c r="D49" s="263" t="s">
        <v>70</v>
      </c>
      <c r="E49" s="471" t="s">
        <v>23</v>
      </c>
      <c r="F49" s="472"/>
      <c r="G49" s="277" t="s">
        <v>29</v>
      </c>
      <c r="H49" s="471" t="s">
        <v>18</v>
      </c>
      <c r="I49" s="472"/>
      <c r="J49" s="30"/>
    </row>
    <row r="50" spans="1:14" s="28" customFormat="1" ht="15.75">
      <c r="A50" s="476" t="s">
        <v>39</v>
      </c>
      <c r="B50" s="477"/>
      <c r="C50" s="478"/>
      <c r="D50" s="27"/>
      <c r="E50" s="476" t="str">
        <f>E15</f>
        <v>UK</v>
      </c>
      <c r="F50" s="478"/>
      <c r="G50" s="79">
        <f ca="1">TODAY()</f>
        <v>43839</v>
      </c>
      <c r="H50" s="479" t="str">
        <f>发货清单!$AA$2</f>
        <v>20200109-607</v>
      </c>
      <c r="I50" s="480"/>
      <c r="J50" s="30"/>
    </row>
    <row r="51" spans="1:14" s="26" customFormat="1" ht="23.25" customHeight="1">
      <c r="A51" s="66" t="s">
        <v>24</v>
      </c>
      <c r="B51" s="481" t="s">
        <v>25</v>
      </c>
      <c r="C51" s="482"/>
      <c r="D51" s="483"/>
      <c r="E51" s="55" t="s">
        <v>28</v>
      </c>
      <c r="F51" s="482" t="str">
        <f>F16</f>
        <v>HS code</v>
      </c>
      <c r="G51" s="483"/>
      <c r="H51" s="444" t="s">
        <v>26</v>
      </c>
      <c r="I51" s="444" t="s">
        <v>27</v>
      </c>
      <c r="N51" s="47"/>
    </row>
    <row r="52" spans="1:14" s="44" customFormat="1" ht="30" customHeight="1">
      <c r="A52" s="176">
        <f>辅助!N14</f>
        <v>0</v>
      </c>
      <c r="B52" s="474" t="str">
        <f>IFERROR(辅助!P14&amp;CHAR(10)&amp;VLOOKUP(辅助!P14,数据库!C:G,5,0),"")</f>
        <v/>
      </c>
      <c r="C52" s="474"/>
      <c r="D52" s="474"/>
      <c r="E52" s="309" t="str">
        <f t="shared" ref="E52:E63" si="3">IF(A52=0,"","Glass/Plastic bottle")</f>
        <v/>
      </c>
      <c r="F52" s="475" t="str">
        <f>IFERROR(IF($E$15="USA",VLOOKUP(辅助!R14,数据库!D:E,2,0),辅助!R14),"")</f>
        <v/>
      </c>
      <c r="G52" s="475"/>
      <c r="H52" s="275">
        <f>IF(A52=0,0,I52/A52)</f>
        <v>0</v>
      </c>
      <c r="I52" s="177">
        <f>辅助!O14</f>
        <v>0</v>
      </c>
    </row>
    <row r="53" spans="1:14" s="44" customFormat="1" ht="30" customHeight="1">
      <c r="A53" s="176">
        <f>辅助!N15</f>
        <v>0</v>
      </c>
      <c r="B53" s="474" t="str">
        <f>IFERROR(辅助!P15&amp;CHAR(10)&amp;VLOOKUP(辅助!P15,数据库!C:G,5,0),"")</f>
        <v/>
      </c>
      <c r="C53" s="474"/>
      <c r="D53" s="474"/>
      <c r="E53" s="309" t="str">
        <f t="shared" si="3"/>
        <v/>
      </c>
      <c r="F53" s="475" t="str">
        <f>IFERROR(IF($E$15="USA",VLOOKUP(辅助!R15,数据库!D:E,2,0),辅助!R15),"")</f>
        <v/>
      </c>
      <c r="G53" s="475"/>
      <c r="H53" s="275">
        <f>IF(A53=0,0,I53/A53)</f>
        <v>0</v>
      </c>
      <c r="I53" s="177">
        <f>辅助!O15</f>
        <v>0</v>
      </c>
    </row>
    <row r="54" spans="1:14" s="44" customFormat="1" ht="30" customHeight="1">
      <c r="A54" s="176">
        <f>辅助!N16</f>
        <v>0</v>
      </c>
      <c r="B54" s="474" t="str">
        <f>IFERROR(辅助!P16&amp;CHAR(10)&amp;VLOOKUP(辅助!P16,数据库!C:G,5,0),"")</f>
        <v/>
      </c>
      <c r="C54" s="474"/>
      <c r="D54" s="474"/>
      <c r="E54" s="309" t="str">
        <f t="shared" si="3"/>
        <v/>
      </c>
      <c r="F54" s="475" t="str">
        <f>IFERROR(IF($E$15="USA",VLOOKUP(辅助!R16,数据库!D:E,2,0),辅助!R16),"")</f>
        <v/>
      </c>
      <c r="G54" s="475"/>
      <c r="H54" s="275">
        <f t="shared" ref="H54:H63" si="4">IF(A54=0,0,I54/A54)</f>
        <v>0</v>
      </c>
      <c r="I54" s="177">
        <f>辅助!O16</f>
        <v>0</v>
      </c>
    </row>
    <row r="55" spans="1:14" s="44" customFormat="1" ht="30" customHeight="1">
      <c r="A55" s="176">
        <f>辅助!N17</f>
        <v>0</v>
      </c>
      <c r="B55" s="474" t="str">
        <f>IFERROR(辅助!P17&amp;CHAR(10)&amp;VLOOKUP(辅助!P17,数据库!C:G,5,0),"")</f>
        <v/>
      </c>
      <c r="C55" s="474"/>
      <c r="D55" s="474"/>
      <c r="E55" s="309" t="str">
        <f t="shared" si="3"/>
        <v/>
      </c>
      <c r="F55" s="475" t="str">
        <f>IFERROR(IF($E$15="USA",VLOOKUP(辅助!R17,数据库!D:E,2,0),辅助!R17),"")</f>
        <v/>
      </c>
      <c r="G55" s="475"/>
      <c r="H55" s="275">
        <f t="shared" si="4"/>
        <v>0</v>
      </c>
      <c r="I55" s="177">
        <f>辅助!O17</f>
        <v>0</v>
      </c>
    </row>
    <row r="56" spans="1:14" s="44" customFormat="1" ht="30" customHeight="1">
      <c r="A56" s="176">
        <f>辅助!N18</f>
        <v>0</v>
      </c>
      <c r="B56" s="474" t="str">
        <f>IFERROR(辅助!P18&amp;CHAR(10)&amp;VLOOKUP(辅助!P18,数据库!C:G,5,0),"")</f>
        <v/>
      </c>
      <c r="C56" s="474"/>
      <c r="D56" s="474"/>
      <c r="E56" s="309" t="str">
        <f t="shared" si="3"/>
        <v/>
      </c>
      <c r="F56" s="475" t="str">
        <f>IFERROR(IF($E$15="USA",VLOOKUP(辅助!R18,数据库!D:E,2,0),辅助!R18),"")</f>
        <v/>
      </c>
      <c r="G56" s="475"/>
      <c r="H56" s="275">
        <f t="shared" si="4"/>
        <v>0</v>
      </c>
      <c r="I56" s="177">
        <f>辅助!O18</f>
        <v>0</v>
      </c>
    </row>
    <row r="57" spans="1:14" s="44" customFormat="1" ht="30" customHeight="1">
      <c r="A57" s="176">
        <f>辅助!N19</f>
        <v>0</v>
      </c>
      <c r="B57" s="474" t="str">
        <f>IFERROR(辅助!P19&amp;CHAR(10)&amp;VLOOKUP(辅助!P19,数据库!C:G,5,0),"")</f>
        <v/>
      </c>
      <c r="C57" s="474"/>
      <c r="D57" s="474"/>
      <c r="E57" s="309" t="str">
        <f t="shared" si="3"/>
        <v/>
      </c>
      <c r="F57" s="475" t="str">
        <f>IFERROR(IF($E$15="USA",VLOOKUP(辅助!R19,数据库!D:E,2,0),辅助!R19),"")</f>
        <v/>
      </c>
      <c r="G57" s="475"/>
      <c r="H57" s="275">
        <f t="shared" si="4"/>
        <v>0</v>
      </c>
      <c r="I57" s="177">
        <f>辅助!O19</f>
        <v>0</v>
      </c>
    </row>
    <row r="58" spans="1:14" s="44" customFormat="1" ht="30" customHeight="1">
      <c r="A58" s="176">
        <f>辅助!N20</f>
        <v>0</v>
      </c>
      <c r="B58" s="474" t="str">
        <f>IFERROR(辅助!P20&amp;CHAR(10)&amp;VLOOKUP(辅助!P20,数据库!C:G,5,0),"")</f>
        <v/>
      </c>
      <c r="C58" s="474"/>
      <c r="D58" s="474"/>
      <c r="E58" s="309" t="str">
        <f t="shared" si="3"/>
        <v/>
      </c>
      <c r="F58" s="475" t="str">
        <f>IFERROR(IF($E$15="USA",VLOOKUP(辅助!R20,数据库!D:E,2,0),辅助!R20),"")</f>
        <v/>
      </c>
      <c r="G58" s="475"/>
      <c r="H58" s="275">
        <f t="shared" si="4"/>
        <v>0</v>
      </c>
      <c r="I58" s="177">
        <f>辅助!O20</f>
        <v>0</v>
      </c>
    </row>
    <row r="59" spans="1:14" s="44" customFormat="1" ht="30" customHeight="1">
      <c r="A59" s="176">
        <f>辅助!N21</f>
        <v>0</v>
      </c>
      <c r="B59" s="474" t="str">
        <f>IFERROR(辅助!P21&amp;CHAR(10)&amp;VLOOKUP(辅助!P21,数据库!C:G,5,0),"")</f>
        <v/>
      </c>
      <c r="C59" s="474"/>
      <c r="D59" s="474"/>
      <c r="E59" s="309" t="str">
        <f t="shared" si="3"/>
        <v/>
      </c>
      <c r="F59" s="475" t="str">
        <f>IFERROR(IF($E$15="USA",VLOOKUP(辅助!R21,数据库!D:E,2,0),辅助!R21),"")</f>
        <v/>
      </c>
      <c r="G59" s="475"/>
      <c r="H59" s="275">
        <f t="shared" si="4"/>
        <v>0</v>
      </c>
      <c r="I59" s="177">
        <f>辅助!O21</f>
        <v>0</v>
      </c>
    </row>
    <row r="60" spans="1:14" s="44" customFormat="1" ht="30" customHeight="1">
      <c r="A60" s="176">
        <f>辅助!N22</f>
        <v>0</v>
      </c>
      <c r="B60" s="474" t="str">
        <f>IFERROR(辅助!P22&amp;CHAR(10)&amp;VLOOKUP(辅助!P22,数据库!C:G,5,0),"")</f>
        <v/>
      </c>
      <c r="C60" s="474"/>
      <c r="D60" s="474"/>
      <c r="E60" s="309" t="str">
        <f t="shared" si="3"/>
        <v/>
      </c>
      <c r="F60" s="475" t="str">
        <f>IFERROR(IF($E$15="USA",VLOOKUP(辅助!R22,数据库!D:E,2,0),辅助!R22),"")</f>
        <v/>
      </c>
      <c r="G60" s="475"/>
      <c r="H60" s="275">
        <f t="shared" si="4"/>
        <v>0</v>
      </c>
      <c r="I60" s="177">
        <f>辅助!O22</f>
        <v>0</v>
      </c>
    </row>
    <row r="61" spans="1:14" s="44" customFormat="1" ht="30" customHeight="1">
      <c r="A61" s="176">
        <f>辅助!N23</f>
        <v>0</v>
      </c>
      <c r="B61" s="474" t="str">
        <f>IFERROR(辅助!P23&amp;CHAR(10)&amp;VLOOKUP(辅助!P23,数据库!C:G,5,0),"")</f>
        <v/>
      </c>
      <c r="C61" s="474"/>
      <c r="D61" s="474"/>
      <c r="E61" s="309" t="str">
        <f t="shared" si="3"/>
        <v/>
      </c>
      <c r="F61" s="475" t="str">
        <f>IFERROR(IF($E$15="USA",VLOOKUP(辅助!R23,数据库!D:E,2,0),辅助!R23),"")</f>
        <v/>
      </c>
      <c r="G61" s="475"/>
      <c r="H61" s="275">
        <f t="shared" si="4"/>
        <v>0</v>
      </c>
      <c r="I61" s="177">
        <f>辅助!O23</f>
        <v>0</v>
      </c>
    </row>
    <row r="62" spans="1:14" s="44" customFormat="1" ht="30" customHeight="1">
      <c r="A62" s="176">
        <f>辅助!N24</f>
        <v>0</v>
      </c>
      <c r="B62" s="474" t="str">
        <f>IFERROR(辅助!P24&amp;CHAR(10)&amp;VLOOKUP(辅助!P24,数据库!C:G,5,0),"")</f>
        <v/>
      </c>
      <c r="C62" s="474"/>
      <c r="D62" s="474"/>
      <c r="E62" s="309" t="str">
        <f t="shared" si="3"/>
        <v/>
      </c>
      <c r="F62" s="475" t="str">
        <f>IFERROR(IF($E$15="USA",VLOOKUP(辅助!R24,数据库!D:E,2,0),辅助!R24),"")</f>
        <v/>
      </c>
      <c r="G62" s="475"/>
      <c r="H62" s="275">
        <f t="shared" si="4"/>
        <v>0</v>
      </c>
      <c r="I62" s="177">
        <f>辅助!O24</f>
        <v>0</v>
      </c>
    </row>
    <row r="63" spans="1:14" s="44" customFormat="1" ht="30" customHeight="1">
      <c r="A63" s="176">
        <f>辅助!N25</f>
        <v>0</v>
      </c>
      <c r="B63" s="474" t="str">
        <f>IFERROR(辅助!P25&amp;CHAR(10)&amp;VLOOKUP(辅助!P25,数据库!C:G,5,0),"")</f>
        <v/>
      </c>
      <c r="C63" s="474"/>
      <c r="D63" s="474"/>
      <c r="E63" s="309" t="str">
        <f t="shared" si="3"/>
        <v/>
      </c>
      <c r="F63" s="475" t="str">
        <f>IFERROR(IF($E$15="USA",VLOOKUP(辅助!R25,数据库!D:E,2,0),辅助!R25),"")</f>
        <v/>
      </c>
      <c r="G63" s="475"/>
      <c r="H63" s="275">
        <f t="shared" si="4"/>
        <v>0</v>
      </c>
      <c r="I63" s="177">
        <f>辅助!O25</f>
        <v>0</v>
      </c>
    </row>
    <row r="64" spans="1:14" s="44" customFormat="1" ht="37.5" customHeight="1" thickBot="1">
      <c r="A64" s="176"/>
      <c r="B64" s="510" t="str">
        <f>IF(COUNTIF(辅助!N:N,"&gt;0")&lt;=24,"Total Net Weight（g）:   "&amp;SUM(辅助!N2:N999)," ")&amp;CHAR(10)&amp;IF(COUNTIF(辅助!N:N,"&gt;0")&lt;=24,"Gross Weight(kg):   "&amp;发货清单!Y2," ")</f>
        <v>Total Net Weight（g）:   3266
Gross Weight(kg):   10</v>
      </c>
      <c r="C64" s="511"/>
      <c r="D64" s="512"/>
      <c r="E64" s="66"/>
      <c r="F64" s="475"/>
      <c r="G64" s="475"/>
      <c r="H64" s="278" t="str">
        <f>IF(COUNTIF(辅助!O:O,"&gt;0")&lt;=24,"TOTAL:"," ")</f>
        <v>TOTAL:</v>
      </c>
      <c r="I64" s="274">
        <f>IF(COUNTIF(辅助!O:O,"&gt;0")&lt;=24,SUM(辅助!O:O)," ")</f>
        <v>3532.9</v>
      </c>
    </row>
    <row r="65" spans="1:10" ht="15.75">
      <c r="A65" s="169" t="s">
        <v>31</v>
      </c>
      <c r="B65" s="170"/>
      <c r="C65" s="170"/>
      <c r="D65" s="171"/>
      <c r="E65" s="41"/>
      <c r="F65" s="484"/>
      <c r="G65" s="484"/>
      <c r="H65" s="484"/>
      <c r="I65" s="485"/>
    </row>
    <row r="66" spans="1:10" ht="15" customHeight="1">
      <c r="A66" s="486" t="str">
        <f>A31</f>
        <v>I certify that all chemicals in this shipment are not subject to TSCA.</v>
      </c>
      <c r="B66" s="487"/>
      <c r="C66" s="488"/>
      <c r="D66" s="39"/>
      <c r="E66" s="492" t="s">
        <v>73</v>
      </c>
      <c r="F66" s="493"/>
      <c r="G66" s="493"/>
      <c r="H66" s="493"/>
      <c r="I66" s="494"/>
    </row>
    <row r="67" spans="1:10" ht="12.75" customHeight="1" thickBot="1">
      <c r="A67" s="489"/>
      <c r="B67" s="490"/>
      <c r="C67" s="491"/>
      <c r="D67" s="39"/>
      <c r="E67" s="495"/>
      <c r="F67" s="496"/>
      <c r="G67" s="496"/>
      <c r="H67" s="496"/>
      <c r="I67" s="497"/>
    </row>
    <row r="68" spans="1:10" ht="16.5" customHeight="1" thickBot="1">
      <c r="A68" s="498" t="s">
        <v>525</v>
      </c>
      <c r="B68" s="499"/>
      <c r="C68" s="500"/>
      <c r="D68" s="39"/>
      <c r="E68" s="42" t="s">
        <v>71</v>
      </c>
      <c r="F68" s="402"/>
      <c r="G68" s="507" t="str">
        <f>G33</f>
        <v>2786337676</v>
      </c>
      <c r="H68" s="508"/>
      <c r="I68" s="509"/>
    </row>
    <row r="69" spans="1:10" ht="32.25" customHeight="1" thickBot="1">
      <c r="A69" s="501"/>
      <c r="B69" s="502"/>
      <c r="C69" s="503"/>
      <c r="D69" s="39"/>
      <c r="E69" s="42" t="s">
        <v>34</v>
      </c>
      <c r="F69" s="402"/>
      <c r="G69" s="43"/>
      <c r="H69" s="43"/>
      <c r="I69" s="172"/>
    </row>
    <row r="70" spans="1:10" ht="15" thickBot="1">
      <c r="A70" s="504"/>
      <c r="B70" s="505"/>
      <c r="C70" s="506"/>
      <c r="D70" s="43"/>
      <c r="E70" s="43"/>
      <c r="F70" s="403"/>
      <c r="G70" s="43"/>
      <c r="H70" s="43"/>
      <c r="I70" s="172"/>
    </row>
    <row r="71" spans="1:10" ht="17.25" customHeight="1">
      <c r="A71" s="17"/>
      <c r="B71" s="17"/>
      <c r="C71" s="17"/>
      <c r="D71" s="17"/>
      <c r="E71" s="310" t="str">
        <f>"page 2/"&amp;IF(COUNTIF(辅助!K:K,"&gt;0")&lt;25,2,3)</f>
        <v>page 2/2</v>
      </c>
      <c r="F71" s="397"/>
      <c r="G71" s="17"/>
      <c r="H71" s="17"/>
      <c r="I71" s="17"/>
    </row>
    <row r="72" spans="1:10" ht="22.5">
      <c r="A72" s="470" t="s">
        <v>44</v>
      </c>
      <c r="B72" s="470"/>
      <c r="C72" s="470"/>
      <c r="D72" s="470"/>
      <c r="E72" s="470"/>
      <c r="F72" s="470"/>
      <c r="G72" s="470"/>
      <c r="H72" s="470"/>
      <c r="I72" s="470"/>
    </row>
    <row r="73" spans="1:10" ht="3.75" customHeight="1">
      <c r="A73" s="17"/>
      <c r="B73" s="17"/>
      <c r="C73" s="17"/>
      <c r="D73" s="17"/>
      <c r="E73" s="17"/>
      <c r="F73" s="397"/>
      <c r="G73" s="17"/>
      <c r="H73" s="34"/>
      <c r="I73" s="48"/>
    </row>
    <row r="74" spans="1:10" ht="3.75" customHeight="1">
      <c r="A74" s="17"/>
      <c r="B74" s="17"/>
      <c r="C74" s="17"/>
      <c r="D74" s="17"/>
      <c r="E74" s="17"/>
      <c r="F74" s="397"/>
      <c r="G74" s="17"/>
      <c r="H74" s="17"/>
      <c r="I74" s="17"/>
    </row>
    <row r="75" spans="1:10" ht="15.75">
      <c r="A75" s="35" t="s">
        <v>43</v>
      </c>
      <c r="B75" s="36"/>
      <c r="C75" s="36"/>
      <c r="D75" s="37"/>
      <c r="E75" s="61"/>
      <c r="F75" s="398" t="s">
        <v>42</v>
      </c>
      <c r="G75" s="71"/>
      <c r="H75" s="36"/>
      <c r="I75" s="37"/>
    </row>
    <row r="76" spans="1:10" ht="15.75">
      <c r="A76" s="103" t="s">
        <v>75</v>
      </c>
      <c r="B76" s="58"/>
      <c r="C76" s="58"/>
      <c r="D76" s="59"/>
      <c r="E76" s="58"/>
      <c r="F76" s="399" t="str">
        <f>F41</f>
        <v xml:space="preserve"> Fluorochem Limited</v>
      </c>
      <c r="G76" s="192"/>
      <c r="H76" s="15"/>
      <c r="I76" s="38"/>
    </row>
    <row r="77" spans="1:10" ht="15" customHeight="1">
      <c r="A77" s="104" t="s">
        <v>527</v>
      </c>
      <c r="B77" s="60"/>
      <c r="C77" s="60"/>
      <c r="D77" s="59"/>
      <c r="E77" s="61"/>
      <c r="F77" s="404" t="str">
        <f>F42</f>
        <v>Unit 14 Graphite Way</v>
      </c>
      <c r="G77" s="7"/>
      <c r="H77" s="39"/>
      <c r="I77" s="38"/>
      <c r="J77" s="16"/>
    </row>
    <row r="78" spans="1:10" ht="15" customHeight="1">
      <c r="A78" s="104" t="s">
        <v>529</v>
      </c>
      <c r="B78" s="60"/>
      <c r="C78" s="60"/>
      <c r="D78" s="59"/>
      <c r="E78" s="61"/>
      <c r="F78" s="404" t="str">
        <f>F43</f>
        <v>Hadfield  Derbyshire</v>
      </c>
      <c r="G78" s="7"/>
      <c r="H78" s="39"/>
      <c r="I78" s="38"/>
      <c r="J78" s="16"/>
    </row>
    <row r="79" spans="1:10" ht="15" customHeight="1">
      <c r="A79" s="105" t="s">
        <v>232</v>
      </c>
      <c r="B79" s="60"/>
      <c r="C79" s="60"/>
      <c r="D79" s="59"/>
      <c r="E79" s="61"/>
      <c r="F79" s="404" t="str">
        <f>F44</f>
        <v>SK13 1QH UK</v>
      </c>
      <c r="G79" s="193"/>
      <c r="H79" s="39"/>
      <c r="I79" s="38"/>
      <c r="J79" s="14"/>
    </row>
    <row r="80" spans="1:10" ht="15">
      <c r="A80" s="106" t="s">
        <v>233</v>
      </c>
      <c r="B80" s="62"/>
      <c r="C80" s="62"/>
      <c r="D80" s="63"/>
      <c r="E80" s="61"/>
      <c r="F80" s="405" t="str">
        <f>F45</f>
        <v>TEL:4401457860111</v>
      </c>
      <c r="G80" s="6"/>
      <c r="H80" s="18"/>
      <c r="I80" s="40"/>
      <c r="J80" s="14"/>
    </row>
    <row r="81" spans="1:14" ht="3.75" customHeight="1">
      <c r="A81" s="17"/>
      <c r="B81" s="17"/>
      <c r="C81" s="17"/>
      <c r="D81" s="17"/>
      <c r="E81" s="17"/>
      <c r="F81" s="397"/>
      <c r="G81" s="17"/>
      <c r="H81" s="17"/>
      <c r="I81" s="17"/>
      <c r="J81" s="14"/>
    </row>
    <row r="82" spans="1:14" s="68" customFormat="1">
      <c r="A82" s="471" t="s">
        <v>17</v>
      </c>
      <c r="B82" s="472"/>
      <c r="C82" s="67" t="s">
        <v>632</v>
      </c>
      <c r="D82" s="263" t="s">
        <v>369</v>
      </c>
      <c r="E82" s="67" t="s">
        <v>21</v>
      </c>
      <c r="F82" s="400" t="s">
        <v>19</v>
      </c>
      <c r="G82" s="276" t="s">
        <v>20</v>
      </c>
      <c r="H82" s="471" t="s">
        <v>30</v>
      </c>
      <c r="I82" s="472"/>
    </row>
    <row r="83" spans="1:14" s="68" customFormat="1" ht="12.75">
      <c r="A83" s="471"/>
      <c r="B83" s="472"/>
      <c r="C83" s="67" t="str">
        <f>C48</f>
        <v>P100426</v>
      </c>
      <c r="D83" s="67"/>
      <c r="E83" s="67"/>
      <c r="F83" s="401" t="s">
        <v>38</v>
      </c>
      <c r="G83" s="67"/>
      <c r="H83" s="471" t="s">
        <v>386</v>
      </c>
      <c r="I83" s="472"/>
      <c r="J83" s="30"/>
    </row>
    <row r="84" spans="1:14" s="68" customFormat="1" ht="12.75">
      <c r="A84" s="471" t="s">
        <v>22</v>
      </c>
      <c r="B84" s="473"/>
      <c r="C84" s="472"/>
      <c r="D84" s="263" t="s">
        <v>70</v>
      </c>
      <c r="E84" s="471" t="s">
        <v>23</v>
      </c>
      <c r="F84" s="472"/>
      <c r="G84" s="277" t="s">
        <v>29</v>
      </c>
      <c r="H84" s="471" t="s">
        <v>18</v>
      </c>
      <c r="I84" s="472"/>
      <c r="J84" s="30"/>
    </row>
    <row r="85" spans="1:14" s="28" customFormat="1" ht="15.75">
      <c r="A85" s="476" t="s">
        <v>39</v>
      </c>
      <c r="B85" s="477"/>
      <c r="C85" s="478"/>
      <c r="D85" s="27"/>
      <c r="E85" s="476" t="str">
        <f>E50</f>
        <v>UK</v>
      </c>
      <c r="F85" s="478"/>
      <c r="G85" s="79">
        <f ca="1">TODAY()</f>
        <v>43839</v>
      </c>
      <c r="H85" s="479" t="str">
        <f>发货清单!$AA$2</f>
        <v>20200109-607</v>
      </c>
      <c r="I85" s="480"/>
      <c r="J85" s="30"/>
    </row>
    <row r="86" spans="1:14" s="26" customFormat="1" ht="23.25" customHeight="1">
      <c r="A86" s="66" t="s">
        <v>24</v>
      </c>
      <c r="B86" s="481" t="s">
        <v>25</v>
      </c>
      <c r="C86" s="482"/>
      <c r="D86" s="483"/>
      <c r="E86" s="55" t="s">
        <v>28</v>
      </c>
      <c r="F86" s="482" t="str">
        <f>F16</f>
        <v>HS code</v>
      </c>
      <c r="G86" s="483"/>
      <c r="H86" s="444" t="s">
        <v>26</v>
      </c>
      <c r="I86" s="444" t="s">
        <v>27</v>
      </c>
      <c r="N86" s="47"/>
    </row>
    <row r="87" spans="1:14" s="44" customFormat="1" ht="30" customHeight="1">
      <c r="A87" s="176">
        <f>辅助!N26</f>
        <v>0</v>
      </c>
      <c r="B87" s="474" t="str">
        <f>IFERROR(辅助!P26&amp;CHAR(10)&amp;VLOOKUP(辅助!P26,数据库!C:G,5,0),"")</f>
        <v/>
      </c>
      <c r="C87" s="474"/>
      <c r="D87" s="474"/>
      <c r="E87" s="309" t="str">
        <f t="shared" ref="E87:E98" si="5">IF(A87=0,"","Glass/Plastic bottle")</f>
        <v/>
      </c>
      <c r="F87" s="475" t="str">
        <f>IFERROR(IF($E$15="USA",VLOOKUP(辅助!R26,数据库!D:E,2,0),辅助!R26),"")</f>
        <v/>
      </c>
      <c r="G87" s="475"/>
      <c r="H87" s="275">
        <f>IF(A87=0,0,I87/A87)</f>
        <v>0</v>
      </c>
      <c r="I87" s="177">
        <f>辅助!O26</f>
        <v>0</v>
      </c>
    </row>
    <row r="88" spans="1:14" s="44" customFormat="1" ht="30" customHeight="1">
      <c r="A88" s="176">
        <f>辅助!N27</f>
        <v>0</v>
      </c>
      <c r="B88" s="474" t="str">
        <f>IFERROR(辅助!P27&amp;CHAR(10)&amp;VLOOKUP(辅助!P27,数据库!C:G,5,0),"")</f>
        <v/>
      </c>
      <c r="C88" s="474"/>
      <c r="D88" s="474"/>
      <c r="E88" s="309" t="str">
        <f t="shared" si="5"/>
        <v/>
      </c>
      <c r="F88" s="475" t="str">
        <f>IFERROR(IF($E$15="USA",VLOOKUP(辅助!R27,数据库!D:E,2,0),辅助!R27),"")</f>
        <v/>
      </c>
      <c r="G88" s="475"/>
      <c r="H88" s="275">
        <f>IF(A88=0,0,I88/A88)</f>
        <v>0</v>
      </c>
      <c r="I88" s="177">
        <f>辅助!O27</f>
        <v>0</v>
      </c>
    </row>
    <row r="89" spans="1:14" s="44" customFormat="1" ht="30" customHeight="1">
      <c r="A89" s="176">
        <f>辅助!N28</f>
        <v>0</v>
      </c>
      <c r="B89" s="474" t="str">
        <f>IFERROR(辅助!P28&amp;CHAR(10)&amp;VLOOKUP(辅助!P28,数据库!C:G,5,0),"")</f>
        <v/>
      </c>
      <c r="C89" s="474"/>
      <c r="D89" s="474"/>
      <c r="E89" s="309" t="str">
        <f t="shared" si="5"/>
        <v/>
      </c>
      <c r="F89" s="475" t="str">
        <f>IFERROR(IF($E$15="USA",VLOOKUP(辅助!R28,数据库!D:E,2,0),辅助!R28),"")</f>
        <v/>
      </c>
      <c r="G89" s="475"/>
      <c r="H89" s="275">
        <f t="shared" ref="H89:H98" si="6">IF(A89=0,0,I89/A89)</f>
        <v>0</v>
      </c>
      <c r="I89" s="177">
        <f>辅助!O28</f>
        <v>0</v>
      </c>
    </row>
    <row r="90" spans="1:14" s="44" customFormat="1" ht="30" customHeight="1">
      <c r="A90" s="176">
        <f>辅助!N29</f>
        <v>0</v>
      </c>
      <c r="B90" s="474" t="str">
        <f>IFERROR(辅助!P29&amp;CHAR(10)&amp;VLOOKUP(辅助!P29,数据库!C:G,5,0),"")</f>
        <v/>
      </c>
      <c r="C90" s="474"/>
      <c r="D90" s="474"/>
      <c r="E90" s="309" t="str">
        <f t="shared" si="5"/>
        <v/>
      </c>
      <c r="F90" s="475" t="str">
        <f>IFERROR(IF($E$15="USA",VLOOKUP(辅助!R29,数据库!D:E,2,0),辅助!R29),"")</f>
        <v/>
      </c>
      <c r="G90" s="475"/>
      <c r="H90" s="275">
        <f t="shared" si="6"/>
        <v>0</v>
      </c>
      <c r="I90" s="177">
        <f>辅助!O29</f>
        <v>0</v>
      </c>
    </row>
    <row r="91" spans="1:14" s="44" customFormat="1" ht="30" customHeight="1">
      <c r="A91" s="176">
        <f>辅助!N30</f>
        <v>0</v>
      </c>
      <c r="B91" s="474" t="str">
        <f>IFERROR(辅助!P30&amp;CHAR(10)&amp;VLOOKUP(辅助!P30,数据库!C:G,5,0),"")</f>
        <v/>
      </c>
      <c r="C91" s="474"/>
      <c r="D91" s="474"/>
      <c r="E91" s="309" t="str">
        <f t="shared" si="5"/>
        <v/>
      </c>
      <c r="F91" s="475" t="str">
        <f>IFERROR(IF($E$15="USA",VLOOKUP(辅助!R30,数据库!D:E,2,0),辅助!R30),"")</f>
        <v/>
      </c>
      <c r="G91" s="475"/>
      <c r="H91" s="275">
        <f t="shared" si="6"/>
        <v>0</v>
      </c>
      <c r="I91" s="177">
        <f>辅助!O30</f>
        <v>0</v>
      </c>
    </row>
    <row r="92" spans="1:14" s="44" customFormat="1" ht="30" customHeight="1">
      <c r="A92" s="176">
        <f>辅助!N31</f>
        <v>0</v>
      </c>
      <c r="B92" s="474" t="str">
        <f>IFERROR(辅助!P31&amp;CHAR(10)&amp;VLOOKUP(辅助!P31,数据库!C:G,5,0),"")</f>
        <v/>
      </c>
      <c r="C92" s="474"/>
      <c r="D92" s="474"/>
      <c r="E92" s="309" t="str">
        <f t="shared" si="5"/>
        <v/>
      </c>
      <c r="F92" s="475" t="str">
        <f>IFERROR(IF($E$15="USA",VLOOKUP(辅助!R31,数据库!D:E,2,0),辅助!R31),"")</f>
        <v/>
      </c>
      <c r="G92" s="475"/>
      <c r="H92" s="275">
        <f t="shared" si="6"/>
        <v>0</v>
      </c>
      <c r="I92" s="177">
        <f>辅助!O31</f>
        <v>0</v>
      </c>
    </row>
    <row r="93" spans="1:14" s="44" customFormat="1" ht="30" customHeight="1">
      <c r="A93" s="176">
        <f>辅助!N32</f>
        <v>0</v>
      </c>
      <c r="B93" s="474" t="str">
        <f>IFERROR(辅助!P32&amp;CHAR(10)&amp;VLOOKUP(辅助!P32,数据库!C:G,5,0),"")</f>
        <v/>
      </c>
      <c r="C93" s="474"/>
      <c r="D93" s="474"/>
      <c r="E93" s="309" t="str">
        <f t="shared" si="5"/>
        <v/>
      </c>
      <c r="F93" s="475" t="str">
        <f>IFERROR(IF($E$15="USA",VLOOKUP(辅助!R32,数据库!D:E,2,0),辅助!R32),"")</f>
        <v/>
      </c>
      <c r="G93" s="475"/>
      <c r="H93" s="275">
        <f t="shared" si="6"/>
        <v>0</v>
      </c>
      <c r="I93" s="177">
        <f>辅助!O32</f>
        <v>0</v>
      </c>
    </row>
    <row r="94" spans="1:14" s="44" customFormat="1" ht="30" customHeight="1">
      <c r="A94" s="176">
        <f>辅助!N33</f>
        <v>0</v>
      </c>
      <c r="B94" s="474" t="str">
        <f>IFERROR(辅助!P33&amp;CHAR(10)&amp;VLOOKUP(辅助!P33,数据库!C:G,5,0),"")</f>
        <v/>
      </c>
      <c r="C94" s="474"/>
      <c r="D94" s="474"/>
      <c r="E94" s="309" t="str">
        <f t="shared" si="5"/>
        <v/>
      </c>
      <c r="F94" s="475" t="str">
        <f>IFERROR(IF($E$15="USA",VLOOKUP(辅助!R33,数据库!D:E,2,0),辅助!R33),"")</f>
        <v/>
      </c>
      <c r="G94" s="475"/>
      <c r="H94" s="275">
        <f t="shared" si="6"/>
        <v>0</v>
      </c>
      <c r="I94" s="177">
        <f>辅助!O33</f>
        <v>0</v>
      </c>
    </row>
    <row r="95" spans="1:14" s="44" customFormat="1" ht="30" customHeight="1">
      <c r="A95" s="176">
        <f>辅助!N34</f>
        <v>0</v>
      </c>
      <c r="B95" s="474" t="str">
        <f>IFERROR(辅助!P34&amp;CHAR(10)&amp;VLOOKUP(辅助!P34,数据库!C:G,5,0),"")</f>
        <v/>
      </c>
      <c r="C95" s="474"/>
      <c r="D95" s="474"/>
      <c r="E95" s="309" t="str">
        <f t="shared" si="5"/>
        <v/>
      </c>
      <c r="F95" s="475" t="str">
        <f>IFERROR(IF($E$15="USA",VLOOKUP(辅助!R34,数据库!D:E,2,0),辅助!R34),"")</f>
        <v/>
      </c>
      <c r="G95" s="475"/>
      <c r="H95" s="275">
        <f t="shared" si="6"/>
        <v>0</v>
      </c>
      <c r="I95" s="177">
        <f>辅助!O34</f>
        <v>0</v>
      </c>
    </row>
    <row r="96" spans="1:14" s="44" customFormat="1" ht="30" customHeight="1">
      <c r="A96" s="176">
        <f>辅助!N35</f>
        <v>0</v>
      </c>
      <c r="B96" s="474" t="str">
        <f>IFERROR(辅助!P35&amp;CHAR(10)&amp;VLOOKUP(辅助!P35,数据库!C:G,5,0),"")</f>
        <v/>
      </c>
      <c r="C96" s="474"/>
      <c r="D96" s="474"/>
      <c r="E96" s="309" t="str">
        <f t="shared" si="5"/>
        <v/>
      </c>
      <c r="F96" s="475" t="str">
        <f>IFERROR(IF($E$15="USA",VLOOKUP(辅助!R35,数据库!D:E,2,0),辅助!R35),"")</f>
        <v/>
      </c>
      <c r="G96" s="475"/>
      <c r="H96" s="275">
        <f t="shared" si="6"/>
        <v>0</v>
      </c>
      <c r="I96" s="177">
        <f>辅助!O35</f>
        <v>0</v>
      </c>
    </row>
    <row r="97" spans="1:9" s="44" customFormat="1" ht="30" customHeight="1">
      <c r="A97" s="176">
        <f>辅助!N36</f>
        <v>0</v>
      </c>
      <c r="B97" s="474" t="str">
        <f>IFERROR(辅助!P36&amp;CHAR(10)&amp;VLOOKUP(辅助!P36,数据库!C:G,5,0),"")</f>
        <v/>
      </c>
      <c r="C97" s="474"/>
      <c r="D97" s="474"/>
      <c r="E97" s="309" t="str">
        <f t="shared" si="5"/>
        <v/>
      </c>
      <c r="F97" s="475" t="str">
        <f>IFERROR(IF($E$15="USA",VLOOKUP(辅助!R36,数据库!D:E,2,0),辅助!R36),"")</f>
        <v/>
      </c>
      <c r="G97" s="475"/>
      <c r="H97" s="275">
        <f t="shared" si="6"/>
        <v>0</v>
      </c>
      <c r="I97" s="177">
        <f>辅助!O36</f>
        <v>0</v>
      </c>
    </row>
    <row r="98" spans="1:9" s="44" customFormat="1" ht="30" customHeight="1">
      <c r="A98" s="176">
        <f>辅助!N37</f>
        <v>0</v>
      </c>
      <c r="B98" s="474" t="str">
        <f>IFERROR(辅助!P37&amp;CHAR(10)&amp;VLOOKUP(辅助!P37,数据库!C:G,5,0),"")</f>
        <v/>
      </c>
      <c r="C98" s="474"/>
      <c r="D98" s="474"/>
      <c r="E98" s="309" t="str">
        <f t="shared" si="5"/>
        <v/>
      </c>
      <c r="F98" s="475" t="str">
        <f>IFERROR(IF($E$15="USA",VLOOKUP(辅助!R37,数据库!D:E,2,0),辅助!R37),"")</f>
        <v/>
      </c>
      <c r="G98" s="475"/>
      <c r="H98" s="275">
        <f t="shared" si="6"/>
        <v>0</v>
      </c>
      <c r="I98" s="177">
        <f>辅助!O37</f>
        <v>0</v>
      </c>
    </row>
    <row r="99" spans="1:9" s="44" customFormat="1" ht="37.5" customHeight="1" thickBot="1">
      <c r="A99" s="176"/>
      <c r="B99" s="510" t="str">
        <f>IF(COUNTIF(辅助!N:N,"&gt;0")&lt;=36,"Total Net Weight（g）:   "&amp;SUM(辅助!N:N)," ")&amp;CHAR(10)&amp;IF(COUNTIF(辅助!N:N,"&gt;0")&lt;=36,"Gross Weight(kg):   "&amp;发货清单!Y2," ")</f>
        <v>Total Net Weight（g）:   3266
Gross Weight(kg):   10</v>
      </c>
      <c r="C99" s="511"/>
      <c r="D99" s="512"/>
      <c r="E99" s="66"/>
      <c r="F99" s="475"/>
      <c r="G99" s="475"/>
      <c r="H99" s="278" t="str">
        <f>IF(COUNTIF(辅助!O:O,"&gt;0")&lt;=36,"TOTAL:"," ")</f>
        <v>TOTAL:</v>
      </c>
      <c r="I99" s="274">
        <f>IF(COUNTIF(辅助!O:O,"&gt;0")&lt;=36,SUM(辅助!O:O)," ")</f>
        <v>3532.9</v>
      </c>
    </row>
    <row r="100" spans="1:9" ht="15.75">
      <c r="A100" s="169" t="s">
        <v>31</v>
      </c>
      <c r="B100" s="170"/>
      <c r="C100" s="170"/>
      <c r="D100" s="171"/>
      <c r="E100" s="41"/>
      <c r="F100" s="484"/>
      <c r="G100" s="484"/>
      <c r="H100" s="484"/>
      <c r="I100" s="485"/>
    </row>
    <row r="101" spans="1:9" ht="15" customHeight="1">
      <c r="A101" s="486" t="str">
        <f>A66</f>
        <v>I certify that all chemicals in this shipment are not subject to TSCA.</v>
      </c>
      <c r="B101" s="487"/>
      <c r="C101" s="488"/>
      <c r="D101" s="39"/>
      <c r="E101" s="492" t="s">
        <v>73</v>
      </c>
      <c r="F101" s="493"/>
      <c r="G101" s="493"/>
      <c r="H101" s="493"/>
      <c r="I101" s="494"/>
    </row>
    <row r="102" spans="1:9" ht="10.5" customHeight="1" thickBot="1">
      <c r="A102" s="489"/>
      <c r="B102" s="490"/>
      <c r="C102" s="491"/>
      <c r="D102" s="39"/>
      <c r="E102" s="495"/>
      <c r="F102" s="496"/>
      <c r="G102" s="496"/>
      <c r="H102" s="496"/>
      <c r="I102" s="497"/>
    </row>
    <row r="103" spans="1:9" ht="16.5" customHeight="1" thickBot="1">
      <c r="A103" s="498" t="s">
        <v>525</v>
      </c>
      <c r="B103" s="499"/>
      <c r="C103" s="500"/>
      <c r="D103" s="39"/>
      <c r="E103" s="42" t="s">
        <v>71</v>
      </c>
      <c r="F103" s="402"/>
      <c r="G103" s="507" t="str">
        <f>G33</f>
        <v>2786337676</v>
      </c>
      <c r="H103" s="508"/>
      <c r="I103" s="509"/>
    </row>
    <row r="104" spans="1:9" ht="32.25" customHeight="1" thickBot="1">
      <c r="A104" s="501"/>
      <c r="B104" s="502"/>
      <c r="C104" s="503"/>
      <c r="D104" s="39"/>
      <c r="E104" s="42" t="s">
        <v>34</v>
      </c>
      <c r="F104" s="402"/>
      <c r="G104" s="43"/>
      <c r="H104" s="43"/>
      <c r="I104" s="172"/>
    </row>
    <row r="105" spans="1:9" ht="15" thickBot="1">
      <c r="A105" s="504"/>
      <c r="B105" s="505"/>
      <c r="C105" s="506"/>
      <c r="D105" s="43"/>
      <c r="E105" s="43"/>
      <c r="F105" s="403"/>
      <c r="G105" s="43"/>
      <c r="H105" s="43"/>
      <c r="I105" s="172"/>
    </row>
    <row r="106" spans="1:9">
      <c r="E106" s="19" t="s">
        <v>568</v>
      </c>
    </row>
  </sheetData>
  <mergeCells count="135">
    <mergeCell ref="A2:I2"/>
    <mergeCell ref="A12:B12"/>
    <mergeCell ref="H12:I12"/>
    <mergeCell ref="A13:B13"/>
    <mergeCell ref="H13:I13"/>
    <mergeCell ref="A14:C14"/>
    <mergeCell ref="E14:F14"/>
    <mergeCell ref="H14:I14"/>
    <mergeCell ref="B18:D18"/>
    <mergeCell ref="F18:G18"/>
    <mergeCell ref="B19:D19"/>
    <mergeCell ref="F19:G19"/>
    <mergeCell ref="B20:D20"/>
    <mergeCell ref="F20:G20"/>
    <mergeCell ref="A15:C15"/>
    <mergeCell ref="E15:F15"/>
    <mergeCell ref="H15:I15"/>
    <mergeCell ref="B16:D16"/>
    <mergeCell ref="F16:G16"/>
    <mergeCell ref="B17:D17"/>
    <mergeCell ref="F17:G17"/>
    <mergeCell ref="B24:D24"/>
    <mergeCell ref="F24:G24"/>
    <mergeCell ref="B25:D25"/>
    <mergeCell ref="F25:G25"/>
    <mergeCell ref="B26:D26"/>
    <mergeCell ref="F26:G26"/>
    <mergeCell ref="B21:D21"/>
    <mergeCell ref="F21:G21"/>
    <mergeCell ref="B22:D22"/>
    <mergeCell ref="F22:G22"/>
    <mergeCell ref="B23:D23"/>
    <mergeCell ref="F23:G23"/>
    <mergeCell ref="F30:I30"/>
    <mergeCell ref="A31:C32"/>
    <mergeCell ref="E31:I31"/>
    <mergeCell ref="E32:I32"/>
    <mergeCell ref="A33:C35"/>
    <mergeCell ref="G33:I33"/>
    <mergeCell ref="B27:D27"/>
    <mergeCell ref="F27:G27"/>
    <mergeCell ref="B28:D28"/>
    <mergeCell ref="F28:G28"/>
    <mergeCell ref="B29:D29"/>
    <mergeCell ref="F29:G29"/>
    <mergeCell ref="A50:C50"/>
    <mergeCell ref="E50:F50"/>
    <mergeCell ref="H50:I50"/>
    <mergeCell ref="B51:D51"/>
    <mergeCell ref="F51:G51"/>
    <mergeCell ref="B52:D52"/>
    <mergeCell ref="F52:G52"/>
    <mergeCell ref="A37:I37"/>
    <mergeCell ref="A47:B47"/>
    <mergeCell ref="H47:I47"/>
    <mergeCell ref="A48:B48"/>
    <mergeCell ref="H48:I48"/>
    <mergeCell ref="A49:C49"/>
    <mergeCell ref="E49:F49"/>
    <mergeCell ref="H49:I49"/>
    <mergeCell ref="B56:D56"/>
    <mergeCell ref="F56:G56"/>
    <mergeCell ref="B57:D57"/>
    <mergeCell ref="F57:G57"/>
    <mergeCell ref="B58:D58"/>
    <mergeCell ref="F58:G58"/>
    <mergeCell ref="B53:D53"/>
    <mergeCell ref="F53:G53"/>
    <mergeCell ref="B54:D54"/>
    <mergeCell ref="F54:G54"/>
    <mergeCell ref="B55:D55"/>
    <mergeCell ref="F55:G55"/>
    <mergeCell ref="B62:D62"/>
    <mergeCell ref="F62:G62"/>
    <mergeCell ref="B63:D63"/>
    <mergeCell ref="F63:G63"/>
    <mergeCell ref="B64:D64"/>
    <mergeCell ref="F64:G64"/>
    <mergeCell ref="B59:D59"/>
    <mergeCell ref="F59:G59"/>
    <mergeCell ref="B60:D60"/>
    <mergeCell ref="F60:G60"/>
    <mergeCell ref="B61:D61"/>
    <mergeCell ref="F61:G61"/>
    <mergeCell ref="A72:I72"/>
    <mergeCell ref="A82:B82"/>
    <mergeCell ref="H82:I82"/>
    <mergeCell ref="A83:B83"/>
    <mergeCell ref="H83:I83"/>
    <mergeCell ref="A84:C84"/>
    <mergeCell ref="E84:F84"/>
    <mergeCell ref="H84:I84"/>
    <mergeCell ref="F65:I65"/>
    <mergeCell ref="A66:C67"/>
    <mergeCell ref="E66:I66"/>
    <mergeCell ref="E67:I67"/>
    <mergeCell ref="A68:C70"/>
    <mergeCell ref="G68:I68"/>
    <mergeCell ref="B88:D88"/>
    <mergeCell ref="F88:G88"/>
    <mergeCell ref="B89:D89"/>
    <mergeCell ref="F89:G89"/>
    <mergeCell ref="B90:D90"/>
    <mergeCell ref="F90:G90"/>
    <mergeCell ref="A85:C85"/>
    <mergeCell ref="E85:F85"/>
    <mergeCell ref="H85:I85"/>
    <mergeCell ref="B86:D86"/>
    <mergeCell ref="F86:G86"/>
    <mergeCell ref="B87:D87"/>
    <mergeCell ref="F87:G87"/>
    <mergeCell ref="B94:D94"/>
    <mergeCell ref="F94:G94"/>
    <mergeCell ref="B95:D95"/>
    <mergeCell ref="F95:G95"/>
    <mergeCell ref="B96:D96"/>
    <mergeCell ref="F96:G96"/>
    <mergeCell ref="B91:D91"/>
    <mergeCell ref="F91:G91"/>
    <mergeCell ref="B92:D92"/>
    <mergeCell ref="F92:G92"/>
    <mergeCell ref="B93:D93"/>
    <mergeCell ref="F93:G93"/>
    <mergeCell ref="F100:I100"/>
    <mergeCell ref="A101:C102"/>
    <mergeCell ref="E101:I101"/>
    <mergeCell ref="E102:I102"/>
    <mergeCell ref="A103:C105"/>
    <mergeCell ref="G103:I103"/>
    <mergeCell ref="B97:D97"/>
    <mergeCell ref="F97:G97"/>
    <mergeCell ref="B98:D98"/>
    <mergeCell ref="F98:G98"/>
    <mergeCell ref="B99:D99"/>
    <mergeCell ref="F99:G99"/>
  </mergeCells>
  <phoneticPr fontId="1" type="noConversion"/>
  <conditionalFormatting sqref="H17:I29 A17:B29 E17:F29">
    <cfRule type="cellIs" dxfId="136" priority="9" operator="equal">
      <formula>0</formula>
    </cfRule>
  </conditionalFormatting>
  <conditionalFormatting sqref="E64:F64 H52:I64 A52:B64 F52:F63">
    <cfRule type="cellIs" dxfId="135" priority="8" operator="equal">
      <formula>0</formula>
    </cfRule>
  </conditionalFormatting>
  <conditionalFormatting sqref="E99:F99 A87:B99 H87:I99 F87:F98">
    <cfRule type="cellIs" dxfId="134" priority="7" operator="equal">
      <formula>0</formula>
    </cfRule>
  </conditionalFormatting>
  <conditionalFormatting sqref="F80">
    <cfRule type="cellIs" dxfId="133" priority="6" operator="equal">
      <formula>0</formula>
    </cfRule>
  </conditionalFormatting>
  <conditionalFormatting sqref="E52:E63">
    <cfRule type="cellIs" dxfId="132" priority="5" operator="equal">
      <formula>0</formula>
    </cfRule>
  </conditionalFormatting>
  <conditionalFormatting sqref="E87:E98">
    <cfRule type="cellIs" dxfId="131" priority="4" operator="equal">
      <formula>0</formula>
    </cfRule>
  </conditionalFormatting>
  <conditionalFormatting sqref="A72:XFD106">
    <cfRule type="expression" dxfId="130" priority="3">
      <formula>$A$87=0</formula>
    </cfRule>
  </conditionalFormatting>
  <conditionalFormatting sqref="A37:XFD41 A42:E45 G42:XFD45 A46:XFD71">
    <cfRule type="expression" dxfId="129" priority="2">
      <formula>$A$52=0</formula>
    </cfRule>
  </conditionalFormatting>
  <conditionalFormatting sqref="F42:F45">
    <cfRule type="expression" dxfId="128" priority="1">
      <formula>$A$52=0</formula>
    </cfRule>
  </conditionalFormatting>
  <dataValidations count="2">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2 E67 E10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1 A66 A101"/>
  </dataValidations>
  <hyperlinks>
    <hyperlink ref="A10" r:id="rId1"/>
    <hyperlink ref="A45" r:id="rId2"/>
    <hyperlink ref="A80" r:id="rId3"/>
  </hyperlinks>
  <pageMargins left="0.19685039370078741" right="0" top="0.51181102362204722" bottom="0.74803149606299213" header="0.31496062992125984" footer="0.31496062992125984"/>
  <pageSetup paperSize="9" orientation="portrait" horizontalDpi="4294967295" verticalDpi="4294967295"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N106"/>
  <sheetViews>
    <sheetView workbookViewId="0">
      <selection activeCell="L24" sqref="L24"/>
    </sheetView>
  </sheetViews>
  <sheetFormatPr defaultRowHeight="14.25"/>
  <cols>
    <col min="1" max="1" width="5.25" customWidth="1"/>
    <col min="2" max="2" width="6.5" customWidth="1"/>
    <col min="3" max="3" width="26.125" customWidth="1"/>
    <col min="4" max="4" width="8.625" customWidth="1"/>
    <col min="5" max="5" width="8.5" customWidth="1"/>
    <col min="6" max="6" width="6" style="406" customWidth="1"/>
    <col min="7" max="7" width="7.5" customWidth="1"/>
    <col min="8" max="8" width="10.875" customWidth="1"/>
    <col min="9" max="9" width="13.5" customWidth="1"/>
    <col min="12" max="12" width="39.5" customWidth="1"/>
  </cols>
  <sheetData>
    <row r="1" spans="1:14" ht="4.5" customHeight="1">
      <c r="A1" s="17"/>
      <c r="B1" s="17"/>
      <c r="C1" s="17"/>
      <c r="D1" s="17"/>
      <c r="E1" s="17"/>
      <c r="F1" s="397"/>
      <c r="G1" s="17"/>
      <c r="H1" s="17"/>
      <c r="I1" s="17"/>
    </row>
    <row r="2" spans="1:14" ht="22.5">
      <c r="A2" s="470" t="s">
        <v>1206</v>
      </c>
      <c r="B2" s="470"/>
      <c r="C2" s="470"/>
      <c r="D2" s="470"/>
      <c r="E2" s="470"/>
      <c r="F2" s="470"/>
      <c r="G2" s="470"/>
      <c r="H2" s="470"/>
      <c r="I2" s="470"/>
    </row>
    <row r="3" spans="1:14" ht="3.75" customHeight="1">
      <c r="A3" s="17"/>
      <c r="B3" s="17"/>
      <c r="C3" s="17"/>
      <c r="D3" s="17"/>
      <c r="E3" s="17"/>
      <c r="F3" s="397"/>
      <c r="G3" s="17"/>
      <c r="H3" s="34"/>
      <c r="I3" s="48"/>
    </row>
    <row r="4" spans="1:14" ht="3.75" customHeight="1">
      <c r="A4" s="17"/>
      <c r="B4" s="17"/>
      <c r="C4" s="17"/>
      <c r="D4" s="17"/>
      <c r="E4" s="17"/>
      <c r="F4" s="397"/>
      <c r="G4" s="17"/>
      <c r="H4" s="17"/>
      <c r="I4" s="17"/>
    </row>
    <row r="5" spans="1:14" ht="15.75">
      <c r="A5" s="35" t="s">
        <v>43</v>
      </c>
      <c r="B5" s="36"/>
      <c r="C5" s="36"/>
      <c r="D5" s="37"/>
      <c r="E5" s="61"/>
      <c r="F5" s="398" t="s">
        <v>42</v>
      </c>
      <c r="G5" s="71"/>
      <c r="H5" s="36"/>
      <c r="I5" s="37"/>
    </row>
    <row r="6" spans="1:14" ht="15.75">
      <c r="A6" s="103" t="s">
        <v>229</v>
      </c>
      <c r="B6" s="58"/>
      <c r="C6" s="58"/>
      <c r="D6" s="59"/>
      <c r="E6" s="58"/>
      <c r="F6" s="399" t="str">
        <f>VLOOKUP(LEFT(发货清单!$R$2,8)&amp;"-"&amp;ROW(A1),地址数据库!A:B,2,0)</f>
        <v xml:space="preserve"> Fluorochem Limited</v>
      </c>
      <c r="G6" s="422"/>
      <c r="H6" s="423"/>
      <c r="I6" s="424"/>
    </row>
    <row r="7" spans="1:14" ht="15" customHeight="1">
      <c r="A7" s="104" t="s">
        <v>527</v>
      </c>
      <c r="B7" s="60"/>
      <c r="C7" s="60"/>
      <c r="D7" s="59"/>
      <c r="E7" s="61"/>
      <c r="F7" s="432" t="str">
        <f>VLOOKUP(LEFT(发货清单!$R$2,8)&amp;"-"&amp;ROW(A2),地址数据库!A:B,2,0)</f>
        <v>Unit 14 Graphite Way</v>
      </c>
      <c r="G7" s="425"/>
      <c r="H7" s="426"/>
      <c r="I7" s="424"/>
      <c r="J7" s="16"/>
    </row>
    <row r="8" spans="1:14" ht="15" customHeight="1">
      <c r="A8" s="104" t="s">
        <v>529</v>
      </c>
      <c r="B8" s="60"/>
      <c r="C8" s="60"/>
      <c r="D8" s="59"/>
      <c r="E8" s="61"/>
      <c r="F8" s="431" t="str">
        <f>VLOOKUP(LEFT(发货清单!$R$2,8)&amp;"-"&amp;ROW(A3),地址数据库!A:B,2,0)</f>
        <v>Hadfield  Derbyshire</v>
      </c>
      <c r="G8" s="425"/>
      <c r="H8" s="426"/>
      <c r="I8" s="424"/>
      <c r="J8" s="16"/>
    </row>
    <row r="9" spans="1:14" ht="15" customHeight="1">
      <c r="A9" s="105" t="s">
        <v>232</v>
      </c>
      <c r="B9" s="60"/>
      <c r="C9" s="60"/>
      <c r="D9" s="59"/>
      <c r="E9" s="61"/>
      <c r="F9" s="431" t="str">
        <f>VLOOKUP(LEFT(发货清单!$R$2,8)&amp;"-"&amp;ROW(A4),地址数据库!A:B,2,0)</f>
        <v>SK13 1QH UK</v>
      </c>
      <c r="G9" s="427"/>
      <c r="H9" s="426"/>
      <c r="I9" s="424"/>
      <c r="J9" s="14"/>
    </row>
    <row r="10" spans="1:14" ht="15.75">
      <c r="A10" s="106" t="s">
        <v>233</v>
      </c>
      <c r="B10" s="62"/>
      <c r="C10" s="62"/>
      <c r="D10" s="63"/>
      <c r="E10" s="61"/>
      <c r="F10" s="431" t="str">
        <f>VLOOKUP(LEFT(发货清单!$R$2,8)&amp;"-"&amp;ROW(A5),地址数据库!A:B,2,0)</f>
        <v>TEL:4401457860111</v>
      </c>
      <c r="G10" s="428"/>
      <c r="H10" s="429"/>
      <c r="I10" s="430"/>
      <c r="J10" s="14"/>
    </row>
    <row r="11" spans="1:14" ht="5.25" customHeight="1">
      <c r="A11" s="17"/>
      <c r="B11" s="17"/>
      <c r="C11" s="17"/>
      <c r="D11" s="17"/>
      <c r="E11" s="17"/>
      <c r="F11" s="397"/>
      <c r="G11" s="17"/>
      <c r="H11" s="17"/>
      <c r="I11" s="17"/>
      <c r="J11" s="14"/>
    </row>
    <row r="12" spans="1:14" s="68" customFormat="1">
      <c r="A12" s="471" t="s">
        <v>17</v>
      </c>
      <c r="B12" s="472"/>
      <c r="C12" s="235" t="s">
        <v>633</v>
      </c>
      <c r="D12" s="67" t="s">
        <v>369</v>
      </c>
      <c r="E12" s="67" t="s">
        <v>21</v>
      </c>
      <c r="F12" s="400" t="s">
        <v>19</v>
      </c>
      <c r="G12" s="276" t="s">
        <v>20</v>
      </c>
      <c r="H12" s="471" t="s">
        <v>30</v>
      </c>
      <c r="I12" s="472"/>
    </row>
    <row r="13" spans="1:14" s="68" customFormat="1" ht="12.75">
      <c r="A13" s="471"/>
      <c r="B13" s="472"/>
      <c r="C13" s="67" t="str">
        <f>发货清单!S2</f>
        <v>P100426</v>
      </c>
      <c r="D13" s="67"/>
      <c r="E13" s="67"/>
      <c r="F13" s="401" t="s">
        <v>38</v>
      </c>
      <c r="G13" s="67"/>
      <c r="H13" s="471" t="s">
        <v>386</v>
      </c>
      <c r="I13" s="472"/>
      <c r="J13" s="30"/>
    </row>
    <row r="14" spans="1:14" s="68" customFormat="1" ht="12.75">
      <c r="A14" s="471" t="s">
        <v>22</v>
      </c>
      <c r="B14" s="473"/>
      <c r="C14" s="472"/>
      <c r="D14" s="263" t="s">
        <v>70</v>
      </c>
      <c r="E14" s="471" t="s">
        <v>23</v>
      </c>
      <c r="F14" s="472"/>
      <c r="G14" s="277" t="s">
        <v>29</v>
      </c>
      <c r="H14" s="471" t="s">
        <v>18</v>
      </c>
      <c r="I14" s="472"/>
      <c r="J14" s="30"/>
    </row>
    <row r="15" spans="1:14" s="28" customFormat="1" ht="15.75">
      <c r="A15" s="476" t="s">
        <v>39</v>
      </c>
      <c r="B15" s="477"/>
      <c r="C15" s="478"/>
      <c r="D15" s="27"/>
      <c r="E15" s="476" t="str">
        <f>VLOOKUP(LEFT(发货清单!R2,8)&amp;"-"&amp;ROW(A1),地址数据库!A:E,5,0)</f>
        <v>UK</v>
      </c>
      <c r="F15" s="478"/>
      <c r="G15" s="79">
        <f ca="1">TODAY()</f>
        <v>43839</v>
      </c>
      <c r="H15" s="479" t="str">
        <f>发货清单!$AA$2</f>
        <v>20200109-607</v>
      </c>
      <c r="I15" s="480"/>
      <c r="J15" s="30"/>
    </row>
    <row r="16" spans="1:14" s="26" customFormat="1" ht="23.25" customHeight="1">
      <c r="A16" s="66" t="s">
        <v>24</v>
      </c>
      <c r="B16" s="481" t="s">
        <v>25</v>
      </c>
      <c r="C16" s="482"/>
      <c r="D16" s="483"/>
      <c r="E16" s="55" t="s">
        <v>28</v>
      </c>
      <c r="F16" s="482" t="str">
        <f>IF(E15="USA","HTS code","HS code")</f>
        <v>HS code</v>
      </c>
      <c r="G16" s="483"/>
      <c r="H16" s="78" t="s">
        <v>26</v>
      </c>
      <c r="I16" s="78" t="s">
        <v>27</v>
      </c>
      <c r="N16" s="47"/>
    </row>
    <row r="17" spans="1:12" s="44" customFormat="1" ht="30" customHeight="1">
      <c r="A17" s="176">
        <f>辅助!N2</f>
        <v>600</v>
      </c>
      <c r="B17" s="474" t="str">
        <f>IFERROR(辅助!P2&amp;CHAR(10)&amp;VLOOKUP(辅助!P2,数据库!C:G,5,0),"")</f>
        <v>Carboxylic acid compound category (AB-04)1
White powder</v>
      </c>
      <c r="C17" s="474"/>
      <c r="D17" s="474"/>
      <c r="E17" s="309" t="str">
        <f>IF(A17=0,"","Glass/Plastic bottle")</f>
        <v>Glass/Plastic bottle</v>
      </c>
      <c r="F17" s="475">
        <f>IFERROR(IF($E$15="USA",VLOOKUP(辅助!R2,数据库!D:E,2,0),辅助!R2),"")</f>
        <v>2917190090</v>
      </c>
      <c r="G17" s="475"/>
      <c r="H17" s="275">
        <f>I17/A17</f>
        <v>0.36399999999999999</v>
      </c>
      <c r="I17" s="177">
        <f>辅助!O2</f>
        <v>218.4</v>
      </c>
      <c r="L17" s="384" t="str">
        <f>辅助!P2&amp;"/"&amp;辅助!N2&amp;"g"&amp;IF(辅助!P3="",,CHAR(10)&amp;辅助!P3&amp;"/"&amp;辅助!N3&amp;"g")&amp;IF(辅助!P4="",,CHAR(10)&amp;辅助!P4&amp;"/"&amp;辅助!N4&amp;"g")&amp;IF(辅助!P5="",,CHAR(10)&amp;辅助!P5&amp;"/"&amp;辅助!N5&amp;"g")&amp;IF(辅助!P6="",,CHAR(10)&amp;辅助!P6&amp;"/"&amp;辅助!N6&amp;"g")</f>
        <v>Carboxylic acid compound category (AB-04)1/600g
Carboxylic acid compound category (AB-04)6/10g
Sulfonamide compound category(AB-08)1/1000g
Heterocyclic with single or more oxygen atoms compound category （AB-15）4/205g
Acyclic hydrocarbon compound category （AB-02）11/500g</v>
      </c>
    </row>
    <row r="18" spans="1:12" s="44" customFormat="1" ht="30" customHeight="1">
      <c r="A18" s="176">
        <f>辅助!N3</f>
        <v>10</v>
      </c>
      <c r="B18" s="474" t="str">
        <f>IFERROR(辅助!P3&amp;CHAR(10)&amp;VLOOKUP(辅助!P3,数据库!C:G,5,0),"")</f>
        <v>Carboxylic acid compound category (AB-04)6
White Solid</v>
      </c>
      <c r="C18" s="474"/>
      <c r="D18" s="474"/>
      <c r="E18" s="309" t="str">
        <f t="shared" ref="E18:E28" si="0">IF(A18=0,"","Glass/Plastic bottle")</f>
        <v>Glass/Plastic bottle</v>
      </c>
      <c r="F18" s="475">
        <f>IFERROR(IF($E$15="USA",VLOOKUP(辅助!R3,数据库!D:E,2,0),辅助!R3),"")</f>
        <v>2917190090</v>
      </c>
      <c r="G18" s="475"/>
      <c r="H18" s="275">
        <f>IF(A18=0,0,I18/A18)</f>
        <v>15.680000000000001</v>
      </c>
      <c r="I18" s="177">
        <f>辅助!O3</f>
        <v>156.80000000000001</v>
      </c>
      <c r="L18" s="44">
        <f>COUNTA(发货清单!H:H)-1</f>
        <v>29</v>
      </c>
    </row>
    <row r="19" spans="1:12" s="44" customFormat="1" ht="30" customHeight="1">
      <c r="A19" s="176">
        <f>辅助!N4</f>
        <v>1000</v>
      </c>
      <c r="B19" s="474" t="str">
        <f>IFERROR(辅助!P4&amp;CHAR(10)&amp;VLOOKUP(辅助!P4,数据库!C:G,5,0),"")</f>
        <v>Sulfonamide compound category(AB-08)1
White Solid</v>
      </c>
      <c r="C19" s="474"/>
      <c r="D19" s="474"/>
      <c r="E19" s="309" t="str">
        <f t="shared" si="0"/>
        <v>Glass/Plastic bottle</v>
      </c>
      <c r="F19" s="475">
        <f>IFERROR(IF($E$15="USA",VLOOKUP(辅助!R4,数据库!D:E,2,0),辅助!R4),"")</f>
        <v>2935900090</v>
      </c>
      <c r="G19" s="475"/>
      <c r="H19" s="275">
        <f t="shared" ref="H19:H28" si="1">IF(A19=0,0,I19/A19)</f>
        <v>5.5299999999999995E-2</v>
      </c>
      <c r="I19" s="177">
        <f>辅助!O4</f>
        <v>55.3</v>
      </c>
      <c r="L19" s="44">
        <f>SUM(辅助!N:N)/1000</f>
        <v>3.266</v>
      </c>
    </row>
    <row r="20" spans="1:12" s="44" customFormat="1" ht="30" customHeight="1">
      <c r="A20" s="176">
        <f>辅助!N5</f>
        <v>205</v>
      </c>
      <c r="B20" s="474" t="str">
        <f>IFERROR(辅助!P5&amp;CHAR(10)&amp;VLOOKUP(辅助!P5,数据库!C:G,5,0),"")</f>
        <v>Heterocyclic with single or more oxygen atoms compound category （AB-15）4
White crystal</v>
      </c>
      <c r="C20" s="474"/>
      <c r="D20" s="474"/>
      <c r="E20" s="309" t="str">
        <f t="shared" si="0"/>
        <v>Glass/Plastic bottle</v>
      </c>
      <c r="F20" s="475">
        <f>IFERROR(IF($E$15="USA",VLOOKUP(辅助!R5,数据库!D:E,2,0),辅助!R5),"")</f>
        <v>2932999099</v>
      </c>
      <c r="G20" s="475"/>
      <c r="H20" s="275">
        <f t="shared" si="1"/>
        <v>0.48829268292682926</v>
      </c>
      <c r="I20" s="177">
        <f>辅助!O5</f>
        <v>100.1</v>
      </c>
      <c r="L20" s="385">
        <f>I29</f>
        <v>3532.9</v>
      </c>
    </row>
    <row r="21" spans="1:12" s="44" customFormat="1" ht="30" customHeight="1">
      <c r="A21" s="176">
        <f>辅助!N6</f>
        <v>500</v>
      </c>
      <c r="B21" s="474" t="str">
        <f>IFERROR(辅助!P6&amp;CHAR(10)&amp;VLOOKUP(辅助!P6,数据库!C:G,5,0),"")</f>
        <v>Acyclic hydrocarbon compound category （AB-02）11
Colorless Transparent Liquid</v>
      </c>
      <c r="C21" s="474"/>
      <c r="D21" s="474"/>
      <c r="E21" s="309" t="str">
        <f t="shared" si="0"/>
        <v>Glass/Plastic bottle</v>
      </c>
      <c r="F21" s="475">
        <f>IFERROR(IF($E$15="USA",VLOOKUP(辅助!R6,数据库!D:E,2,0),辅助!R6),"")</f>
        <v>2903399090</v>
      </c>
      <c r="G21" s="475"/>
      <c r="H21" s="275">
        <f t="shared" si="1"/>
        <v>0.2044</v>
      </c>
      <c r="I21" s="177">
        <f>辅助!O6</f>
        <v>102.2</v>
      </c>
    </row>
    <row r="22" spans="1:12" s="44" customFormat="1" ht="30" customHeight="1">
      <c r="A22" s="176">
        <f>辅助!N7</f>
        <v>26</v>
      </c>
      <c r="B22" s="474" t="str">
        <f>IFERROR(辅助!P7&amp;CHAR(10)&amp;VLOOKUP(辅助!P7,数据库!C:G,5,0),"")</f>
        <v>Acyclic hydrocarbon compound category （AB-02）13
brown liquid</v>
      </c>
      <c r="C22" s="474"/>
      <c r="D22" s="474"/>
      <c r="E22" s="309" t="str">
        <f t="shared" si="0"/>
        <v>Glass/Plastic bottle</v>
      </c>
      <c r="F22" s="475">
        <f>IFERROR(IF($E$15="USA",VLOOKUP(辅助!R7,数据库!D:E,2,0),辅助!R7),"")</f>
        <v>2903399090</v>
      </c>
      <c r="G22" s="475"/>
      <c r="H22" s="275">
        <f t="shared" si="1"/>
        <v>5.3307692307692314</v>
      </c>
      <c r="I22" s="177">
        <f>辅助!O7</f>
        <v>138.60000000000002</v>
      </c>
    </row>
    <row r="23" spans="1:12" s="44" customFormat="1" ht="30" customHeight="1">
      <c r="A23" s="176">
        <f>辅助!N8</f>
        <v>25</v>
      </c>
      <c r="B23" s="474" t="str">
        <f>IFERROR(辅助!P8&amp;CHAR(10)&amp;VLOOKUP(辅助!P8,数据库!C:G,5,0),"")</f>
        <v>Heterocyclic with nitrogen compound category (AB-06)46
Yellow powder</v>
      </c>
      <c r="C23" s="474"/>
      <c r="D23" s="474"/>
      <c r="E23" s="309" t="str">
        <f t="shared" si="0"/>
        <v>Glass/Plastic bottle</v>
      </c>
      <c r="F23" s="475">
        <f>IFERROR(IF($E$15="USA",VLOOKUP(辅助!R8,数据库!D:E,2,0),辅助!R8),"")</f>
        <v>2933990099</v>
      </c>
      <c r="G23" s="475"/>
      <c r="H23" s="275">
        <f t="shared" si="1"/>
        <v>2.4079999999999999</v>
      </c>
      <c r="I23" s="177">
        <f>辅助!O8</f>
        <v>60.2</v>
      </c>
    </row>
    <row r="24" spans="1:12" s="44" customFormat="1" ht="30" customHeight="1">
      <c r="A24" s="176">
        <f>辅助!N9</f>
        <v>50</v>
      </c>
      <c r="B24" s="474" t="str">
        <f>IFERROR(辅助!P9&amp;CHAR(10)&amp;VLOOKUP(辅助!P9,数据库!C:G,5,0),"")</f>
        <v>Heterocyclic with nitrogen compound category (AB-06)53
Brown solid</v>
      </c>
      <c r="C24" s="474"/>
      <c r="D24" s="474"/>
      <c r="E24" s="309" t="str">
        <f t="shared" si="0"/>
        <v>Glass/Plastic bottle</v>
      </c>
      <c r="F24" s="475">
        <f>IFERROR(IF($E$15="USA",VLOOKUP(辅助!R9,数据库!D:E,2,0),辅助!R9),"")</f>
        <v>2933990099</v>
      </c>
      <c r="G24" s="475"/>
      <c r="H24" s="275">
        <f t="shared" si="1"/>
        <v>42.798000000000002</v>
      </c>
      <c r="I24" s="177">
        <f>辅助!O9</f>
        <v>2139.9</v>
      </c>
    </row>
    <row r="25" spans="1:12" s="44" customFormat="1" ht="30" customHeight="1">
      <c r="A25" s="176">
        <f>辅助!N10</f>
        <v>700</v>
      </c>
      <c r="B25" s="474" t="str">
        <f>IFERROR(辅助!P10&amp;CHAR(10)&amp;VLOOKUP(辅助!P10,数据库!C:G,5,0),"")</f>
        <v>Aromatic ring products without heteroatoms category （AB-16）33
Light yellow-green granular crystals</v>
      </c>
      <c r="C25" s="474"/>
      <c r="D25" s="474"/>
      <c r="E25" s="309" t="str">
        <f t="shared" si="0"/>
        <v>Glass/Plastic bottle</v>
      </c>
      <c r="F25" s="475">
        <f>IFERROR(IF($E$15="USA",VLOOKUP(辅助!R10,数据库!D:E,2,0),辅助!R10),"")</f>
        <v>2903999090</v>
      </c>
      <c r="G25" s="475"/>
      <c r="H25" s="275">
        <f t="shared" si="1"/>
        <v>0.39799999999999996</v>
      </c>
      <c r="I25" s="177">
        <f>辅助!O10</f>
        <v>278.59999999999997</v>
      </c>
    </row>
    <row r="26" spans="1:12" s="44" customFormat="1" ht="30" customHeight="1">
      <c r="A26" s="176">
        <f>辅助!N11</f>
        <v>150</v>
      </c>
      <c r="B26" s="474" t="str">
        <f>IFERROR(辅助!P11&amp;CHAR(10)&amp;VLOOKUP(辅助!P11,数据库!C:G,5,0),"")</f>
        <v>Aromatic ring products without heteroatoms category （AB-16）36
White powder</v>
      </c>
      <c r="C26" s="474"/>
      <c r="D26" s="474"/>
      <c r="E26" s="309" t="str">
        <f t="shared" si="0"/>
        <v>Glass/Plastic bottle</v>
      </c>
      <c r="F26" s="475">
        <f>IFERROR(IF($E$15="USA",VLOOKUP(辅助!R11,数据库!D:E,2,0),辅助!R11),"")</f>
        <v>2916399090</v>
      </c>
      <c r="G26" s="475"/>
      <c r="H26" s="275">
        <f t="shared" si="1"/>
        <v>1.8853333333333333</v>
      </c>
      <c r="I26" s="177">
        <f>辅助!O11</f>
        <v>282.8</v>
      </c>
    </row>
    <row r="27" spans="1:12" s="44" customFormat="1" ht="30" customHeight="1">
      <c r="A27" s="176">
        <f>辅助!N12</f>
        <v>0</v>
      </c>
      <c r="B27" s="474" t="str">
        <f>IFERROR(辅助!P12&amp;CHAR(10)&amp;VLOOKUP(辅助!P12,数据库!C:G,5,0),"")</f>
        <v/>
      </c>
      <c r="C27" s="474"/>
      <c r="D27" s="474"/>
      <c r="E27" s="309" t="str">
        <f t="shared" si="0"/>
        <v/>
      </c>
      <c r="F27" s="475" t="str">
        <f>IFERROR(IF($E$15="USA",VLOOKUP(辅助!R12,数据库!D:E,2,0),辅助!R12),"")</f>
        <v/>
      </c>
      <c r="G27" s="475"/>
      <c r="H27" s="275">
        <f t="shared" si="1"/>
        <v>0</v>
      </c>
      <c r="I27" s="177">
        <f>辅助!O12</f>
        <v>0</v>
      </c>
    </row>
    <row r="28" spans="1:12" s="44" customFormat="1" ht="30" customHeight="1">
      <c r="A28" s="176">
        <f>辅助!N13</f>
        <v>0</v>
      </c>
      <c r="B28" s="474" t="str">
        <f>IFERROR(辅助!P13&amp;CHAR(10)&amp;VLOOKUP(辅助!P13,数据库!C:G,5,0),"")</f>
        <v/>
      </c>
      <c r="C28" s="474"/>
      <c r="D28" s="474"/>
      <c r="E28" s="309" t="str">
        <f t="shared" si="0"/>
        <v/>
      </c>
      <c r="F28" s="475" t="str">
        <f>IFERROR(IF($E$15="USA",VLOOKUP(辅助!R13,数据库!D:E,2,0),辅助!R13),"")</f>
        <v/>
      </c>
      <c r="G28" s="475"/>
      <c r="H28" s="275">
        <f t="shared" si="1"/>
        <v>0</v>
      </c>
      <c r="I28" s="177">
        <f>辅助!O13</f>
        <v>0</v>
      </c>
    </row>
    <row r="29" spans="1:12" s="44" customFormat="1" ht="33.75" customHeight="1" thickBot="1">
      <c r="A29" s="176"/>
      <c r="B29" s="510" t="str">
        <f>IF(COUNTIF(辅助!N:N,"&gt;0")&lt;=12,"Total Net Weight（g）:   "&amp;SUM(辅助!N:N)," ")&amp;CHAR(10)&amp;IF(COUNTIF(辅助!N:N,"&gt;0")&lt;=12,"Gross Weight(kg):   "&amp;发货清单!Y2," ")</f>
        <v>Total Net Weight（g）:   3266
Gross Weight(kg):   10</v>
      </c>
      <c r="C29" s="511"/>
      <c r="D29" s="512"/>
      <c r="E29" s="66"/>
      <c r="F29" s="475"/>
      <c r="G29" s="475"/>
      <c r="H29" s="278" t="str">
        <f>IF(COUNTIF(辅助!O:O,"&gt;0")&lt;=12,"TOTAL:"," ")</f>
        <v>TOTAL:</v>
      </c>
      <c r="I29" s="274">
        <f>IF(COUNTIF(辅助!O:O,"&gt;0")&lt;=12,SUM(辅助!O:O)," ")</f>
        <v>3532.9</v>
      </c>
    </row>
    <row r="30" spans="1:12" ht="15.75">
      <c r="A30" s="169" t="s">
        <v>31</v>
      </c>
      <c r="B30" s="170"/>
      <c r="C30" s="170"/>
      <c r="D30" s="171"/>
      <c r="E30" s="41"/>
      <c r="F30" s="484"/>
      <c r="G30" s="484"/>
      <c r="H30" s="484"/>
      <c r="I30" s="485"/>
    </row>
    <row r="31" spans="1:12" ht="15" customHeight="1">
      <c r="A31" s="486" t="str">
        <f>IF(LEFT(发货清单!R2,8)="WB000178","I certify that all chemicals in this shipment are subject to TSCA.","I certify that all chemicals in this shipment are not subject to TSCA.")</f>
        <v>I certify that all chemicals in this shipment are not subject to TSCA.</v>
      </c>
      <c r="B31" s="487"/>
      <c r="C31" s="488"/>
      <c r="D31" s="39"/>
      <c r="E31" s="492" t="s">
        <v>73</v>
      </c>
      <c r="F31" s="493"/>
      <c r="G31" s="493"/>
      <c r="H31" s="493"/>
      <c r="I31" s="494"/>
    </row>
    <row r="32" spans="1:12" ht="11.25" customHeight="1" thickBot="1">
      <c r="A32" s="489"/>
      <c r="B32" s="490"/>
      <c r="C32" s="491"/>
      <c r="D32" s="39"/>
      <c r="E32" s="495"/>
      <c r="F32" s="496"/>
      <c r="G32" s="496"/>
      <c r="H32" s="496"/>
      <c r="I32" s="497"/>
    </row>
    <row r="33" spans="1:10" ht="16.5" customHeight="1" thickBot="1">
      <c r="A33" s="498" t="s">
        <v>525</v>
      </c>
      <c r="B33" s="499"/>
      <c r="C33" s="500"/>
      <c r="D33" s="39"/>
      <c r="E33" s="42" t="s">
        <v>71</v>
      </c>
      <c r="F33" s="402"/>
      <c r="G33" s="507" t="str">
        <f>发货清单!F2</f>
        <v>2786337676</v>
      </c>
      <c r="H33" s="508"/>
      <c r="I33" s="509"/>
    </row>
    <row r="34" spans="1:10" ht="32.25" customHeight="1" thickBot="1">
      <c r="A34" s="501"/>
      <c r="B34" s="502"/>
      <c r="C34" s="503"/>
      <c r="D34" s="39"/>
      <c r="E34" s="42" t="s">
        <v>34</v>
      </c>
      <c r="F34" s="402"/>
      <c r="G34" s="43"/>
      <c r="H34" s="43"/>
      <c r="I34" s="172"/>
    </row>
    <row r="35" spans="1:10" ht="15" thickBot="1">
      <c r="A35" s="504"/>
      <c r="B35" s="505"/>
      <c r="C35" s="506"/>
      <c r="D35" s="43"/>
      <c r="E35" s="43"/>
      <c r="F35" s="403"/>
      <c r="G35" s="43"/>
      <c r="H35" s="43"/>
      <c r="I35" s="172"/>
    </row>
    <row r="36" spans="1:10" ht="21.75" customHeight="1">
      <c r="A36" s="17"/>
      <c r="B36" s="17"/>
      <c r="C36" s="17"/>
      <c r="D36" s="17"/>
      <c r="E36" s="310" t="str">
        <f>"page 1/"&amp;IF(COUNTIF(辅助!K:K,"&gt;0")&lt;13,1,IF(COUNTIF(辅助!K:K,"&gt;0")&lt;25,2,3))</f>
        <v>page 1/1</v>
      </c>
      <c r="F36" s="397"/>
      <c r="G36" s="17"/>
      <c r="H36" s="17"/>
      <c r="I36" s="17"/>
    </row>
    <row r="37" spans="1:10" ht="22.5">
      <c r="A37" s="470" t="s">
        <v>44</v>
      </c>
      <c r="B37" s="470"/>
      <c r="C37" s="470"/>
      <c r="D37" s="470"/>
      <c r="E37" s="470"/>
      <c r="F37" s="470"/>
      <c r="G37" s="470"/>
      <c r="H37" s="470"/>
      <c r="I37" s="470"/>
    </row>
    <row r="38" spans="1:10" ht="3.75" customHeight="1">
      <c r="A38" s="17"/>
      <c r="B38" s="17"/>
      <c r="C38" s="17"/>
      <c r="D38" s="17"/>
      <c r="E38" s="17"/>
      <c r="F38" s="397"/>
      <c r="G38" s="17"/>
      <c r="H38" s="34"/>
      <c r="I38" s="48"/>
    </row>
    <row r="39" spans="1:10" ht="3.75" customHeight="1">
      <c r="A39" s="17"/>
      <c r="B39" s="17"/>
      <c r="C39" s="17"/>
      <c r="D39" s="17"/>
      <c r="E39" s="17"/>
      <c r="F39" s="397"/>
      <c r="G39" s="17"/>
      <c r="H39" s="17"/>
      <c r="I39" s="17"/>
    </row>
    <row r="40" spans="1:10" ht="15.75">
      <c r="A40" s="35" t="s">
        <v>43</v>
      </c>
      <c r="B40" s="36"/>
      <c r="C40" s="36"/>
      <c r="D40" s="37"/>
      <c r="E40" s="61"/>
      <c r="F40" s="398" t="s">
        <v>42</v>
      </c>
      <c r="G40" s="71"/>
      <c r="H40" s="36"/>
      <c r="I40" s="37"/>
    </row>
    <row r="41" spans="1:10" ht="15.75">
      <c r="A41" s="103" t="s">
        <v>75</v>
      </c>
      <c r="B41" s="58"/>
      <c r="C41" s="58"/>
      <c r="D41" s="59"/>
      <c r="E41" s="58"/>
      <c r="F41" s="399" t="str">
        <f>F6</f>
        <v xml:space="preserve"> Fluorochem Limited</v>
      </c>
      <c r="G41" s="192"/>
      <c r="H41" s="15"/>
      <c r="I41" s="38"/>
    </row>
    <row r="42" spans="1:10" ht="15" customHeight="1">
      <c r="A42" s="104" t="s">
        <v>527</v>
      </c>
      <c r="B42" s="60"/>
      <c r="C42" s="60"/>
      <c r="D42" s="59"/>
      <c r="E42" s="61"/>
      <c r="F42" s="404" t="str">
        <f t="shared" ref="F42:F45" si="2">F7</f>
        <v>Unit 14 Graphite Way</v>
      </c>
      <c r="G42" s="7"/>
      <c r="H42" s="39"/>
      <c r="I42" s="38"/>
      <c r="J42" s="16"/>
    </row>
    <row r="43" spans="1:10" ht="15" customHeight="1">
      <c r="A43" s="104" t="s">
        <v>529</v>
      </c>
      <c r="B43" s="60"/>
      <c r="C43" s="60"/>
      <c r="D43" s="59"/>
      <c r="E43" s="61"/>
      <c r="F43" s="404" t="str">
        <f t="shared" si="2"/>
        <v>Hadfield  Derbyshire</v>
      </c>
      <c r="G43" s="7"/>
      <c r="H43" s="39"/>
      <c r="I43" s="38"/>
      <c r="J43" s="16"/>
    </row>
    <row r="44" spans="1:10" ht="15" customHeight="1">
      <c r="A44" s="105" t="s">
        <v>232</v>
      </c>
      <c r="B44" s="60"/>
      <c r="C44" s="60"/>
      <c r="D44" s="59"/>
      <c r="E44" s="61"/>
      <c r="F44" s="404" t="str">
        <f t="shared" si="2"/>
        <v>SK13 1QH UK</v>
      </c>
      <c r="G44" s="193"/>
      <c r="H44" s="39"/>
      <c r="I44" s="38"/>
      <c r="J44" s="14"/>
    </row>
    <row r="45" spans="1:10" ht="15">
      <c r="A45" s="106" t="s">
        <v>233</v>
      </c>
      <c r="B45" s="62"/>
      <c r="C45" s="62"/>
      <c r="D45" s="63"/>
      <c r="E45" s="61"/>
      <c r="F45" s="404" t="str">
        <f t="shared" si="2"/>
        <v>TEL:4401457860111</v>
      </c>
      <c r="G45" s="6"/>
      <c r="H45" s="18"/>
      <c r="I45" s="40"/>
      <c r="J45" s="14"/>
    </row>
    <row r="46" spans="1:10" ht="5.25" customHeight="1">
      <c r="A46" s="17"/>
      <c r="B46" s="17"/>
      <c r="C46" s="17"/>
      <c r="D46" s="17"/>
      <c r="E46" s="17"/>
      <c r="F46" s="397"/>
      <c r="G46" s="17"/>
      <c r="H46" s="17"/>
      <c r="I46" s="17"/>
      <c r="J46" s="14"/>
    </row>
    <row r="47" spans="1:10" s="68" customFormat="1">
      <c r="A47" s="471" t="s">
        <v>17</v>
      </c>
      <c r="B47" s="472"/>
      <c r="C47" s="67" t="s">
        <v>632</v>
      </c>
      <c r="D47" s="263" t="s">
        <v>369</v>
      </c>
      <c r="E47" s="67" t="s">
        <v>21</v>
      </c>
      <c r="F47" s="400" t="s">
        <v>19</v>
      </c>
      <c r="G47" s="276" t="s">
        <v>20</v>
      </c>
      <c r="H47" s="471" t="s">
        <v>30</v>
      </c>
      <c r="I47" s="472"/>
    </row>
    <row r="48" spans="1:10" s="68" customFormat="1" ht="12.75">
      <c r="A48" s="471"/>
      <c r="B48" s="472"/>
      <c r="C48" s="67" t="str">
        <f>C13</f>
        <v>P100426</v>
      </c>
      <c r="D48" s="67"/>
      <c r="E48" s="67"/>
      <c r="F48" s="401" t="s">
        <v>38</v>
      </c>
      <c r="G48" s="67"/>
      <c r="H48" s="471" t="s">
        <v>386</v>
      </c>
      <c r="I48" s="472"/>
      <c r="J48" s="30"/>
    </row>
    <row r="49" spans="1:14" s="68" customFormat="1" ht="12.75">
      <c r="A49" s="471" t="s">
        <v>22</v>
      </c>
      <c r="B49" s="473"/>
      <c r="C49" s="472"/>
      <c r="D49" s="263" t="s">
        <v>70</v>
      </c>
      <c r="E49" s="471" t="s">
        <v>23</v>
      </c>
      <c r="F49" s="472"/>
      <c r="G49" s="277" t="s">
        <v>29</v>
      </c>
      <c r="H49" s="471" t="s">
        <v>18</v>
      </c>
      <c r="I49" s="472"/>
      <c r="J49" s="30"/>
    </row>
    <row r="50" spans="1:14" s="28" customFormat="1" ht="15.75">
      <c r="A50" s="476" t="s">
        <v>39</v>
      </c>
      <c r="B50" s="477"/>
      <c r="C50" s="478"/>
      <c r="D50" s="27"/>
      <c r="E50" s="476" t="str">
        <f>E15</f>
        <v>UK</v>
      </c>
      <c r="F50" s="478"/>
      <c r="G50" s="79">
        <f ca="1">TODAY()</f>
        <v>43839</v>
      </c>
      <c r="H50" s="479" t="str">
        <f>发货清单!$AA$2</f>
        <v>20200109-607</v>
      </c>
      <c r="I50" s="480"/>
      <c r="J50" s="30"/>
    </row>
    <row r="51" spans="1:14" s="26" customFormat="1" ht="23.25" customHeight="1">
      <c r="A51" s="66" t="s">
        <v>24</v>
      </c>
      <c r="B51" s="481" t="s">
        <v>25</v>
      </c>
      <c r="C51" s="482"/>
      <c r="D51" s="483"/>
      <c r="E51" s="55" t="s">
        <v>28</v>
      </c>
      <c r="F51" s="482" t="str">
        <f>F16</f>
        <v>HS code</v>
      </c>
      <c r="G51" s="483"/>
      <c r="H51" s="250" t="s">
        <v>26</v>
      </c>
      <c r="I51" s="250" t="s">
        <v>27</v>
      </c>
      <c r="N51" s="47"/>
    </row>
    <row r="52" spans="1:14" s="44" customFormat="1" ht="30" customHeight="1">
      <c r="A52" s="176">
        <f>辅助!N14</f>
        <v>0</v>
      </c>
      <c r="B52" s="474" t="str">
        <f>IFERROR(辅助!P14&amp;CHAR(10)&amp;VLOOKUP(辅助!P14,数据库!C:G,5,0),"")</f>
        <v/>
      </c>
      <c r="C52" s="474"/>
      <c r="D52" s="474"/>
      <c r="E52" s="309" t="str">
        <f t="shared" ref="E52:E63" si="3">IF(A52=0,"","Glass/Plastic bottle")</f>
        <v/>
      </c>
      <c r="F52" s="475" t="str">
        <f>IFERROR(IF($E$15="USA",VLOOKUP(辅助!R14,数据库!D:E,2,0),辅助!R14),"")</f>
        <v/>
      </c>
      <c r="G52" s="475"/>
      <c r="H52" s="275">
        <f>IF(A52=0,0,I52/A52)</f>
        <v>0</v>
      </c>
      <c r="I52" s="177">
        <f>辅助!O14</f>
        <v>0</v>
      </c>
    </row>
    <row r="53" spans="1:14" s="44" customFormat="1" ht="30" customHeight="1">
      <c r="A53" s="176">
        <f>辅助!N15</f>
        <v>0</v>
      </c>
      <c r="B53" s="474" t="str">
        <f>IFERROR(辅助!P15&amp;CHAR(10)&amp;VLOOKUP(辅助!P15,数据库!C:G,5,0),"")</f>
        <v/>
      </c>
      <c r="C53" s="474"/>
      <c r="D53" s="474"/>
      <c r="E53" s="309" t="str">
        <f t="shared" si="3"/>
        <v/>
      </c>
      <c r="F53" s="475" t="str">
        <f>IFERROR(IF($E$15="USA",VLOOKUP(辅助!R15,数据库!D:E,2,0),辅助!R15),"")</f>
        <v/>
      </c>
      <c r="G53" s="475"/>
      <c r="H53" s="275">
        <f>IF(A53=0,0,I53/A53)</f>
        <v>0</v>
      </c>
      <c r="I53" s="177">
        <f>辅助!O15</f>
        <v>0</v>
      </c>
    </row>
    <row r="54" spans="1:14" s="44" customFormat="1" ht="30" customHeight="1">
      <c r="A54" s="176">
        <f>辅助!N16</f>
        <v>0</v>
      </c>
      <c r="B54" s="474" t="str">
        <f>IFERROR(辅助!P16&amp;CHAR(10)&amp;VLOOKUP(辅助!P16,数据库!C:G,5,0),"")</f>
        <v/>
      </c>
      <c r="C54" s="474"/>
      <c r="D54" s="474"/>
      <c r="E54" s="309" t="str">
        <f t="shared" si="3"/>
        <v/>
      </c>
      <c r="F54" s="475" t="str">
        <f>IFERROR(IF($E$15="USA",VLOOKUP(辅助!R16,数据库!D:E,2,0),辅助!R16),"")</f>
        <v/>
      </c>
      <c r="G54" s="475"/>
      <c r="H54" s="275">
        <f t="shared" ref="H54:H63" si="4">IF(A54=0,0,I54/A54)</f>
        <v>0</v>
      </c>
      <c r="I54" s="177">
        <f>辅助!O16</f>
        <v>0</v>
      </c>
    </row>
    <row r="55" spans="1:14" s="44" customFormat="1" ht="30" customHeight="1">
      <c r="A55" s="176">
        <f>辅助!N17</f>
        <v>0</v>
      </c>
      <c r="B55" s="474" t="str">
        <f>IFERROR(辅助!P17&amp;CHAR(10)&amp;VLOOKUP(辅助!P17,数据库!C:G,5,0),"")</f>
        <v/>
      </c>
      <c r="C55" s="474"/>
      <c r="D55" s="474"/>
      <c r="E55" s="309" t="str">
        <f t="shared" si="3"/>
        <v/>
      </c>
      <c r="F55" s="475" t="str">
        <f>IFERROR(IF($E$15="USA",VLOOKUP(辅助!R17,数据库!D:E,2,0),辅助!R17),"")</f>
        <v/>
      </c>
      <c r="G55" s="475"/>
      <c r="H55" s="275">
        <f t="shared" si="4"/>
        <v>0</v>
      </c>
      <c r="I55" s="177">
        <f>辅助!O17</f>
        <v>0</v>
      </c>
    </row>
    <row r="56" spans="1:14" s="44" customFormat="1" ht="30" customHeight="1">
      <c r="A56" s="176">
        <f>辅助!N18</f>
        <v>0</v>
      </c>
      <c r="B56" s="474" t="str">
        <f>IFERROR(辅助!P18&amp;CHAR(10)&amp;VLOOKUP(辅助!P18,数据库!C:G,5,0),"")</f>
        <v/>
      </c>
      <c r="C56" s="474"/>
      <c r="D56" s="474"/>
      <c r="E56" s="309" t="str">
        <f t="shared" si="3"/>
        <v/>
      </c>
      <c r="F56" s="475" t="str">
        <f>IFERROR(IF($E$15="USA",VLOOKUP(辅助!R18,数据库!D:E,2,0),辅助!R18),"")</f>
        <v/>
      </c>
      <c r="G56" s="475"/>
      <c r="H56" s="275">
        <f t="shared" si="4"/>
        <v>0</v>
      </c>
      <c r="I56" s="177">
        <f>辅助!O18</f>
        <v>0</v>
      </c>
    </row>
    <row r="57" spans="1:14" s="44" customFormat="1" ht="30" customHeight="1">
      <c r="A57" s="176">
        <f>辅助!N19</f>
        <v>0</v>
      </c>
      <c r="B57" s="474" t="str">
        <f>IFERROR(辅助!P19&amp;CHAR(10)&amp;VLOOKUP(辅助!P19,数据库!C:G,5,0),"")</f>
        <v/>
      </c>
      <c r="C57" s="474"/>
      <c r="D57" s="474"/>
      <c r="E57" s="309" t="str">
        <f t="shared" si="3"/>
        <v/>
      </c>
      <c r="F57" s="475" t="str">
        <f>IFERROR(IF($E$15="USA",VLOOKUP(辅助!R19,数据库!D:E,2,0),辅助!R19),"")</f>
        <v/>
      </c>
      <c r="G57" s="475"/>
      <c r="H57" s="275">
        <f t="shared" si="4"/>
        <v>0</v>
      </c>
      <c r="I57" s="177">
        <f>辅助!O19</f>
        <v>0</v>
      </c>
    </row>
    <row r="58" spans="1:14" s="44" customFormat="1" ht="30" customHeight="1">
      <c r="A58" s="176">
        <f>辅助!N20</f>
        <v>0</v>
      </c>
      <c r="B58" s="474" t="str">
        <f>IFERROR(辅助!P20&amp;CHAR(10)&amp;VLOOKUP(辅助!P20,数据库!C:G,5,0),"")</f>
        <v/>
      </c>
      <c r="C58" s="474"/>
      <c r="D58" s="474"/>
      <c r="E58" s="309" t="str">
        <f t="shared" si="3"/>
        <v/>
      </c>
      <c r="F58" s="475" t="str">
        <f>IFERROR(IF($E$15="USA",VLOOKUP(辅助!R20,数据库!D:E,2,0),辅助!R20),"")</f>
        <v/>
      </c>
      <c r="G58" s="475"/>
      <c r="H58" s="275">
        <f t="shared" si="4"/>
        <v>0</v>
      </c>
      <c r="I58" s="177">
        <f>辅助!O20</f>
        <v>0</v>
      </c>
    </row>
    <row r="59" spans="1:14" s="44" customFormat="1" ht="30" customHeight="1">
      <c r="A59" s="176">
        <f>辅助!N21</f>
        <v>0</v>
      </c>
      <c r="B59" s="474" t="str">
        <f>IFERROR(辅助!P21&amp;CHAR(10)&amp;VLOOKUP(辅助!P21,数据库!C:G,5,0),"")</f>
        <v/>
      </c>
      <c r="C59" s="474"/>
      <c r="D59" s="474"/>
      <c r="E59" s="309" t="str">
        <f t="shared" si="3"/>
        <v/>
      </c>
      <c r="F59" s="475" t="str">
        <f>IFERROR(IF($E$15="USA",VLOOKUP(辅助!R21,数据库!D:E,2,0),辅助!R21),"")</f>
        <v/>
      </c>
      <c r="G59" s="475"/>
      <c r="H59" s="275">
        <f t="shared" si="4"/>
        <v>0</v>
      </c>
      <c r="I59" s="177">
        <f>辅助!O21</f>
        <v>0</v>
      </c>
    </row>
    <row r="60" spans="1:14" s="44" customFormat="1" ht="30" customHeight="1">
      <c r="A60" s="176">
        <f>辅助!N22</f>
        <v>0</v>
      </c>
      <c r="B60" s="474" t="str">
        <f>IFERROR(辅助!P22&amp;CHAR(10)&amp;VLOOKUP(辅助!P22,数据库!C:G,5,0),"")</f>
        <v/>
      </c>
      <c r="C60" s="474"/>
      <c r="D60" s="474"/>
      <c r="E60" s="309" t="str">
        <f t="shared" si="3"/>
        <v/>
      </c>
      <c r="F60" s="475" t="str">
        <f>IFERROR(IF($E$15="USA",VLOOKUP(辅助!R22,数据库!D:E,2,0),辅助!R22),"")</f>
        <v/>
      </c>
      <c r="G60" s="475"/>
      <c r="H60" s="275">
        <f t="shared" si="4"/>
        <v>0</v>
      </c>
      <c r="I60" s="177">
        <f>辅助!O22</f>
        <v>0</v>
      </c>
    </row>
    <row r="61" spans="1:14" s="44" customFormat="1" ht="30" customHeight="1">
      <c r="A61" s="176">
        <f>辅助!N23</f>
        <v>0</v>
      </c>
      <c r="B61" s="474" t="str">
        <f>IFERROR(辅助!P23&amp;CHAR(10)&amp;VLOOKUP(辅助!P23,数据库!C:G,5,0),"")</f>
        <v/>
      </c>
      <c r="C61" s="474"/>
      <c r="D61" s="474"/>
      <c r="E61" s="309" t="str">
        <f t="shared" si="3"/>
        <v/>
      </c>
      <c r="F61" s="475" t="str">
        <f>IFERROR(IF($E$15="USA",VLOOKUP(辅助!R23,数据库!D:E,2,0),辅助!R23),"")</f>
        <v/>
      </c>
      <c r="G61" s="475"/>
      <c r="H61" s="275">
        <f t="shared" si="4"/>
        <v>0</v>
      </c>
      <c r="I61" s="177">
        <f>辅助!O23</f>
        <v>0</v>
      </c>
    </row>
    <row r="62" spans="1:14" s="44" customFormat="1" ht="30" customHeight="1">
      <c r="A62" s="176">
        <f>辅助!N24</f>
        <v>0</v>
      </c>
      <c r="B62" s="474" t="str">
        <f>IFERROR(辅助!P24&amp;CHAR(10)&amp;VLOOKUP(辅助!P24,数据库!C:G,5,0),"")</f>
        <v/>
      </c>
      <c r="C62" s="474"/>
      <c r="D62" s="474"/>
      <c r="E62" s="309" t="str">
        <f t="shared" si="3"/>
        <v/>
      </c>
      <c r="F62" s="475" t="str">
        <f>IFERROR(IF($E$15="USA",VLOOKUP(辅助!R24,数据库!D:E,2,0),辅助!R24),"")</f>
        <v/>
      </c>
      <c r="G62" s="475"/>
      <c r="H62" s="275">
        <f t="shared" si="4"/>
        <v>0</v>
      </c>
      <c r="I62" s="177">
        <f>辅助!O24</f>
        <v>0</v>
      </c>
    </row>
    <row r="63" spans="1:14" s="44" customFormat="1" ht="30" customHeight="1">
      <c r="A63" s="176">
        <f>辅助!N25</f>
        <v>0</v>
      </c>
      <c r="B63" s="474" t="str">
        <f>IFERROR(辅助!P25&amp;CHAR(10)&amp;VLOOKUP(辅助!P25,数据库!C:G,5,0),"")</f>
        <v/>
      </c>
      <c r="C63" s="474"/>
      <c r="D63" s="474"/>
      <c r="E63" s="309" t="str">
        <f t="shared" si="3"/>
        <v/>
      </c>
      <c r="F63" s="475" t="str">
        <f>IFERROR(IF($E$15="USA",VLOOKUP(辅助!R25,数据库!D:E,2,0),辅助!R25),"")</f>
        <v/>
      </c>
      <c r="G63" s="475"/>
      <c r="H63" s="275">
        <f t="shared" si="4"/>
        <v>0</v>
      </c>
      <c r="I63" s="177">
        <f>辅助!O25</f>
        <v>0</v>
      </c>
    </row>
    <row r="64" spans="1:14" s="44" customFormat="1" ht="37.5" customHeight="1" thickBot="1">
      <c r="A64" s="176"/>
      <c r="B64" s="510" t="str">
        <f>IF(COUNTIF(辅助!N:N,"&gt;0")&lt;=24,"Total Net Weight（g）:   "&amp;SUM(辅助!N2:N999)," ")&amp;CHAR(10)&amp;IF(COUNTIF(辅助!N:N,"&gt;0")&lt;=24,"Gross Weight(kg):   "&amp;发货清单!Y2," ")</f>
        <v>Total Net Weight（g）:   3266
Gross Weight(kg):   10</v>
      </c>
      <c r="C64" s="511"/>
      <c r="D64" s="512"/>
      <c r="E64" s="66"/>
      <c r="F64" s="475"/>
      <c r="G64" s="475"/>
      <c r="H64" s="278" t="str">
        <f>IF(COUNTIF(辅助!O:O,"&gt;0")&lt;=24,"TOTAL:"," ")</f>
        <v>TOTAL:</v>
      </c>
      <c r="I64" s="274">
        <f>IF(COUNTIF(辅助!O:O,"&gt;0")&lt;=24,SUM(辅助!O:O)," ")</f>
        <v>3532.9</v>
      </c>
    </row>
    <row r="65" spans="1:10" ht="15.75">
      <c r="A65" s="169" t="s">
        <v>31</v>
      </c>
      <c r="B65" s="170"/>
      <c r="C65" s="170"/>
      <c r="D65" s="171"/>
      <c r="E65" s="41"/>
      <c r="F65" s="484"/>
      <c r="G65" s="484"/>
      <c r="H65" s="484"/>
      <c r="I65" s="485"/>
    </row>
    <row r="66" spans="1:10" ht="15" customHeight="1">
      <c r="A66" s="486" t="str">
        <f>A31</f>
        <v>I certify that all chemicals in this shipment are not subject to TSCA.</v>
      </c>
      <c r="B66" s="487"/>
      <c r="C66" s="488"/>
      <c r="D66" s="39"/>
      <c r="E66" s="492" t="s">
        <v>73</v>
      </c>
      <c r="F66" s="493"/>
      <c r="G66" s="493"/>
      <c r="H66" s="493"/>
      <c r="I66" s="494"/>
    </row>
    <row r="67" spans="1:10" ht="12.75" customHeight="1" thickBot="1">
      <c r="A67" s="489"/>
      <c r="B67" s="490"/>
      <c r="C67" s="491"/>
      <c r="D67" s="39"/>
      <c r="E67" s="495"/>
      <c r="F67" s="496"/>
      <c r="G67" s="496"/>
      <c r="H67" s="496"/>
      <c r="I67" s="497"/>
    </row>
    <row r="68" spans="1:10" ht="16.5" customHeight="1" thickBot="1">
      <c r="A68" s="498" t="s">
        <v>525</v>
      </c>
      <c r="B68" s="499"/>
      <c r="C68" s="500"/>
      <c r="D68" s="39"/>
      <c r="E68" s="42" t="s">
        <v>71</v>
      </c>
      <c r="F68" s="402"/>
      <c r="G68" s="507" t="str">
        <f>G33</f>
        <v>2786337676</v>
      </c>
      <c r="H68" s="508"/>
      <c r="I68" s="509"/>
    </row>
    <row r="69" spans="1:10" ht="32.25" customHeight="1" thickBot="1">
      <c r="A69" s="501"/>
      <c r="B69" s="502"/>
      <c r="C69" s="503"/>
      <c r="D69" s="39"/>
      <c r="E69" s="42" t="s">
        <v>34</v>
      </c>
      <c r="F69" s="402"/>
      <c r="G69" s="43"/>
      <c r="H69" s="43"/>
      <c r="I69" s="172"/>
    </row>
    <row r="70" spans="1:10" ht="15" thickBot="1">
      <c r="A70" s="504"/>
      <c r="B70" s="505"/>
      <c r="C70" s="506"/>
      <c r="D70" s="43"/>
      <c r="E70" s="43"/>
      <c r="F70" s="403"/>
      <c r="G70" s="43"/>
      <c r="H70" s="43"/>
      <c r="I70" s="172"/>
    </row>
    <row r="71" spans="1:10" ht="17.25" customHeight="1">
      <c r="A71" s="17"/>
      <c r="B71" s="17"/>
      <c r="C71" s="17"/>
      <c r="D71" s="17"/>
      <c r="E71" s="310" t="str">
        <f>"page 2/"&amp;IF(COUNTIF(辅助!K:K,"&gt;0")&lt;25,2,3)</f>
        <v>page 2/2</v>
      </c>
      <c r="F71" s="397"/>
      <c r="G71" s="17"/>
      <c r="H71" s="17"/>
      <c r="I71" s="17"/>
    </row>
    <row r="72" spans="1:10" ht="22.5">
      <c r="A72" s="470" t="s">
        <v>44</v>
      </c>
      <c r="B72" s="470"/>
      <c r="C72" s="470"/>
      <c r="D72" s="470"/>
      <c r="E72" s="470"/>
      <c r="F72" s="470"/>
      <c r="G72" s="470"/>
      <c r="H72" s="470"/>
      <c r="I72" s="470"/>
    </row>
    <row r="73" spans="1:10" ht="3.75" customHeight="1">
      <c r="A73" s="17"/>
      <c r="B73" s="17"/>
      <c r="C73" s="17"/>
      <c r="D73" s="17"/>
      <c r="E73" s="17"/>
      <c r="F73" s="397"/>
      <c r="G73" s="17"/>
      <c r="H73" s="34"/>
      <c r="I73" s="48"/>
    </row>
    <row r="74" spans="1:10" ht="3.75" customHeight="1">
      <c r="A74" s="17"/>
      <c r="B74" s="17"/>
      <c r="C74" s="17"/>
      <c r="D74" s="17"/>
      <c r="E74" s="17"/>
      <c r="F74" s="397"/>
      <c r="G74" s="17"/>
      <c r="H74" s="17"/>
      <c r="I74" s="17"/>
    </row>
    <row r="75" spans="1:10" ht="15.75">
      <c r="A75" s="35" t="s">
        <v>43</v>
      </c>
      <c r="B75" s="36"/>
      <c r="C75" s="36"/>
      <c r="D75" s="37"/>
      <c r="E75" s="61"/>
      <c r="F75" s="398" t="s">
        <v>42</v>
      </c>
      <c r="G75" s="71"/>
      <c r="H75" s="36"/>
      <c r="I75" s="37"/>
    </row>
    <row r="76" spans="1:10" ht="15.75">
      <c r="A76" s="103" t="s">
        <v>75</v>
      </c>
      <c r="B76" s="58"/>
      <c r="C76" s="58"/>
      <c r="D76" s="59"/>
      <c r="E76" s="58"/>
      <c r="F76" s="399" t="str">
        <f>F41</f>
        <v xml:space="preserve"> Fluorochem Limited</v>
      </c>
      <c r="G76" s="192"/>
      <c r="H76" s="15"/>
      <c r="I76" s="38"/>
    </row>
    <row r="77" spans="1:10" ht="15" customHeight="1">
      <c r="A77" s="104" t="s">
        <v>527</v>
      </c>
      <c r="B77" s="60"/>
      <c r="C77" s="60"/>
      <c r="D77" s="59"/>
      <c r="E77" s="61"/>
      <c r="F77" s="404" t="str">
        <f>F42</f>
        <v>Unit 14 Graphite Way</v>
      </c>
      <c r="G77" s="7"/>
      <c r="H77" s="39"/>
      <c r="I77" s="38"/>
      <c r="J77" s="16"/>
    </row>
    <row r="78" spans="1:10" ht="15" customHeight="1">
      <c r="A78" s="104" t="s">
        <v>529</v>
      </c>
      <c r="B78" s="60"/>
      <c r="C78" s="60"/>
      <c r="D78" s="59"/>
      <c r="E78" s="61"/>
      <c r="F78" s="404" t="str">
        <f>F43</f>
        <v>Hadfield  Derbyshire</v>
      </c>
      <c r="G78" s="7"/>
      <c r="H78" s="39"/>
      <c r="I78" s="38"/>
      <c r="J78" s="16"/>
    </row>
    <row r="79" spans="1:10" ht="15" customHeight="1">
      <c r="A79" s="105" t="s">
        <v>232</v>
      </c>
      <c r="B79" s="60"/>
      <c r="C79" s="60"/>
      <c r="D79" s="59"/>
      <c r="E79" s="61"/>
      <c r="F79" s="404" t="str">
        <f>F44</f>
        <v>SK13 1QH UK</v>
      </c>
      <c r="G79" s="193"/>
      <c r="H79" s="39"/>
      <c r="I79" s="38"/>
      <c r="J79" s="14"/>
    </row>
    <row r="80" spans="1:10" ht="15">
      <c r="A80" s="106" t="s">
        <v>233</v>
      </c>
      <c r="B80" s="62"/>
      <c r="C80" s="62"/>
      <c r="D80" s="63"/>
      <c r="E80" s="61"/>
      <c r="F80" s="405" t="str">
        <f>F45</f>
        <v>TEL:4401457860111</v>
      </c>
      <c r="G80" s="6"/>
      <c r="H80" s="18"/>
      <c r="I80" s="40"/>
      <c r="J80" s="14"/>
    </row>
    <row r="81" spans="1:14" ht="3.75" customHeight="1">
      <c r="A81" s="17"/>
      <c r="B81" s="17"/>
      <c r="C81" s="17"/>
      <c r="D81" s="17"/>
      <c r="E81" s="17"/>
      <c r="F81" s="397"/>
      <c r="G81" s="17"/>
      <c r="H81" s="17"/>
      <c r="I81" s="17"/>
      <c r="J81" s="14"/>
    </row>
    <row r="82" spans="1:14" s="68" customFormat="1">
      <c r="A82" s="471" t="s">
        <v>17</v>
      </c>
      <c r="B82" s="472"/>
      <c r="C82" s="67" t="s">
        <v>632</v>
      </c>
      <c r="D82" s="263" t="s">
        <v>369</v>
      </c>
      <c r="E82" s="67" t="s">
        <v>21</v>
      </c>
      <c r="F82" s="400" t="s">
        <v>19</v>
      </c>
      <c r="G82" s="276" t="s">
        <v>20</v>
      </c>
      <c r="H82" s="471" t="s">
        <v>30</v>
      </c>
      <c r="I82" s="472"/>
    </row>
    <row r="83" spans="1:14" s="68" customFormat="1" ht="12.75">
      <c r="A83" s="471"/>
      <c r="B83" s="472"/>
      <c r="C83" s="67" t="str">
        <f>C48</f>
        <v>P100426</v>
      </c>
      <c r="D83" s="67"/>
      <c r="E83" s="67"/>
      <c r="F83" s="401" t="s">
        <v>38</v>
      </c>
      <c r="G83" s="67"/>
      <c r="H83" s="471" t="s">
        <v>386</v>
      </c>
      <c r="I83" s="472"/>
      <c r="J83" s="30"/>
    </row>
    <row r="84" spans="1:14" s="68" customFormat="1" ht="12.75">
      <c r="A84" s="471" t="s">
        <v>22</v>
      </c>
      <c r="B84" s="473"/>
      <c r="C84" s="472"/>
      <c r="D84" s="263" t="s">
        <v>70</v>
      </c>
      <c r="E84" s="471" t="s">
        <v>23</v>
      </c>
      <c r="F84" s="472"/>
      <c r="G84" s="277" t="s">
        <v>29</v>
      </c>
      <c r="H84" s="471" t="s">
        <v>18</v>
      </c>
      <c r="I84" s="472"/>
      <c r="J84" s="30"/>
    </row>
    <row r="85" spans="1:14" s="28" customFormat="1" ht="15.75">
      <c r="A85" s="476" t="s">
        <v>39</v>
      </c>
      <c r="B85" s="477"/>
      <c r="C85" s="478"/>
      <c r="D85" s="27"/>
      <c r="E85" s="476" t="str">
        <f>E50</f>
        <v>UK</v>
      </c>
      <c r="F85" s="478"/>
      <c r="G85" s="79">
        <f ca="1">TODAY()</f>
        <v>43839</v>
      </c>
      <c r="H85" s="479" t="str">
        <f>发货清单!$AA$2</f>
        <v>20200109-607</v>
      </c>
      <c r="I85" s="480"/>
      <c r="J85" s="30"/>
    </row>
    <row r="86" spans="1:14" s="26" customFormat="1" ht="23.25" customHeight="1">
      <c r="A86" s="66" t="s">
        <v>24</v>
      </c>
      <c r="B86" s="481" t="s">
        <v>25</v>
      </c>
      <c r="C86" s="482"/>
      <c r="D86" s="483"/>
      <c r="E86" s="55" t="s">
        <v>28</v>
      </c>
      <c r="F86" s="482" t="str">
        <f>F16</f>
        <v>HS code</v>
      </c>
      <c r="G86" s="483"/>
      <c r="H86" s="250" t="s">
        <v>26</v>
      </c>
      <c r="I86" s="250" t="s">
        <v>27</v>
      </c>
      <c r="N86" s="47"/>
    </row>
    <row r="87" spans="1:14" s="44" customFormat="1" ht="30" customHeight="1">
      <c r="A87" s="176">
        <f>辅助!N26</f>
        <v>0</v>
      </c>
      <c r="B87" s="474" t="str">
        <f>IFERROR(辅助!P26&amp;CHAR(10)&amp;VLOOKUP(辅助!P26,数据库!C:G,5,0),"")</f>
        <v/>
      </c>
      <c r="C87" s="474"/>
      <c r="D87" s="474"/>
      <c r="E87" s="309" t="str">
        <f t="shared" ref="E87:E98" si="5">IF(A87=0,"","Glass/Plastic bottle")</f>
        <v/>
      </c>
      <c r="F87" s="475" t="str">
        <f>IFERROR(IF($E$15="USA",VLOOKUP(辅助!R26,数据库!D:E,2,0),辅助!R26),"")</f>
        <v/>
      </c>
      <c r="G87" s="475"/>
      <c r="H87" s="275">
        <f>IF(A87=0,0,I87/A87)</f>
        <v>0</v>
      </c>
      <c r="I87" s="177">
        <f>辅助!O26</f>
        <v>0</v>
      </c>
    </row>
    <row r="88" spans="1:14" s="44" customFormat="1" ht="30" customHeight="1">
      <c r="A88" s="176">
        <f>辅助!N27</f>
        <v>0</v>
      </c>
      <c r="B88" s="474" t="str">
        <f>IFERROR(辅助!P27&amp;CHAR(10)&amp;VLOOKUP(辅助!P27,数据库!C:G,5,0),"")</f>
        <v/>
      </c>
      <c r="C88" s="474"/>
      <c r="D88" s="474"/>
      <c r="E88" s="309" t="str">
        <f t="shared" si="5"/>
        <v/>
      </c>
      <c r="F88" s="475" t="str">
        <f>IFERROR(IF($E$15="USA",VLOOKUP(辅助!R27,数据库!D:E,2,0),辅助!R27),"")</f>
        <v/>
      </c>
      <c r="G88" s="475"/>
      <c r="H88" s="275">
        <f>IF(A88=0,0,I88/A88)</f>
        <v>0</v>
      </c>
      <c r="I88" s="177">
        <f>辅助!O27</f>
        <v>0</v>
      </c>
    </row>
    <row r="89" spans="1:14" s="44" customFormat="1" ht="30" customHeight="1">
      <c r="A89" s="176">
        <f>辅助!N28</f>
        <v>0</v>
      </c>
      <c r="B89" s="474" t="str">
        <f>IFERROR(辅助!P28&amp;CHAR(10)&amp;VLOOKUP(辅助!P28,数据库!C:G,5,0),"")</f>
        <v/>
      </c>
      <c r="C89" s="474"/>
      <c r="D89" s="474"/>
      <c r="E89" s="309" t="str">
        <f t="shared" si="5"/>
        <v/>
      </c>
      <c r="F89" s="475" t="str">
        <f>IFERROR(IF($E$15="USA",VLOOKUP(辅助!R28,数据库!D:E,2,0),辅助!R28),"")</f>
        <v/>
      </c>
      <c r="G89" s="475"/>
      <c r="H89" s="275">
        <f t="shared" ref="H89:H98" si="6">IF(A89=0,0,I89/A89)</f>
        <v>0</v>
      </c>
      <c r="I89" s="177">
        <f>辅助!O28</f>
        <v>0</v>
      </c>
    </row>
    <row r="90" spans="1:14" s="44" customFormat="1" ht="30" customHeight="1">
      <c r="A90" s="176">
        <f>辅助!N29</f>
        <v>0</v>
      </c>
      <c r="B90" s="474" t="str">
        <f>IFERROR(辅助!P29&amp;CHAR(10)&amp;VLOOKUP(辅助!P29,数据库!C:G,5,0),"")</f>
        <v/>
      </c>
      <c r="C90" s="474"/>
      <c r="D90" s="474"/>
      <c r="E90" s="309" t="str">
        <f t="shared" si="5"/>
        <v/>
      </c>
      <c r="F90" s="475" t="str">
        <f>IFERROR(IF($E$15="USA",VLOOKUP(辅助!R29,数据库!D:E,2,0),辅助!R29),"")</f>
        <v/>
      </c>
      <c r="G90" s="475"/>
      <c r="H90" s="275">
        <f t="shared" si="6"/>
        <v>0</v>
      </c>
      <c r="I90" s="177">
        <f>辅助!O29</f>
        <v>0</v>
      </c>
    </row>
    <row r="91" spans="1:14" s="44" customFormat="1" ht="30" customHeight="1">
      <c r="A91" s="176">
        <f>辅助!N30</f>
        <v>0</v>
      </c>
      <c r="B91" s="474" t="str">
        <f>IFERROR(辅助!P30&amp;CHAR(10)&amp;VLOOKUP(辅助!P30,数据库!C:G,5,0),"")</f>
        <v/>
      </c>
      <c r="C91" s="474"/>
      <c r="D91" s="474"/>
      <c r="E91" s="309" t="str">
        <f t="shared" si="5"/>
        <v/>
      </c>
      <c r="F91" s="475" t="str">
        <f>IFERROR(IF($E$15="USA",VLOOKUP(辅助!R30,数据库!D:E,2,0),辅助!R30),"")</f>
        <v/>
      </c>
      <c r="G91" s="475"/>
      <c r="H91" s="275">
        <f t="shared" si="6"/>
        <v>0</v>
      </c>
      <c r="I91" s="177">
        <f>辅助!O30</f>
        <v>0</v>
      </c>
    </row>
    <row r="92" spans="1:14" s="44" customFormat="1" ht="30" customHeight="1">
      <c r="A92" s="176">
        <f>辅助!N31</f>
        <v>0</v>
      </c>
      <c r="B92" s="474" t="str">
        <f>IFERROR(辅助!P31&amp;CHAR(10)&amp;VLOOKUP(辅助!P31,数据库!C:G,5,0),"")</f>
        <v/>
      </c>
      <c r="C92" s="474"/>
      <c r="D92" s="474"/>
      <c r="E92" s="309" t="str">
        <f t="shared" si="5"/>
        <v/>
      </c>
      <c r="F92" s="475" t="str">
        <f>IFERROR(IF($E$15="USA",VLOOKUP(辅助!R31,数据库!D:E,2,0),辅助!R31),"")</f>
        <v/>
      </c>
      <c r="G92" s="475"/>
      <c r="H92" s="275">
        <f t="shared" si="6"/>
        <v>0</v>
      </c>
      <c r="I92" s="177">
        <f>辅助!O31</f>
        <v>0</v>
      </c>
    </row>
    <row r="93" spans="1:14" s="44" customFormat="1" ht="30" customHeight="1">
      <c r="A93" s="176">
        <f>辅助!N32</f>
        <v>0</v>
      </c>
      <c r="B93" s="474" t="str">
        <f>IFERROR(辅助!P32&amp;CHAR(10)&amp;VLOOKUP(辅助!P32,数据库!C:G,5,0),"")</f>
        <v/>
      </c>
      <c r="C93" s="474"/>
      <c r="D93" s="474"/>
      <c r="E93" s="309" t="str">
        <f t="shared" si="5"/>
        <v/>
      </c>
      <c r="F93" s="475" t="str">
        <f>IFERROR(IF($E$15="USA",VLOOKUP(辅助!R32,数据库!D:E,2,0),辅助!R32),"")</f>
        <v/>
      </c>
      <c r="G93" s="475"/>
      <c r="H93" s="275">
        <f t="shared" si="6"/>
        <v>0</v>
      </c>
      <c r="I93" s="177">
        <f>辅助!O32</f>
        <v>0</v>
      </c>
    </row>
    <row r="94" spans="1:14" s="44" customFormat="1" ht="30" customHeight="1">
      <c r="A94" s="176">
        <f>辅助!N33</f>
        <v>0</v>
      </c>
      <c r="B94" s="474" t="str">
        <f>IFERROR(辅助!P33&amp;CHAR(10)&amp;VLOOKUP(辅助!P33,数据库!C:G,5,0),"")</f>
        <v/>
      </c>
      <c r="C94" s="474"/>
      <c r="D94" s="474"/>
      <c r="E94" s="309" t="str">
        <f t="shared" si="5"/>
        <v/>
      </c>
      <c r="F94" s="475" t="str">
        <f>IFERROR(IF($E$15="USA",VLOOKUP(辅助!R33,数据库!D:E,2,0),辅助!R33),"")</f>
        <v/>
      </c>
      <c r="G94" s="475"/>
      <c r="H94" s="275">
        <f t="shared" si="6"/>
        <v>0</v>
      </c>
      <c r="I94" s="177">
        <f>辅助!O33</f>
        <v>0</v>
      </c>
    </row>
    <row r="95" spans="1:14" s="44" customFormat="1" ht="30" customHeight="1">
      <c r="A95" s="176">
        <f>辅助!N34</f>
        <v>0</v>
      </c>
      <c r="B95" s="474" t="str">
        <f>IFERROR(辅助!P34&amp;CHAR(10)&amp;VLOOKUP(辅助!P34,数据库!C:G,5,0),"")</f>
        <v/>
      </c>
      <c r="C95" s="474"/>
      <c r="D95" s="474"/>
      <c r="E95" s="309" t="str">
        <f t="shared" si="5"/>
        <v/>
      </c>
      <c r="F95" s="475" t="str">
        <f>IFERROR(IF($E$15="USA",VLOOKUP(辅助!R34,数据库!D:E,2,0),辅助!R34),"")</f>
        <v/>
      </c>
      <c r="G95" s="475"/>
      <c r="H95" s="275">
        <f t="shared" si="6"/>
        <v>0</v>
      </c>
      <c r="I95" s="177">
        <f>辅助!O34</f>
        <v>0</v>
      </c>
    </row>
    <row r="96" spans="1:14" s="44" customFormat="1" ht="30" customHeight="1">
      <c r="A96" s="176">
        <f>辅助!N35</f>
        <v>0</v>
      </c>
      <c r="B96" s="474" t="str">
        <f>IFERROR(辅助!P35&amp;CHAR(10)&amp;VLOOKUP(辅助!P35,数据库!C:G,5,0),"")</f>
        <v/>
      </c>
      <c r="C96" s="474"/>
      <c r="D96" s="474"/>
      <c r="E96" s="309" t="str">
        <f t="shared" si="5"/>
        <v/>
      </c>
      <c r="F96" s="475" t="str">
        <f>IFERROR(IF($E$15="USA",VLOOKUP(辅助!R35,数据库!D:E,2,0),辅助!R35),"")</f>
        <v/>
      </c>
      <c r="G96" s="475"/>
      <c r="H96" s="275">
        <f t="shared" si="6"/>
        <v>0</v>
      </c>
      <c r="I96" s="177">
        <f>辅助!O35</f>
        <v>0</v>
      </c>
    </row>
    <row r="97" spans="1:9" s="44" customFormat="1" ht="30" customHeight="1">
      <c r="A97" s="176">
        <f>辅助!N36</f>
        <v>0</v>
      </c>
      <c r="B97" s="474" t="str">
        <f>IFERROR(辅助!P36&amp;CHAR(10)&amp;VLOOKUP(辅助!P36,数据库!C:G,5,0),"")</f>
        <v/>
      </c>
      <c r="C97" s="474"/>
      <c r="D97" s="474"/>
      <c r="E97" s="309" t="str">
        <f t="shared" si="5"/>
        <v/>
      </c>
      <c r="F97" s="475" t="str">
        <f>IFERROR(IF($E$15="USA",VLOOKUP(辅助!R36,数据库!D:E,2,0),辅助!R36),"")</f>
        <v/>
      </c>
      <c r="G97" s="475"/>
      <c r="H97" s="275">
        <f t="shared" si="6"/>
        <v>0</v>
      </c>
      <c r="I97" s="177">
        <f>辅助!O36</f>
        <v>0</v>
      </c>
    </row>
    <row r="98" spans="1:9" s="44" customFormat="1" ht="30" customHeight="1">
      <c r="A98" s="176">
        <f>辅助!N37</f>
        <v>0</v>
      </c>
      <c r="B98" s="474" t="str">
        <f>IFERROR(辅助!P37&amp;CHAR(10)&amp;VLOOKUP(辅助!P37,数据库!C:G,5,0),"")</f>
        <v/>
      </c>
      <c r="C98" s="474"/>
      <c r="D98" s="474"/>
      <c r="E98" s="309" t="str">
        <f t="shared" si="5"/>
        <v/>
      </c>
      <c r="F98" s="475" t="str">
        <f>IFERROR(IF($E$15="USA",VLOOKUP(辅助!R37,数据库!D:E,2,0),辅助!R37),"")</f>
        <v/>
      </c>
      <c r="G98" s="475"/>
      <c r="H98" s="275">
        <f t="shared" si="6"/>
        <v>0</v>
      </c>
      <c r="I98" s="177">
        <f>辅助!O37</f>
        <v>0</v>
      </c>
    </row>
    <row r="99" spans="1:9" s="44" customFormat="1" ht="37.5" customHeight="1" thickBot="1">
      <c r="A99" s="176"/>
      <c r="B99" s="510" t="str">
        <f>IF(COUNTIF(辅助!N:N,"&gt;0")&lt;=36,"Total Net Weight（g）:   "&amp;SUM(辅助!N:N)," ")&amp;CHAR(10)&amp;IF(COUNTIF(辅助!N:N,"&gt;0")&lt;=36,"Gross Weight(kg):   "&amp;发货清单!Y2," ")</f>
        <v>Total Net Weight（g）:   3266
Gross Weight(kg):   10</v>
      </c>
      <c r="C99" s="511"/>
      <c r="D99" s="512"/>
      <c r="E99" s="66"/>
      <c r="F99" s="475"/>
      <c r="G99" s="475"/>
      <c r="H99" s="278" t="str">
        <f>IF(COUNTIF(辅助!O:O,"&gt;0")&lt;=36,"TOTAL:"," ")</f>
        <v>TOTAL:</v>
      </c>
      <c r="I99" s="274">
        <f>IF(COUNTIF(辅助!O:O,"&gt;0")&lt;=36,SUM(辅助!O:O)," ")</f>
        <v>3532.9</v>
      </c>
    </row>
    <row r="100" spans="1:9" ht="15.75">
      <c r="A100" s="169" t="s">
        <v>31</v>
      </c>
      <c r="B100" s="170"/>
      <c r="C100" s="170"/>
      <c r="D100" s="171"/>
      <c r="E100" s="41"/>
      <c r="F100" s="484"/>
      <c r="G100" s="484"/>
      <c r="H100" s="484"/>
      <c r="I100" s="485"/>
    </row>
    <row r="101" spans="1:9" ht="15" customHeight="1">
      <c r="A101" s="486" t="str">
        <f>A66</f>
        <v>I certify that all chemicals in this shipment are not subject to TSCA.</v>
      </c>
      <c r="B101" s="487"/>
      <c r="C101" s="488"/>
      <c r="D101" s="39"/>
      <c r="E101" s="492" t="s">
        <v>73</v>
      </c>
      <c r="F101" s="493"/>
      <c r="G101" s="493"/>
      <c r="H101" s="493"/>
      <c r="I101" s="494"/>
    </row>
    <row r="102" spans="1:9" ht="10.5" customHeight="1" thickBot="1">
      <c r="A102" s="489"/>
      <c r="B102" s="490"/>
      <c r="C102" s="491"/>
      <c r="D102" s="39"/>
      <c r="E102" s="495"/>
      <c r="F102" s="496"/>
      <c r="G102" s="496"/>
      <c r="H102" s="496"/>
      <c r="I102" s="497"/>
    </row>
    <row r="103" spans="1:9" ht="16.5" customHeight="1" thickBot="1">
      <c r="A103" s="498" t="s">
        <v>525</v>
      </c>
      <c r="B103" s="499"/>
      <c r="C103" s="500"/>
      <c r="D103" s="39"/>
      <c r="E103" s="42" t="s">
        <v>71</v>
      </c>
      <c r="F103" s="402"/>
      <c r="G103" s="507" t="str">
        <f>G33</f>
        <v>2786337676</v>
      </c>
      <c r="H103" s="508"/>
      <c r="I103" s="509"/>
    </row>
    <row r="104" spans="1:9" ht="32.25" customHeight="1" thickBot="1">
      <c r="A104" s="501"/>
      <c r="B104" s="502"/>
      <c r="C104" s="503"/>
      <c r="D104" s="39"/>
      <c r="E104" s="42" t="s">
        <v>34</v>
      </c>
      <c r="F104" s="402"/>
      <c r="G104" s="43"/>
      <c r="H104" s="43"/>
      <c r="I104" s="172"/>
    </row>
    <row r="105" spans="1:9" ht="15" thickBot="1">
      <c r="A105" s="504"/>
      <c r="B105" s="505"/>
      <c r="C105" s="506"/>
      <c r="D105" s="43"/>
      <c r="E105" s="43"/>
      <c r="F105" s="403"/>
      <c r="G105" s="43"/>
      <c r="H105" s="43"/>
      <c r="I105" s="172"/>
    </row>
    <row r="106" spans="1:9">
      <c r="E106" s="19" t="s">
        <v>568</v>
      </c>
    </row>
  </sheetData>
  <mergeCells count="135">
    <mergeCell ref="B28:D28"/>
    <mergeCell ref="B25:D25"/>
    <mergeCell ref="B26:D26"/>
    <mergeCell ref="B27:D27"/>
    <mergeCell ref="B21:D21"/>
    <mergeCell ref="B22:D22"/>
    <mergeCell ref="B24:D24"/>
    <mergeCell ref="B23:D23"/>
    <mergeCell ref="A14:C14"/>
    <mergeCell ref="E14:F14"/>
    <mergeCell ref="B17:D17"/>
    <mergeCell ref="F17:G17"/>
    <mergeCell ref="H14:I14"/>
    <mergeCell ref="A15:C15"/>
    <mergeCell ref="E15:F15"/>
    <mergeCell ref="H15:I15"/>
    <mergeCell ref="A2:I2"/>
    <mergeCell ref="A12:B12"/>
    <mergeCell ref="H12:I12"/>
    <mergeCell ref="A13:B13"/>
    <mergeCell ref="H13:I13"/>
    <mergeCell ref="A33:C35"/>
    <mergeCell ref="G33:I33"/>
    <mergeCell ref="B16:D16"/>
    <mergeCell ref="F16:G16"/>
    <mergeCell ref="B20:D20"/>
    <mergeCell ref="B19:D19"/>
    <mergeCell ref="F26:G26"/>
    <mergeCell ref="F25:G25"/>
    <mergeCell ref="F28:G28"/>
    <mergeCell ref="F27:G27"/>
    <mergeCell ref="F30:I30"/>
    <mergeCell ref="A31:C32"/>
    <mergeCell ref="E31:I31"/>
    <mergeCell ref="E32:I32"/>
    <mergeCell ref="B18:D18"/>
    <mergeCell ref="F18:G18"/>
    <mergeCell ref="F19:G19"/>
    <mergeCell ref="F20:G20"/>
    <mergeCell ref="B29:D29"/>
    <mergeCell ref="F29:G29"/>
    <mergeCell ref="F21:G21"/>
    <mergeCell ref="F22:G22"/>
    <mergeCell ref="F23:G23"/>
    <mergeCell ref="F24:G24"/>
    <mergeCell ref="A49:C49"/>
    <mergeCell ref="E49:F49"/>
    <mergeCell ref="H49:I49"/>
    <mergeCell ref="A50:C50"/>
    <mergeCell ref="E50:F50"/>
    <mergeCell ref="H50:I50"/>
    <mergeCell ref="A37:I37"/>
    <mergeCell ref="A47:B47"/>
    <mergeCell ref="H47:I47"/>
    <mergeCell ref="A48:B48"/>
    <mergeCell ref="H48:I48"/>
    <mergeCell ref="B54:D54"/>
    <mergeCell ref="F54:G54"/>
    <mergeCell ref="B55:D55"/>
    <mergeCell ref="F55:G55"/>
    <mergeCell ref="B56:D56"/>
    <mergeCell ref="F56:G56"/>
    <mergeCell ref="B51:D51"/>
    <mergeCell ref="F51:G51"/>
    <mergeCell ref="B52:D52"/>
    <mergeCell ref="F52:G52"/>
    <mergeCell ref="B53:D53"/>
    <mergeCell ref="F53:G53"/>
    <mergeCell ref="B60:D60"/>
    <mergeCell ref="F60:G60"/>
    <mergeCell ref="B61:D61"/>
    <mergeCell ref="F61:G61"/>
    <mergeCell ref="B62:D62"/>
    <mergeCell ref="F62:G62"/>
    <mergeCell ref="B57:D57"/>
    <mergeCell ref="F57:G57"/>
    <mergeCell ref="B58:D58"/>
    <mergeCell ref="F58:G58"/>
    <mergeCell ref="B59:D59"/>
    <mergeCell ref="F59:G59"/>
    <mergeCell ref="A66:C67"/>
    <mergeCell ref="E66:I66"/>
    <mergeCell ref="E67:I67"/>
    <mergeCell ref="A68:C70"/>
    <mergeCell ref="G68:I68"/>
    <mergeCell ref="B63:D63"/>
    <mergeCell ref="F63:G63"/>
    <mergeCell ref="B64:D64"/>
    <mergeCell ref="F64:G64"/>
    <mergeCell ref="F65:I65"/>
    <mergeCell ref="A84:C84"/>
    <mergeCell ref="E84:F84"/>
    <mergeCell ref="H84:I84"/>
    <mergeCell ref="A85:C85"/>
    <mergeCell ref="E85:F85"/>
    <mergeCell ref="H85:I85"/>
    <mergeCell ref="A72:I72"/>
    <mergeCell ref="A82:B82"/>
    <mergeCell ref="H82:I82"/>
    <mergeCell ref="A83:B83"/>
    <mergeCell ref="H83:I83"/>
    <mergeCell ref="B89:D89"/>
    <mergeCell ref="F89:G89"/>
    <mergeCell ref="B90:D90"/>
    <mergeCell ref="F90:G90"/>
    <mergeCell ref="B91:D91"/>
    <mergeCell ref="F91:G91"/>
    <mergeCell ref="B86:D86"/>
    <mergeCell ref="F86:G86"/>
    <mergeCell ref="B87:D87"/>
    <mergeCell ref="F87:G87"/>
    <mergeCell ref="B88:D88"/>
    <mergeCell ref="F88:G88"/>
    <mergeCell ref="B95:D95"/>
    <mergeCell ref="F95:G95"/>
    <mergeCell ref="B96:D96"/>
    <mergeCell ref="F96:G96"/>
    <mergeCell ref="B97:D97"/>
    <mergeCell ref="F97:G97"/>
    <mergeCell ref="B92:D92"/>
    <mergeCell ref="F92:G92"/>
    <mergeCell ref="B93:D93"/>
    <mergeCell ref="F93:G93"/>
    <mergeCell ref="B94:D94"/>
    <mergeCell ref="F94:G94"/>
    <mergeCell ref="A101:C102"/>
    <mergeCell ref="E101:I101"/>
    <mergeCell ref="E102:I102"/>
    <mergeCell ref="A103:C105"/>
    <mergeCell ref="G103:I103"/>
    <mergeCell ref="B98:D98"/>
    <mergeCell ref="F98:G98"/>
    <mergeCell ref="B99:D99"/>
    <mergeCell ref="F99:G99"/>
    <mergeCell ref="F100:I100"/>
  </mergeCells>
  <phoneticPr fontId="1" type="noConversion"/>
  <conditionalFormatting sqref="H17:I29 A17:B29 E17:F29">
    <cfRule type="cellIs" dxfId="127" priority="27" operator="equal">
      <formula>0</formula>
    </cfRule>
  </conditionalFormatting>
  <conditionalFormatting sqref="E64:F64 H52:I64 A52:B64 F52:F63">
    <cfRule type="cellIs" dxfId="126" priority="11" operator="equal">
      <formula>0</formula>
    </cfRule>
  </conditionalFormatting>
  <conditionalFormatting sqref="E99:F99 A87:B99 H87:I99 F87:F98">
    <cfRule type="cellIs" dxfId="125" priority="9" operator="equal">
      <formula>0</formula>
    </cfRule>
  </conditionalFormatting>
  <conditionalFormatting sqref="F80">
    <cfRule type="cellIs" dxfId="124" priority="8" operator="equal">
      <formula>0</formula>
    </cfRule>
  </conditionalFormatting>
  <conditionalFormatting sqref="E52:E63">
    <cfRule type="cellIs" dxfId="123" priority="5" operator="equal">
      <formula>0</formula>
    </cfRule>
  </conditionalFormatting>
  <conditionalFormatting sqref="E87:E98">
    <cfRule type="cellIs" dxfId="122" priority="4" operator="equal">
      <formula>0</formula>
    </cfRule>
  </conditionalFormatting>
  <conditionalFormatting sqref="A72:XFD106">
    <cfRule type="expression" dxfId="121" priority="3">
      <formula>$A$87=0</formula>
    </cfRule>
  </conditionalFormatting>
  <conditionalFormatting sqref="A37:XFD41 A42:E45 G42:XFD45 A46:XFD71">
    <cfRule type="expression" dxfId="120" priority="2">
      <formula>$A$52=0</formula>
    </cfRule>
  </conditionalFormatting>
  <conditionalFormatting sqref="F42:F45">
    <cfRule type="expression" dxfId="119" priority="1">
      <formula>$A$52=0</formula>
    </cfRule>
  </conditionalFormatting>
  <dataValidations xWindow="951" yWindow="332" count="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1 A66 A101"/>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2 E67 E102"/>
  </dataValidations>
  <hyperlinks>
    <hyperlink ref="A10" r:id="rId1"/>
    <hyperlink ref="A45" r:id="rId2"/>
    <hyperlink ref="A80" r:id="rId3"/>
  </hyperlinks>
  <pageMargins left="0.19685039370078741" right="0" top="0.51181102362204722" bottom="0.74803149606299213" header="0.31496062992125984" footer="0.31496062992125984"/>
  <pageSetup paperSize="9" orientation="portrait" horizontalDpi="4294967295" verticalDpi="4294967295"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N109"/>
  <sheetViews>
    <sheetView zoomScaleNormal="100" workbookViewId="0">
      <selection activeCell="C36" sqref="C36"/>
    </sheetView>
  </sheetViews>
  <sheetFormatPr defaultRowHeight="14.25"/>
  <cols>
    <col min="1" max="1" width="5.25" customWidth="1"/>
    <col min="2" max="2" width="6.5" customWidth="1"/>
    <col min="3" max="3" width="26.125" customWidth="1"/>
    <col min="4" max="4" width="9.75" customWidth="1"/>
    <col min="5" max="5" width="9.375" customWidth="1"/>
    <col min="6" max="6" width="5.625" customWidth="1"/>
    <col min="7" max="7" width="8" customWidth="1"/>
    <col min="8" max="8" width="10.875" customWidth="1"/>
    <col min="9" max="9" width="13" customWidth="1"/>
  </cols>
  <sheetData>
    <row r="1" spans="1:14" ht="8.25" customHeight="1">
      <c r="A1" s="17"/>
      <c r="B1" s="17"/>
      <c r="C1" s="17"/>
      <c r="D1" s="17"/>
      <c r="E1" s="17"/>
      <c r="F1" s="17"/>
      <c r="G1" s="17"/>
      <c r="H1" s="17"/>
      <c r="I1" s="17"/>
    </row>
    <row r="2" spans="1:14" ht="22.5">
      <c r="A2" s="470" t="s">
        <v>1207</v>
      </c>
      <c r="B2" s="470"/>
      <c r="C2" s="470"/>
      <c r="D2" s="470"/>
      <c r="E2" s="470"/>
      <c r="F2" s="470"/>
      <c r="G2" s="470"/>
      <c r="H2" s="470"/>
      <c r="I2" s="470"/>
    </row>
    <row r="3" spans="1:14" ht="5.25" hidden="1" customHeight="1">
      <c r="A3" s="17"/>
      <c r="B3" s="17"/>
      <c r="C3" s="17"/>
      <c r="D3" s="17"/>
      <c r="E3" s="17"/>
      <c r="F3" s="17"/>
      <c r="G3" s="17"/>
      <c r="H3" s="34"/>
      <c r="I3" s="48"/>
    </row>
    <row r="4" spans="1:14" ht="5.25" hidden="1" customHeight="1">
      <c r="A4" s="17"/>
      <c r="B4" s="17"/>
      <c r="C4" s="17"/>
      <c r="D4" s="17"/>
      <c r="E4" s="17"/>
      <c r="F4" s="17"/>
      <c r="G4" s="17"/>
      <c r="H4" s="17"/>
      <c r="I4" s="17"/>
    </row>
    <row r="5" spans="1:14" ht="15.75">
      <c r="A5" s="35" t="s">
        <v>43</v>
      </c>
      <c r="B5" s="36"/>
      <c r="C5" s="36"/>
      <c r="D5" s="37"/>
      <c r="E5" s="61"/>
      <c r="F5" s="77" t="s">
        <v>42</v>
      </c>
      <c r="G5" s="71"/>
      <c r="H5" s="36"/>
      <c r="I5" s="37"/>
    </row>
    <row r="6" spans="1:14" ht="15.75">
      <c r="A6" s="103" t="s">
        <v>229</v>
      </c>
      <c r="B6" s="58"/>
      <c r="C6" s="58"/>
      <c r="D6" s="59"/>
      <c r="E6" s="58"/>
      <c r="F6" s="57" t="str">
        <f>'Commercial Invoice3'!F6</f>
        <v xml:space="preserve"> Fluorochem Limited</v>
      </c>
      <c r="G6" s="192"/>
      <c r="H6" s="15"/>
      <c r="I6" s="38"/>
    </row>
    <row r="7" spans="1:14" ht="15" customHeight="1">
      <c r="A7" s="104" t="s">
        <v>230</v>
      </c>
      <c r="B7" s="60"/>
      <c r="C7" s="60"/>
      <c r="D7" s="59"/>
      <c r="E7" s="61"/>
      <c r="F7" s="53" t="str">
        <f>'Commercial Invoice3'!F7</f>
        <v>Unit 14 Graphite Way</v>
      </c>
      <c r="G7" s="7"/>
      <c r="H7" s="39"/>
      <c r="I7" s="38"/>
      <c r="J7" s="16"/>
    </row>
    <row r="8" spans="1:14" ht="15" customHeight="1">
      <c r="A8" s="104" t="s">
        <v>231</v>
      </c>
      <c r="B8" s="60"/>
      <c r="C8" s="60"/>
      <c r="D8" s="59"/>
      <c r="E8" s="61"/>
      <c r="F8" s="53" t="str">
        <f>'Commercial Invoice3'!F8</f>
        <v>Hadfield  Derbyshire</v>
      </c>
      <c r="G8" s="7"/>
      <c r="H8" s="39"/>
      <c r="I8" s="38"/>
      <c r="J8" s="16"/>
    </row>
    <row r="9" spans="1:14" ht="15" customHeight="1">
      <c r="A9" s="105" t="s">
        <v>232</v>
      </c>
      <c r="B9" s="60"/>
      <c r="C9" s="60"/>
      <c r="D9" s="59"/>
      <c r="E9" s="61"/>
      <c r="F9" s="53" t="str">
        <f>'Commercial Invoice3'!F9</f>
        <v>SK13 1QH UK</v>
      </c>
      <c r="G9" s="193"/>
      <c r="H9" s="39"/>
      <c r="I9" s="38"/>
      <c r="J9" s="14"/>
    </row>
    <row r="10" spans="1:14" ht="15">
      <c r="A10" s="106" t="s">
        <v>233</v>
      </c>
      <c r="B10" s="62"/>
      <c r="C10" s="62"/>
      <c r="D10" s="63"/>
      <c r="E10" s="61"/>
      <c r="F10" s="53" t="str">
        <f>'Commercial Invoice3'!F10</f>
        <v>TEL:4401457860111</v>
      </c>
      <c r="G10" s="6"/>
      <c r="H10" s="18"/>
      <c r="I10" s="40"/>
      <c r="J10" s="14"/>
    </row>
    <row r="11" spans="1:14" ht="6" customHeight="1">
      <c r="A11" s="17"/>
      <c r="B11" s="17"/>
      <c r="C11" s="17"/>
      <c r="D11" s="17"/>
      <c r="E11" s="17"/>
      <c r="F11" s="17"/>
      <c r="G11" s="17"/>
      <c r="H11" s="17"/>
      <c r="I11" s="17"/>
      <c r="J11" s="14"/>
    </row>
    <row r="12" spans="1:14" s="68" customFormat="1">
      <c r="A12" s="471" t="s">
        <v>17</v>
      </c>
      <c r="B12" s="472"/>
      <c r="C12" s="235" t="str">
        <f>'Commercial Invoice3'!C12</f>
        <v>Order  No.</v>
      </c>
      <c r="D12" s="67" t="s">
        <v>369</v>
      </c>
      <c r="E12" s="67" t="s">
        <v>21</v>
      </c>
      <c r="F12" s="263" t="s">
        <v>19</v>
      </c>
      <c r="G12" s="67" t="s">
        <v>20</v>
      </c>
      <c r="H12" s="471" t="s">
        <v>30</v>
      </c>
      <c r="I12" s="472"/>
    </row>
    <row r="13" spans="1:14" s="68" customFormat="1" ht="12.75">
      <c r="A13" s="471"/>
      <c r="B13" s="472"/>
      <c r="C13" s="67" t="str">
        <f>'Commercial Invoice3'!C13</f>
        <v>P100426</v>
      </c>
      <c r="D13" s="67"/>
      <c r="E13" s="67"/>
      <c r="F13" s="29" t="s">
        <v>38</v>
      </c>
      <c r="G13" s="67"/>
      <c r="H13" s="471" t="s">
        <v>386</v>
      </c>
      <c r="I13" s="472"/>
      <c r="J13" s="30"/>
    </row>
    <row r="14" spans="1:14" s="68" customFormat="1" ht="12.75">
      <c r="A14" s="471" t="s">
        <v>22</v>
      </c>
      <c r="B14" s="473"/>
      <c r="C14" s="472"/>
      <c r="D14" s="67" t="s">
        <v>70</v>
      </c>
      <c r="E14" s="471" t="s">
        <v>23</v>
      </c>
      <c r="F14" s="472"/>
      <c r="G14" s="445" t="s">
        <v>29</v>
      </c>
      <c r="H14" s="471" t="s">
        <v>18</v>
      </c>
      <c r="I14" s="472"/>
      <c r="J14" s="30"/>
    </row>
    <row r="15" spans="1:14" s="28" customFormat="1" ht="15.75">
      <c r="A15" s="476" t="s">
        <v>39</v>
      </c>
      <c r="B15" s="477"/>
      <c r="C15" s="478"/>
      <c r="D15" s="27"/>
      <c r="E15" s="513" t="str">
        <f>'Commercial Invoice3'!E15</f>
        <v>UK</v>
      </c>
      <c r="F15" s="478"/>
      <c r="G15" s="79">
        <f ca="1">'Commercial Invoice3'!G15</f>
        <v>43839</v>
      </c>
      <c r="H15" s="479" t="str">
        <f>'Commercial Invoice3'!H15</f>
        <v>20200109-607</v>
      </c>
      <c r="I15" s="480"/>
      <c r="J15" s="30"/>
    </row>
    <row r="16" spans="1:14" s="26" customFormat="1" ht="23.25" customHeight="1">
      <c r="A16" s="66" t="s">
        <v>24</v>
      </c>
      <c r="B16" s="481" t="s">
        <v>25</v>
      </c>
      <c r="C16" s="482"/>
      <c r="D16" s="483"/>
      <c r="E16" s="55" t="s">
        <v>28</v>
      </c>
      <c r="F16" s="514" t="s">
        <v>109</v>
      </c>
      <c r="G16" s="514"/>
      <c r="H16" s="514"/>
      <c r="I16" s="514"/>
      <c r="N16" s="47"/>
    </row>
    <row r="17" spans="1:9" s="44" customFormat="1" ht="30.75" customHeight="1">
      <c r="A17" s="176">
        <f>'Commercial Invoice3'!A17</f>
        <v>600</v>
      </c>
      <c r="B17" s="474" t="str">
        <f>'Commercial Invoice3'!B17</f>
        <v>Carboxylic acid compound category (AB-04)1
White powder</v>
      </c>
      <c r="C17" s="474"/>
      <c r="D17" s="474"/>
      <c r="E17" s="443" t="str">
        <f>'Commercial Invoice3'!E17</f>
        <v>Glass/Plastic bottle</v>
      </c>
      <c r="F17" s="514"/>
      <c r="G17" s="514"/>
      <c r="H17" s="514"/>
      <c r="I17" s="514"/>
    </row>
    <row r="18" spans="1:9" s="44" customFormat="1" ht="30.75" customHeight="1">
      <c r="A18" s="176">
        <f>'Commercial Invoice3'!A18</f>
        <v>10</v>
      </c>
      <c r="B18" s="474" t="str">
        <f>'Commercial Invoice3'!B18</f>
        <v>Carboxylic acid compound category (AB-04)6
White Solid</v>
      </c>
      <c r="C18" s="474"/>
      <c r="D18" s="474"/>
      <c r="E18" s="443" t="str">
        <f>'Commercial Invoice3'!E18</f>
        <v>Glass/Plastic bottle</v>
      </c>
      <c r="F18" s="514"/>
      <c r="G18" s="514"/>
      <c r="H18" s="514"/>
      <c r="I18" s="514"/>
    </row>
    <row r="19" spans="1:9" s="44" customFormat="1" ht="30.75" customHeight="1">
      <c r="A19" s="176">
        <f>'Commercial Invoice3'!A19</f>
        <v>1000</v>
      </c>
      <c r="B19" s="474" t="str">
        <f>'Commercial Invoice3'!B19</f>
        <v>Sulfonamide compound category(AB-08)1
White Solid</v>
      </c>
      <c r="C19" s="474"/>
      <c r="D19" s="474"/>
      <c r="E19" s="443" t="str">
        <f>'Commercial Invoice3'!E19</f>
        <v>Glass/Plastic bottle</v>
      </c>
      <c r="F19" s="514"/>
      <c r="G19" s="514"/>
      <c r="H19" s="514"/>
      <c r="I19" s="514"/>
    </row>
    <row r="20" spans="1:9" s="44" customFormat="1" ht="30.75" customHeight="1">
      <c r="A20" s="176">
        <f>'Commercial Invoice3'!A20</f>
        <v>205</v>
      </c>
      <c r="B20" s="474" t="str">
        <f>'Commercial Invoice3'!B20</f>
        <v>Heterocyclic with single or more oxygen atoms compound category （AB-15）4
White crystal</v>
      </c>
      <c r="C20" s="474"/>
      <c r="D20" s="474"/>
      <c r="E20" s="443" t="str">
        <f>'Commercial Invoice3'!E20</f>
        <v>Glass/Plastic bottle</v>
      </c>
      <c r="F20" s="514"/>
      <c r="G20" s="514"/>
      <c r="H20" s="514"/>
      <c r="I20" s="514"/>
    </row>
    <row r="21" spans="1:9" s="44" customFormat="1" ht="30.75" customHeight="1">
      <c r="A21" s="176">
        <f>'Commercial Invoice3'!A21</f>
        <v>500</v>
      </c>
      <c r="B21" s="474" t="str">
        <f>'Commercial Invoice3'!B21</f>
        <v>Acyclic hydrocarbon compound category （AB-02）11
Colorless Transparent Liquid</v>
      </c>
      <c r="C21" s="474"/>
      <c r="D21" s="474"/>
      <c r="E21" s="443" t="str">
        <f>'Commercial Invoice3'!E21</f>
        <v>Glass/Plastic bottle</v>
      </c>
      <c r="F21" s="514"/>
      <c r="G21" s="514"/>
      <c r="H21" s="514"/>
      <c r="I21" s="514"/>
    </row>
    <row r="22" spans="1:9" s="44" customFormat="1" ht="30.75" customHeight="1">
      <c r="A22" s="176">
        <f>'Commercial Invoice3'!A22</f>
        <v>26</v>
      </c>
      <c r="B22" s="474" t="str">
        <f>'Commercial Invoice3'!B22</f>
        <v>Acyclic hydrocarbon compound category （AB-02）13
brown liquid</v>
      </c>
      <c r="C22" s="474"/>
      <c r="D22" s="474"/>
      <c r="E22" s="443" t="str">
        <f>'Commercial Invoice3'!E22</f>
        <v>Glass/Plastic bottle</v>
      </c>
      <c r="F22" s="514"/>
      <c r="G22" s="514"/>
      <c r="H22" s="514"/>
      <c r="I22" s="514"/>
    </row>
    <row r="23" spans="1:9" s="44" customFormat="1" ht="30.75" customHeight="1">
      <c r="A23" s="176">
        <f>'Commercial Invoice3'!A23</f>
        <v>25</v>
      </c>
      <c r="B23" s="474" t="str">
        <f>'Commercial Invoice3'!B23</f>
        <v>Heterocyclic with nitrogen compound category (AB-06)46
Yellow powder</v>
      </c>
      <c r="C23" s="474"/>
      <c r="D23" s="474"/>
      <c r="E23" s="443" t="str">
        <f>'Commercial Invoice3'!E23</f>
        <v>Glass/Plastic bottle</v>
      </c>
      <c r="F23" s="514"/>
      <c r="G23" s="514"/>
      <c r="H23" s="514"/>
      <c r="I23" s="514"/>
    </row>
    <row r="24" spans="1:9" s="44" customFormat="1" ht="30.75" customHeight="1">
      <c r="A24" s="176">
        <f>'Commercial Invoice3'!A24</f>
        <v>50</v>
      </c>
      <c r="B24" s="474" t="str">
        <f>'Commercial Invoice3'!B24</f>
        <v>Heterocyclic with nitrogen compound category (AB-06)53
Brown solid</v>
      </c>
      <c r="C24" s="474"/>
      <c r="D24" s="474"/>
      <c r="E24" s="443" t="str">
        <f>'Commercial Invoice3'!E24</f>
        <v>Glass/Plastic bottle</v>
      </c>
      <c r="F24" s="514"/>
      <c r="G24" s="514"/>
      <c r="H24" s="514"/>
      <c r="I24" s="514"/>
    </row>
    <row r="25" spans="1:9" s="44" customFormat="1" ht="30.75" customHeight="1">
      <c r="A25" s="176">
        <f>'Commercial Invoice3'!A25</f>
        <v>700</v>
      </c>
      <c r="B25" s="474" t="str">
        <f>'Commercial Invoice3'!B25</f>
        <v>Aromatic ring products without heteroatoms category （AB-16）33
Light yellow-green granular crystals</v>
      </c>
      <c r="C25" s="474"/>
      <c r="D25" s="474"/>
      <c r="E25" s="443" t="str">
        <f>'Commercial Invoice3'!E25</f>
        <v>Glass/Plastic bottle</v>
      </c>
      <c r="F25" s="514"/>
      <c r="G25" s="514"/>
      <c r="H25" s="514"/>
      <c r="I25" s="514"/>
    </row>
    <row r="26" spans="1:9" s="44" customFormat="1" ht="30.75" customHeight="1">
      <c r="A26" s="176">
        <f>'Commercial Invoice3'!A26</f>
        <v>150</v>
      </c>
      <c r="B26" s="474" t="str">
        <f>'Commercial Invoice3'!B26</f>
        <v>Aromatic ring products without heteroatoms category （AB-16）36
White powder</v>
      </c>
      <c r="C26" s="474"/>
      <c r="D26" s="474"/>
      <c r="E26" s="443" t="str">
        <f>'Commercial Invoice3'!E26</f>
        <v>Glass/Plastic bottle</v>
      </c>
      <c r="F26" s="514"/>
      <c r="G26" s="514"/>
      <c r="H26" s="514"/>
      <c r="I26" s="514"/>
    </row>
    <row r="27" spans="1:9" s="44" customFormat="1" ht="30.75" customHeight="1">
      <c r="A27" s="176">
        <f>'Commercial Invoice3'!A27</f>
        <v>0</v>
      </c>
      <c r="B27" s="474" t="str">
        <f>'Commercial Invoice3'!B27</f>
        <v/>
      </c>
      <c r="C27" s="474"/>
      <c r="D27" s="474"/>
      <c r="E27" s="443" t="str">
        <f>'Commercial Invoice3'!E27</f>
        <v/>
      </c>
      <c r="F27" s="514"/>
      <c r="G27" s="514"/>
      <c r="H27" s="514"/>
      <c r="I27" s="514"/>
    </row>
    <row r="28" spans="1:9" s="44" customFormat="1" ht="30.75" customHeight="1">
      <c r="A28" s="176">
        <f>'Commercial Invoice3'!A28</f>
        <v>0</v>
      </c>
      <c r="B28" s="474" t="str">
        <f>'Commercial Invoice3'!B28</f>
        <v/>
      </c>
      <c r="C28" s="474"/>
      <c r="D28" s="474"/>
      <c r="E28" s="443" t="str">
        <f>'Commercial Invoice3'!E28</f>
        <v/>
      </c>
      <c r="F28" s="514"/>
      <c r="G28" s="514"/>
      <c r="H28" s="514"/>
      <c r="I28" s="514"/>
    </row>
    <row r="29" spans="1:9" s="44" customFormat="1" ht="18.75" customHeight="1">
      <c r="A29" s="178"/>
      <c r="B29" s="515" t="str">
        <f>IF(COUNTIF(辅助!N:N,"&gt;0")&lt;=12,"Total Net Weight（g）:   "&amp;SUM(辅助!N:N)," ")</f>
        <v>Total Net Weight（g）:   3266</v>
      </c>
      <c r="C29" s="515"/>
      <c r="D29" s="515"/>
      <c r="E29" s="179"/>
      <c r="F29" s="516" t="s">
        <v>371</v>
      </c>
      <c r="G29" s="516"/>
      <c r="H29" s="516"/>
      <c r="I29" s="516"/>
    </row>
    <row r="30" spans="1:9" s="44" customFormat="1" ht="7.5" customHeight="1" thickBot="1">
      <c r="A30" s="178"/>
      <c r="B30" s="517" t="str">
        <f>IF(COUNTIF(辅助!N:N,"&gt;0")&lt;=12,"Gross Weight(kg):   "&amp;发货清单!Y2," ")</f>
        <v>Gross Weight(kg):   10</v>
      </c>
      <c r="C30" s="517"/>
      <c r="D30" s="517"/>
      <c r="E30" s="179"/>
      <c r="F30" s="518"/>
      <c r="G30" s="518"/>
      <c r="H30" s="518"/>
      <c r="I30" s="518"/>
    </row>
    <row r="31" spans="1:9" ht="15.75">
      <c r="A31" s="169" t="s">
        <v>31</v>
      </c>
      <c r="B31" s="170"/>
      <c r="C31" s="170"/>
      <c r="D31" s="171"/>
      <c r="E31" s="41"/>
      <c r="F31" s="484"/>
      <c r="G31" s="484"/>
      <c r="H31" s="484"/>
      <c r="I31" s="485"/>
    </row>
    <row r="32" spans="1:9" ht="15" customHeight="1">
      <c r="A32" s="486" t="str">
        <f>IF(LEFT(发货清单!R2,8)="WB000178","I certify that all chemicals in this shipment are subject to TSCA.","I certify that all chemicals in this shipment are not subject to TSCA.")</f>
        <v>I certify that all chemicals in this shipment are not subject to TSCA.</v>
      </c>
      <c r="B32" s="487"/>
      <c r="C32" s="488"/>
      <c r="D32" s="39"/>
      <c r="E32" s="492" t="s">
        <v>73</v>
      </c>
      <c r="F32" s="493"/>
      <c r="G32" s="493"/>
      <c r="H32" s="493"/>
      <c r="I32" s="494"/>
    </row>
    <row r="33" spans="1:10" ht="15.75" thickBot="1">
      <c r="A33" s="489"/>
      <c r="B33" s="490"/>
      <c r="C33" s="491"/>
      <c r="D33" s="39"/>
      <c r="E33" s="495"/>
      <c r="F33" s="496"/>
      <c r="G33" s="496"/>
      <c r="H33" s="496"/>
      <c r="I33" s="497"/>
    </row>
    <row r="34" spans="1:10" ht="16.5" customHeight="1" thickBot="1">
      <c r="A34" s="498" t="s">
        <v>526</v>
      </c>
      <c r="B34" s="499"/>
      <c r="C34" s="500"/>
      <c r="D34" s="39"/>
      <c r="E34" s="42" t="s">
        <v>71</v>
      </c>
      <c r="F34" s="39"/>
      <c r="G34" s="507" t="str">
        <f>'Commercial Invoice3'!G33</f>
        <v>2786337676</v>
      </c>
      <c r="H34" s="508"/>
      <c r="I34" s="509"/>
    </row>
    <row r="35" spans="1:10" ht="32.25" customHeight="1" thickBot="1">
      <c r="A35" s="501"/>
      <c r="B35" s="502"/>
      <c r="C35" s="503"/>
      <c r="D35" s="39"/>
      <c r="E35" s="42" t="s">
        <v>34</v>
      </c>
      <c r="F35" s="39"/>
      <c r="G35" s="43"/>
      <c r="H35" s="43"/>
      <c r="I35" s="172"/>
    </row>
    <row r="36" spans="1:10" ht="15" thickBot="1">
      <c r="A36" s="504"/>
      <c r="B36" s="505"/>
      <c r="C36" s="506"/>
      <c r="D36" s="43"/>
      <c r="E36" s="43"/>
      <c r="F36" s="43"/>
      <c r="G36" s="43"/>
      <c r="H36" s="43"/>
      <c r="I36" s="172"/>
    </row>
    <row r="37" spans="1:10" ht="18" customHeight="1">
      <c r="A37" s="17"/>
      <c r="B37" s="17"/>
      <c r="C37" s="17"/>
      <c r="D37" s="17"/>
      <c r="E37" s="17" t="str">
        <f>"page 1/"&amp;IF(COUNTIF(辅助!K:K,"&gt;0")&lt;13,1,IF(COUNTIF(辅助!K:K,"&gt;0")&lt;25,2,3))</f>
        <v>page 1/1</v>
      </c>
      <c r="F37" s="17"/>
      <c r="G37" s="17"/>
      <c r="H37" s="17"/>
      <c r="I37" s="17"/>
    </row>
    <row r="38" spans="1:10" ht="22.5">
      <c r="A38" s="470" t="s">
        <v>370</v>
      </c>
      <c r="B38" s="470"/>
      <c r="C38" s="470"/>
      <c r="D38" s="470"/>
      <c r="E38" s="470"/>
      <c r="F38" s="470"/>
      <c r="G38" s="470"/>
      <c r="H38" s="470"/>
      <c r="I38" s="470"/>
    </row>
    <row r="39" spans="1:10" ht="5.25" hidden="1" customHeight="1">
      <c r="A39" s="17"/>
      <c r="B39" s="17"/>
      <c r="C39" s="17"/>
      <c r="D39" s="17"/>
      <c r="E39" s="17"/>
      <c r="F39" s="17"/>
      <c r="G39" s="17"/>
      <c r="H39" s="34"/>
      <c r="I39" s="48"/>
    </row>
    <row r="40" spans="1:10" ht="5.25" hidden="1" customHeight="1">
      <c r="A40" s="17"/>
      <c r="B40" s="17"/>
      <c r="C40" s="17"/>
      <c r="D40" s="17"/>
      <c r="E40" s="17"/>
      <c r="F40" s="17"/>
      <c r="G40" s="17"/>
      <c r="H40" s="17"/>
      <c r="I40" s="17"/>
    </row>
    <row r="41" spans="1:10" ht="15.75">
      <c r="A41" s="35" t="s">
        <v>43</v>
      </c>
      <c r="B41" s="36"/>
      <c r="C41" s="36"/>
      <c r="D41" s="37"/>
      <c r="E41" s="61"/>
      <c r="F41" s="77" t="s">
        <v>42</v>
      </c>
      <c r="G41" s="71"/>
      <c r="H41" s="36"/>
      <c r="I41" s="37"/>
    </row>
    <row r="42" spans="1:10" ht="15.75">
      <c r="A42" s="103" t="s">
        <v>75</v>
      </c>
      <c r="B42" s="58"/>
      <c r="C42" s="58"/>
      <c r="D42" s="59"/>
      <c r="E42" s="58"/>
      <c r="F42" s="57" t="str">
        <f>F6</f>
        <v xml:space="preserve"> Fluorochem Limited</v>
      </c>
      <c r="G42" s="192"/>
      <c r="H42" s="15"/>
      <c r="I42" s="38"/>
    </row>
    <row r="43" spans="1:10" ht="15" customHeight="1">
      <c r="A43" s="104" t="s">
        <v>230</v>
      </c>
      <c r="B43" s="60"/>
      <c r="C43" s="60"/>
      <c r="D43" s="59"/>
      <c r="E43" s="61"/>
      <c r="F43" s="53" t="str">
        <f>F7</f>
        <v>Unit 14 Graphite Way</v>
      </c>
      <c r="G43" s="7"/>
      <c r="H43" s="39"/>
      <c r="I43" s="38"/>
      <c r="J43" s="16"/>
    </row>
    <row r="44" spans="1:10" ht="15" customHeight="1">
      <c r="A44" s="104" t="s">
        <v>231</v>
      </c>
      <c r="B44" s="60"/>
      <c r="C44" s="60"/>
      <c r="D44" s="59"/>
      <c r="E44" s="61"/>
      <c r="F44" s="53" t="str">
        <f t="shared" ref="F44:F46" si="0">F8</f>
        <v>Hadfield  Derbyshire</v>
      </c>
      <c r="G44" s="7"/>
      <c r="H44" s="39"/>
      <c r="I44" s="38"/>
      <c r="J44" s="16"/>
    </row>
    <row r="45" spans="1:10" ht="15" customHeight="1">
      <c r="A45" s="105" t="s">
        <v>232</v>
      </c>
      <c r="B45" s="60"/>
      <c r="C45" s="60"/>
      <c r="D45" s="59"/>
      <c r="E45" s="61"/>
      <c r="F45" s="53" t="str">
        <f t="shared" si="0"/>
        <v>SK13 1QH UK</v>
      </c>
      <c r="G45" s="193"/>
      <c r="H45" s="39"/>
      <c r="I45" s="38"/>
      <c r="J45" s="14"/>
    </row>
    <row r="46" spans="1:10" ht="15">
      <c r="A46" s="106" t="s">
        <v>233</v>
      </c>
      <c r="B46" s="62"/>
      <c r="C46" s="62"/>
      <c r="D46" s="63"/>
      <c r="E46" s="61"/>
      <c r="F46" s="53" t="str">
        <f t="shared" si="0"/>
        <v>TEL:4401457860111</v>
      </c>
      <c r="G46" s="6"/>
      <c r="H46" s="18"/>
      <c r="I46" s="40"/>
      <c r="J46" s="14"/>
    </row>
    <row r="47" spans="1:10" ht="6" customHeight="1">
      <c r="A47" s="17"/>
      <c r="B47" s="17"/>
      <c r="C47" s="17"/>
      <c r="D47" s="17"/>
      <c r="E47" s="17"/>
      <c r="F47" s="17"/>
      <c r="G47" s="17"/>
      <c r="H47" s="17"/>
      <c r="I47" s="17"/>
      <c r="J47" s="14"/>
    </row>
    <row r="48" spans="1:10" s="68" customFormat="1">
      <c r="A48" s="471" t="s">
        <v>17</v>
      </c>
      <c r="B48" s="472"/>
      <c r="C48" s="235" t="str">
        <f>C12</f>
        <v>Order  No.</v>
      </c>
      <c r="D48" s="67" t="s">
        <v>369</v>
      </c>
      <c r="E48" s="67" t="s">
        <v>21</v>
      </c>
      <c r="F48" s="263" t="s">
        <v>19</v>
      </c>
      <c r="G48" s="67" t="s">
        <v>20</v>
      </c>
      <c r="H48" s="471" t="s">
        <v>30</v>
      </c>
      <c r="I48" s="472"/>
    </row>
    <row r="49" spans="1:14" s="68" customFormat="1" ht="12.75">
      <c r="A49" s="471"/>
      <c r="B49" s="472"/>
      <c r="C49" s="67" t="str">
        <f>C13</f>
        <v>P100426</v>
      </c>
      <c r="D49" s="67"/>
      <c r="E49" s="67"/>
      <c r="F49" s="29" t="s">
        <v>38</v>
      </c>
      <c r="G49" s="67"/>
      <c r="H49" s="471" t="s">
        <v>386</v>
      </c>
      <c r="I49" s="472"/>
      <c r="J49" s="30"/>
    </row>
    <row r="50" spans="1:14" s="68" customFormat="1" ht="12.75">
      <c r="A50" s="471" t="s">
        <v>22</v>
      </c>
      <c r="B50" s="473"/>
      <c r="C50" s="472"/>
      <c r="D50" s="67" t="s">
        <v>70</v>
      </c>
      <c r="E50" s="471" t="s">
        <v>23</v>
      </c>
      <c r="F50" s="472"/>
      <c r="G50" s="445" t="s">
        <v>29</v>
      </c>
      <c r="H50" s="471" t="s">
        <v>18</v>
      </c>
      <c r="I50" s="472"/>
      <c r="J50" s="30"/>
    </row>
    <row r="51" spans="1:14" s="28" customFormat="1" ht="15.75">
      <c r="A51" s="476" t="s">
        <v>39</v>
      </c>
      <c r="B51" s="477"/>
      <c r="C51" s="478"/>
      <c r="D51" s="27"/>
      <c r="E51" s="513" t="str">
        <f>E15</f>
        <v>UK</v>
      </c>
      <c r="F51" s="478"/>
      <c r="G51" s="79">
        <f ca="1">G15</f>
        <v>43839</v>
      </c>
      <c r="H51" s="479" t="str">
        <f>H15</f>
        <v>20200109-607</v>
      </c>
      <c r="I51" s="480"/>
      <c r="J51" s="30"/>
    </row>
    <row r="52" spans="1:14" s="26" customFormat="1" ht="23.25" customHeight="1">
      <c r="A52" s="66" t="s">
        <v>24</v>
      </c>
      <c r="B52" s="481" t="s">
        <v>25</v>
      </c>
      <c r="C52" s="482"/>
      <c r="D52" s="483"/>
      <c r="E52" s="55" t="s">
        <v>28</v>
      </c>
      <c r="F52" s="514" t="s">
        <v>109</v>
      </c>
      <c r="G52" s="514"/>
      <c r="H52" s="514"/>
      <c r="I52" s="514"/>
      <c r="N52" s="47"/>
    </row>
    <row r="53" spans="1:14" s="44" customFormat="1" ht="30.75" customHeight="1">
      <c r="A53" s="176">
        <f>'Commercial Invoice3'!A52</f>
        <v>0</v>
      </c>
      <c r="B53" s="474" t="str">
        <f>'Commercial Invoice3'!B52</f>
        <v/>
      </c>
      <c r="C53" s="474"/>
      <c r="D53" s="474"/>
      <c r="E53" s="443" t="str">
        <f>'Commercial Invoice3'!E52</f>
        <v/>
      </c>
      <c r="F53" s="514"/>
      <c r="G53" s="514"/>
      <c r="H53" s="514"/>
      <c r="I53" s="514"/>
    </row>
    <row r="54" spans="1:14" s="44" customFormat="1" ht="30.75" customHeight="1">
      <c r="A54" s="176">
        <f>'Commercial Invoice3'!A53</f>
        <v>0</v>
      </c>
      <c r="B54" s="474" t="str">
        <f>'Commercial Invoice3'!B53</f>
        <v/>
      </c>
      <c r="C54" s="474"/>
      <c r="D54" s="474"/>
      <c r="E54" s="443" t="str">
        <f>'Commercial Invoice3'!E53</f>
        <v/>
      </c>
      <c r="F54" s="514"/>
      <c r="G54" s="514"/>
      <c r="H54" s="514"/>
      <c r="I54" s="514"/>
    </row>
    <row r="55" spans="1:14" s="44" customFormat="1" ht="30.75" customHeight="1">
      <c r="A55" s="176">
        <f>'Commercial Invoice3'!A54</f>
        <v>0</v>
      </c>
      <c r="B55" s="474" t="str">
        <f>'Commercial Invoice3'!B54</f>
        <v/>
      </c>
      <c r="C55" s="474"/>
      <c r="D55" s="474"/>
      <c r="E55" s="443" t="str">
        <f>'Commercial Invoice3'!E54</f>
        <v/>
      </c>
      <c r="F55" s="514"/>
      <c r="G55" s="514"/>
      <c r="H55" s="514"/>
      <c r="I55" s="514"/>
    </row>
    <row r="56" spans="1:14" s="44" customFormat="1" ht="30.75" customHeight="1">
      <c r="A56" s="176">
        <f>'Commercial Invoice3'!A55</f>
        <v>0</v>
      </c>
      <c r="B56" s="474" t="str">
        <f>'Commercial Invoice3'!B55</f>
        <v/>
      </c>
      <c r="C56" s="474"/>
      <c r="D56" s="474"/>
      <c r="E56" s="443" t="str">
        <f>'Commercial Invoice3'!E55</f>
        <v/>
      </c>
      <c r="F56" s="514"/>
      <c r="G56" s="514"/>
      <c r="H56" s="514"/>
      <c r="I56" s="514"/>
    </row>
    <row r="57" spans="1:14" s="44" customFormat="1" ht="30.75" customHeight="1">
      <c r="A57" s="176">
        <f>'Commercial Invoice3'!A56</f>
        <v>0</v>
      </c>
      <c r="B57" s="474" t="str">
        <f>'Commercial Invoice3'!B56</f>
        <v/>
      </c>
      <c r="C57" s="474"/>
      <c r="D57" s="474"/>
      <c r="E57" s="443" t="str">
        <f>'Commercial Invoice3'!E56</f>
        <v/>
      </c>
      <c r="F57" s="514"/>
      <c r="G57" s="514"/>
      <c r="H57" s="514"/>
      <c r="I57" s="514"/>
    </row>
    <row r="58" spans="1:14" s="44" customFormat="1" ht="30.75" customHeight="1">
      <c r="A58" s="176">
        <f>'Commercial Invoice3'!A57</f>
        <v>0</v>
      </c>
      <c r="B58" s="474" t="str">
        <f>'Commercial Invoice3'!B57</f>
        <v/>
      </c>
      <c r="C58" s="474"/>
      <c r="D58" s="474"/>
      <c r="E58" s="443" t="str">
        <f>'Commercial Invoice3'!E57</f>
        <v/>
      </c>
      <c r="F58" s="514"/>
      <c r="G58" s="514"/>
      <c r="H58" s="514"/>
      <c r="I58" s="514"/>
    </row>
    <row r="59" spans="1:14" s="44" customFormat="1" ht="38.25" customHeight="1">
      <c r="A59" s="176">
        <f>'Commercial Invoice3'!A58</f>
        <v>0</v>
      </c>
      <c r="B59" s="474" t="str">
        <f>'Commercial Invoice3'!B58</f>
        <v/>
      </c>
      <c r="C59" s="474"/>
      <c r="D59" s="474"/>
      <c r="E59" s="443" t="str">
        <f>'Commercial Invoice3'!E58</f>
        <v/>
      </c>
      <c r="F59" s="514"/>
      <c r="G59" s="514"/>
      <c r="H59" s="514"/>
      <c r="I59" s="514"/>
    </row>
    <row r="60" spans="1:14" s="44" customFormat="1" ht="30.75" customHeight="1">
      <c r="A60" s="176">
        <f>'Commercial Invoice3'!A59</f>
        <v>0</v>
      </c>
      <c r="B60" s="474" t="str">
        <f>'Commercial Invoice3'!B59</f>
        <v/>
      </c>
      <c r="C60" s="474"/>
      <c r="D60" s="474"/>
      <c r="E60" s="443" t="str">
        <f>'Commercial Invoice3'!E59</f>
        <v/>
      </c>
      <c r="F60" s="514"/>
      <c r="G60" s="514"/>
      <c r="H60" s="514"/>
      <c r="I60" s="514"/>
    </row>
    <row r="61" spans="1:14" s="44" customFormat="1" ht="30.75" customHeight="1">
      <c r="A61" s="176">
        <f>'Commercial Invoice3'!A60</f>
        <v>0</v>
      </c>
      <c r="B61" s="474" t="str">
        <f>'Commercial Invoice3'!B60</f>
        <v/>
      </c>
      <c r="C61" s="474"/>
      <c r="D61" s="474"/>
      <c r="E61" s="443" t="str">
        <f>'Commercial Invoice3'!E60</f>
        <v/>
      </c>
      <c r="F61" s="514"/>
      <c r="G61" s="514"/>
      <c r="H61" s="514"/>
      <c r="I61" s="514"/>
    </row>
    <row r="62" spans="1:14" s="44" customFormat="1" ht="30.75" customHeight="1">
      <c r="A62" s="176">
        <f>'Commercial Invoice3'!A61</f>
        <v>0</v>
      </c>
      <c r="B62" s="474" t="str">
        <f>'Commercial Invoice3'!B61</f>
        <v/>
      </c>
      <c r="C62" s="474"/>
      <c r="D62" s="474"/>
      <c r="E62" s="443" t="str">
        <f>'Commercial Invoice3'!E61</f>
        <v/>
      </c>
      <c r="F62" s="514"/>
      <c r="G62" s="514"/>
      <c r="H62" s="514"/>
      <c r="I62" s="514"/>
    </row>
    <row r="63" spans="1:14" s="44" customFormat="1" ht="30.75" customHeight="1">
      <c r="A63" s="176">
        <f>'Commercial Invoice3'!A62</f>
        <v>0</v>
      </c>
      <c r="B63" s="474" t="str">
        <f>'Commercial Invoice3'!B62</f>
        <v/>
      </c>
      <c r="C63" s="474"/>
      <c r="D63" s="474"/>
      <c r="E63" s="443" t="str">
        <f>'Commercial Invoice3'!E62</f>
        <v/>
      </c>
      <c r="F63" s="514"/>
      <c r="G63" s="514"/>
      <c r="H63" s="514"/>
      <c r="I63" s="514"/>
    </row>
    <row r="64" spans="1:14" s="44" customFormat="1" ht="27.75" customHeight="1">
      <c r="A64" s="176">
        <f>'Commercial Invoice3'!A63</f>
        <v>0</v>
      </c>
      <c r="B64" s="474" t="str">
        <f>'Commercial Invoice3'!B63</f>
        <v/>
      </c>
      <c r="C64" s="474"/>
      <c r="D64" s="474"/>
      <c r="E64" s="443" t="str">
        <f>'Commercial Invoice3'!E63</f>
        <v/>
      </c>
      <c r="F64" s="514"/>
      <c r="G64" s="514"/>
      <c r="H64" s="514"/>
      <c r="I64" s="514"/>
    </row>
    <row r="65" spans="1:10" s="44" customFormat="1" ht="18.75" customHeight="1">
      <c r="A65" s="178"/>
      <c r="B65" s="515" t="str">
        <f>IF(COUNTIF(辅助!N:N,"&gt;0")&lt;=24,"Total Net Weight（g）:   "&amp;SUM(辅助!N:N)," ")</f>
        <v>Total Net Weight（g）:   3266</v>
      </c>
      <c r="C65" s="515"/>
      <c r="D65" s="515"/>
      <c r="E65" s="179"/>
      <c r="F65" s="516" t="s">
        <v>371</v>
      </c>
      <c r="G65" s="516"/>
      <c r="H65" s="516"/>
      <c r="I65" s="516"/>
    </row>
    <row r="66" spans="1:10" s="44" customFormat="1" ht="17.25" customHeight="1" thickBot="1">
      <c r="A66" s="178"/>
      <c r="B66" s="517" t="str">
        <f>IF(COUNTIF(辅助!N:N,"&gt;0")&lt;=24,"Gross Weight(kg):   "&amp;发货清单!Y2," ")</f>
        <v>Gross Weight(kg):   10</v>
      </c>
      <c r="C66" s="517"/>
      <c r="D66" s="517"/>
      <c r="E66" s="179"/>
      <c r="F66" s="518"/>
      <c r="G66" s="518"/>
      <c r="H66" s="518"/>
      <c r="I66" s="518"/>
    </row>
    <row r="67" spans="1:10" ht="15.75">
      <c r="A67" s="169" t="s">
        <v>31</v>
      </c>
      <c r="B67" s="170"/>
      <c r="C67" s="170"/>
      <c r="D67" s="171"/>
      <c r="E67" s="41"/>
      <c r="F67" s="484"/>
      <c r="G67" s="484"/>
      <c r="H67" s="484"/>
      <c r="I67" s="485"/>
    </row>
    <row r="68" spans="1:10" ht="15" customHeight="1">
      <c r="A68" s="486" t="str">
        <f>IF(LEFT(发货清单!R2,8)="WB000178","I certify that all chemicals in this shipment are subject to TSCA.","I certify that all chemicals in this shipment are not subject to TSCA.")</f>
        <v>I certify that all chemicals in this shipment are not subject to TSCA.</v>
      </c>
      <c r="B68" s="487"/>
      <c r="C68" s="488"/>
      <c r="D68" s="39"/>
      <c r="E68" s="492" t="s">
        <v>73</v>
      </c>
      <c r="F68" s="493"/>
      <c r="G68" s="493"/>
      <c r="H68" s="493"/>
      <c r="I68" s="494"/>
    </row>
    <row r="69" spans="1:10" ht="15.75" thickBot="1">
      <c r="A69" s="489"/>
      <c r="B69" s="490"/>
      <c r="C69" s="491"/>
      <c r="D69" s="39"/>
      <c r="E69" s="495"/>
      <c r="F69" s="496"/>
      <c r="G69" s="496"/>
      <c r="H69" s="496"/>
      <c r="I69" s="497"/>
    </row>
    <row r="70" spans="1:10" ht="16.5" customHeight="1" thickBot="1">
      <c r="A70" s="498" t="s">
        <v>526</v>
      </c>
      <c r="B70" s="499"/>
      <c r="C70" s="500"/>
      <c r="D70" s="39"/>
      <c r="E70" s="42" t="s">
        <v>71</v>
      </c>
      <c r="F70" s="39"/>
      <c r="G70" s="507" t="str">
        <f>G34</f>
        <v>2786337676</v>
      </c>
      <c r="H70" s="508"/>
      <c r="I70" s="509"/>
    </row>
    <row r="71" spans="1:10" ht="32.25" customHeight="1" thickBot="1">
      <c r="A71" s="501"/>
      <c r="B71" s="502"/>
      <c r="C71" s="503"/>
      <c r="D71" s="39"/>
      <c r="E71" s="42" t="s">
        <v>34</v>
      </c>
      <c r="F71" s="39"/>
      <c r="G71" s="43"/>
      <c r="H71" s="43"/>
      <c r="I71" s="172"/>
    </row>
    <row r="72" spans="1:10" ht="15" thickBot="1">
      <c r="A72" s="504"/>
      <c r="B72" s="505"/>
      <c r="C72" s="506"/>
      <c r="D72" s="43"/>
      <c r="E72" s="43"/>
      <c r="F72" s="43"/>
      <c r="G72" s="43"/>
      <c r="H72" s="43"/>
      <c r="I72" s="172"/>
    </row>
    <row r="73" spans="1:10">
      <c r="A73" s="17"/>
      <c r="B73" s="17"/>
      <c r="C73" s="17"/>
      <c r="D73" s="17"/>
      <c r="E73" s="17" t="str">
        <f>"page 2/"&amp;IF(COUNTIF(辅助!K:K,"&gt;0")&lt;25,2,3)</f>
        <v>page 2/2</v>
      </c>
      <c r="F73" s="17"/>
      <c r="G73" s="17"/>
      <c r="H73" s="17"/>
      <c r="I73" s="17"/>
    </row>
    <row r="74" spans="1:10" ht="22.5">
      <c r="A74" s="470" t="s">
        <v>370</v>
      </c>
      <c r="B74" s="470"/>
      <c r="C74" s="470"/>
      <c r="D74" s="470"/>
      <c r="E74" s="470"/>
      <c r="F74" s="470"/>
      <c r="G74" s="470"/>
      <c r="H74" s="470"/>
      <c r="I74" s="470"/>
    </row>
    <row r="75" spans="1:10" ht="5.25" hidden="1" customHeight="1">
      <c r="A75" s="17"/>
      <c r="B75" s="17"/>
      <c r="C75" s="17"/>
      <c r="D75" s="17"/>
      <c r="E75" s="17"/>
      <c r="F75" s="17"/>
      <c r="G75" s="17"/>
      <c r="H75" s="34"/>
      <c r="I75" s="48"/>
    </row>
    <row r="76" spans="1:10" ht="5.25" hidden="1" customHeight="1">
      <c r="A76" s="17"/>
      <c r="B76" s="17"/>
      <c r="C76" s="17"/>
      <c r="D76" s="17"/>
      <c r="E76" s="17"/>
      <c r="F76" s="17"/>
      <c r="G76" s="17"/>
      <c r="H76" s="17"/>
      <c r="I76" s="17"/>
    </row>
    <row r="77" spans="1:10" ht="15.75">
      <c r="A77" s="35" t="s">
        <v>43</v>
      </c>
      <c r="B77" s="36"/>
      <c r="C77" s="36"/>
      <c r="D77" s="37"/>
      <c r="E77" s="61"/>
      <c r="F77" s="77" t="s">
        <v>42</v>
      </c>
      <c r="G77" s="71"/>
      <c r="H77" s="36"/>
      <c r="I77" s="37"/>
    </row>
    <row r="78" spans="1:10" ht="15.75">
      <c r="A78" s="103" t="s">
        <v>75</v>
      </c>
      <c r="B78" s="58"/>
      <c r="C78" s="58"/>
      <c r="D78" s="59"/>
      <c r="E78" s="58"/>
      <c r="F78" s="57" t="str">
        <f>F42</f>
        <v xml:space="preserve"> Fluorochem Limited</v>
      </c>
      <c r="G78" s="192"/>
      <c r="H78" s="15"/>
      <c r="I78" s="38"/>
    </row>
    <row r="79" spans="1:10" ht="15" customHeight="1">
      <c r="A79" s="104" t="s">
        <v>230</v>
      </c>
      <c r="B79" s="60"/>
      <c r="C79" s="60"/>
      <c r="D79" s="59"/>
      <c r="E79" s="61"/>
      <c r="F79" s="53" t="str">
        <f>F43</f>
        <v>Unit 14 Graphite Way</v>
      </c>
      <c r="G79" s="7"/>
      <c r="H79" s="39"/>
      <c r="I79" s="38"/>
      <c r="J79" s="16"/>
    </row>
    <row r="80" spans="1:10" ht="15" customHeight="1">
      <c r="A80" s="104" t="s">
        <v>231</v>
      </c>
      <c r="B80" s="60"/>
      <c r="C80" s="60"/>
      <c r="D80" s="59"/>
      <c r="E80" s="61"/>
      <c r="F80" s="53" t="str">
        <f t="shared" ref="F80:F82" si="1">F44</f>
        <v>Hadfield  Derbyshire</v>
      </c>
      <c r="G80" s="7"/>
      <c r="H80" s="39"/>
      <c r="I80" s="38"/>
      <c r="J80" s="16"/>
    </row>
    <row r="81" spans="1:14" ht="15" customHeight="1">
      <c r="A81" s="105" t="s">
        <v>232</v>
      </c>
      <c r="B81" s="60"/>
      <c r="C81" s="60"/>
      <c r="D81" s="59"/>
      <c r="E81" s="61"/>
      <c r="F81" s="53" t="str">
        <f t="shared" si="1"/>
        <v>SK13 1QH UK</v>
      </c>
      <c r="G81" s="193"/>
      <c r="H81" s="39"/>
      <c r="I81" s="38"/>
      <c r="J81" s="14"/>
    </row>
    <row r="82" spans="1:14" ht="15">
      <c r="A82" s="106" t="s">
        <v>233</v>
      </c>
      <c r="B82" s="62"/>
      <c r="C82" s="62"/>
      <c r="D82" s="63"/>
      <c r="E82" s="61"/>
      <c r="F82" s="53" t="str">
        <f t="shared" si="1"/>
        <v>TEL:4401457860111</v>
      </c>
      <c r="G82" s="6"/>
      <c r="H82" s="18"/>
      <c r="I82" s="40"/>
      <c r="J82" s="14"/>
    </row>
    <row r="83" spans="1:14" ht="6" customHeight="1">
      <c r="A83" s="17"/>
      <c r="B83" s="17"/>
      <c r="C83" s="17"/>
      <c r="D83" s="17"/>
      <c r="E83" s="17"/>
      <c r="F83" s="17"/>
      <c r="G83" s="17"/>
      <c r="H83" s="17"/>
      <c r="I83" s="17"/>
      <c r="J83" s="14"/>
    </row>
    <row r="84" spans="1:14" s="68" customFormat="1">
      <c r="A84" s="471" t="s">
        <v>17</v>
      </c>
      <c r="B84" s="472"/>
      <c r="C84" s="235" t="str">
        <f>C48</f>
        <v>Order  No.</v>
      </c>
      <c r="D84" s="67" t="s">
        <v>369</v>
      </c>
      <c r="E84" s="67" t="s">
        <v>21</v>
      </c>
      <c r="F84" s="263" t="s">
        <v>19</v>
      </c>
      <c r="G84" s="67" t="s">
        <v>20</v>
      </c>
      <c r="H84" s="471" t="s">
        <v>30</v>
      </c>
      <c r="I84" s="472"/>
    </row>
    <row r="85" spans="1:14" s="68" customFormat="1" ht="12.75">
      <c r="A85" s="471"/>
      <c r="B85" s="472"/>
      <c r="C85" s="67" t="str">
        <f>C49</f>
        <v>P100426</v>
      </c>
      <c r="D85" s="67"/>
      <c r="E85" s="67"/>
      <c r="F85" s="29" t="s">
        <v>38</v>
      </c>
      <c r="G85" s="67"/>
      <c r="H85" s="471" t="s">
        <v>386</v>
      </c>
      <c r="I85" s="472"/>
      <c r="J85" s="30"/>
    </row>
    <row r="86" spans="1:14" s="68" customFormat="1" ht="12.75">
      <c r="A86" s="471" t="s">
        <v>22</v>
      </c>
      <c r="B86" s="473"/>
      <c r="C86" s="472"/>
      <c r="D86" s="67" t="s">
        <v>70</v>
      </c>
      <c r="E86" s="471" t="s">
        <v>23</v>
      </c>
      <c r="F86" s="472"/>
      <c r="G86" s="445" t="s">
        <v>29</v>
      </c>
      <c r="H86" s="471" t="s">
        <v>18</v>
      </c>
      <c r="I86" s="472"/>
      <c r="J86" s="30"/>
    </row>
    <row r="87" spans="1:14" s="28" customFormat="1" ht="15.75">
      <c r="A87" s="476" t="s">
        <v>39</v>
      </c>
      <c r="B87" s="477"/>
      <c r="C87" s="478"/>
      <c r="D87" s="27"/>
      <c r="E87" s="513" t="str">
        <f>E15</f>
        <v>UK</v>
      </c>
      <c r="F87" s="478"/>
      <c r="G87" s="79">
        <f ca="1">G51</f>
        <v>43839</v>
      </c>
      <c r="H87" s="479" t="str">
        <f>H51</f>
        <v>20200109-607</v>
      </c>
      <c r="I87" s="480"/>
      <c r="J87" s="30"/>
    </row>
    <row r="88" spans="1:14" s="26" customFormat="1" ht="23.25" customHeight="1">
      <c r="A88" s="66" t="s">
        <v>24</v>
      </c>
      <c r="B88" s="481" t="s">
        <v>25</v>
      </c>
      <c r="C88" s="482"/>
      <c r="D88" s="483"/>
      <c r="E88" s="55" t="s">
        <v>28</v>
      </c>
      <c r="F88" s="514" t="s">
        <v>109</v>
      </c>
      <c r="G88" s="514"/>
      <c r="H88" s="514"/>
      <c r="I88" s="514"/>
      <c r="N88" s="47"/>
    </row>
    <row r="89" spans="1:14" s="44" customFormat="1" ht="30.75" customHeight="1">
      <c r="A89" s="176">
        <f>'Commercial Invoice3'!A87</f>
        <v>0</v>
      </c>
      <c r="B89" s="474" t="str">
        <f>'Commercial Invoice3'!B87</f>
        <v/>
      </c>
      <c r="C89" s="474"/>
      <c r="D89" s="474"/>
      <c r="E89" s="443" t="str">
        <f>'Commercial Invoice3'!E87</f>
        <v/>
      </c>
      <c r="F89" s="514"/>
      <c r="G89" s="514"/>
      <c r="H89" s="514"/>
      <c r="I89" s="514"/>
    </row>
    <row r="90" spans="1:14" s="44" customFormat="1" ht="30.75" customHeight="1">
      <c r="A90" s="176">
        <f>'Commercial Invoice3'!A88</f>
        <v>0</v>
      </c>
      <c r="B90" s="474" t="str">
        <f>'Commercial Invoice3'!B88</f>
        <v/>
      </c>
      <c r="C90" s="474"/>
      <c r="D90" s="474"/>
      <c r="E90" s="443" t="str">
        <f>'Commercial Invoice3'!E88</f>
        <v/>
      </c>
      <c r="F90" s="514"/>
      <c r="G90" s="514"/>
      <c r="H90" s="514"/>
      <c r="I90" s="514"/>
    </row>
    <row r="91" spans="1:14" s="44" customFormat="1" ht="30.75" customHeight="1">
      <c r="A91" s="176">
        <f>'Commercial Invoice3'!A89</f>
        <v>0</v>
      </c>
      <c r="B91" s="474" t="str">
        <f>'Commercial Invoice3'!B89</f>
        <v/>
      </c>
      <c r="C91" s="474"/>
      <c r="D91" s="474"/>
      <c r="E91" s="443" t="str">
        <f>'Commercial Invoice3'!E89</f>
        <v/>
      </c>
      <c r="F91" s="514"/>
      <c r="G91" s="514"/>
      <c r="H91" s="514"/>
      <c r="I91" s="514"/>
    </row>
    <row r="92" spans="1:14" s="44" customFormat="1" ht="30.75" customHeight="1">
      <c r="A92" s="176">
        <f>'Commercial Invoice3'!A90</f>
        <v>0</v>
      </c>
      <c r="B92" s="474" t="str">
        <f>'Commercial Invoice3'!B90</f>
        <v/>
      </c>
      <c r="C92" s="474"/>
      <c r="D92" s="474"/>
      <c r="E92" s="443" t="str">
        <f>'Commercial Invoice3'!E90</f>
        <v/>
      </c>
      <c r="F92" s="514"/>
      <c r="G92" s="514"/>
      <c r="H92" s="514"/>
      <c r="I92" s="514"/>
    </row>
    <row r="93" spans="1:14" s="44" customFormat="1" ht="30.75" customHeight="1">
      <c r="A93" s="176">
        <f>'Commercial Invoice3'!A91</f>
        <v>0</v>
      </c>
      <c r="B93" s="474" t="str">
        <f>'Commercial Invoice3'!B91</f>
        <v/>
      </c>
      <c r="C93" s="474"/>
      <c r="D93" s="474"/>
      <c r="E93" s="443" t="str">
        <f>'Commercial Invoice3'!E91</f>
        <v/>
      </c>
      <c r="F93" s="514"/>
      <c r="G93" s="514"/>
      <c r="H93" s="514"/>
      <c r="I93" s="514"/>
    </row>
    <row r="94" spans="1:14" s="44" customFormat="1" ht="30.75" customHeight="1">
      <c r="A94" s="176">
        <f>'Commercial Invoice3'!A92</f>
        <v>0</v>
      </c>
      <c r="B94" s="474" t="str">
        <f>'Commercial Invoice3'!B92</f>
        <v/>
      </c>
      <c r="C94" s="474"/>
      <c r="D94" s="474"/>
      <c r="E94" s="443" t="str">
        <f>'Commercial Invoice3'!E92</f>
        <v/>
      </c>
      <c r="F94" s="514"/>
      <c r="G94" s="514"/>
      <c r="H94" s="514"/>
      <c r="I94" s="514"/>
    </row>
    <row r="95" spans="1:14" s="44" customFormat="1" ht="30.75" customHeight="1">
      <c r="A95" s="176">
        <f>'Commercial Invoice3'!A93</f>
        <v>0</v>
      </c>
      <c r="B95" s="474" t="str">
        <f>'Commercial Invoice3'!B93</f>
        <v/>
      </c>
      <c r="C95" s="474"/>
      <c r="D95" s="474"/>
      <c r="E95" s="443" t="str">
        <f>'Commercial Invoice3'!E93</f>
        <v/>
      </c>
      <c r="F95" s="514"/>
      <c r="G95" s="514"/>
      <c r="H95" s="514"/>
      <c r="I95" s="514"/>
    </row>
    <row r="96" spans="1:14" s="44" customFormat="1" ht="30.75" customHeight="1">
      <c r="A96" s="176">
        <f>'Commercial Invoice3'!A94</f>
        <v>0</v>
      </c>
      <c r="B96" s="474" t="str">
        <f>'Commercial Invoice3'!B94</f>
        <v/>
      </c>
      <c r="C96" s="474"/>
      <c r="D96" s="474"/>
      <c r="E96" s="443" t="str">
        <f>'Commercial Invoice3'!E94</f>
        <v/>
      </c>
      <c r="F96" s="514"/>
      <c r="G96" s="514"/>
      <c r="H96" s="514"/>
      <c r="I96" s="514"/>
    </row>
    <row r="97" spans="1:9" s="44" customFormat="1" ht="30.75" customHeight="1">
      <c r="A97" s="176">
        <f>'Commercial Invoice3'!A95</f>
        <v>0</v>
      </c>
      <c r="B97" s="474" t="str">
        <f>'Commercial Invoice3'!B95</f>
        <v/>
      </c>
      <c r="C97" s="474"/>
      <c r="D97" s="474"/>
      <c r="E97" s="443" t="str">
        <f>'Commercial Invoice3'!E95</f>
        <v/>
      </c>
      <c r="F97" s="514"/>
      <c r="G97" s="514"/>
      <c r="H97" s="514"/>
      <c r="I97" s="514"/>
    </row>
    <row r="98" spans="1:9" s="44" customFormat="1" ht="30.75" customHeight="1">
      <c r="A98" s="176">
        <f>'Commercial Invoice3'!A96</f>
        <v>0</v>
      </c>
      <c r="B98" s="474" t="str">
        <f>'Commercial Invoice3'!B96</f>
        <v/>
      </c>
      <c r="C98" s="474"/>
      <c r="D98" s="474"/>
      <c r="E98" s="443" t="str">
        <f>'Commercial Invoice3'!E96</f>
        <v/>
      </c>
      <c r="F98" s="514"/>
      <c r="G98" s="514"/>
      <c r="H98" s="514"/>
      <c r="I98" s="514"/>
    </row>
    <row r="99" spans="1:9" s="44" customFormat="1" ht="30.75" customHeight="1">
      <c r="A99" s="176">
        <f>'Commercial Invoice3'!A97</f>
        <v>0</v>
      </c>
      <c r="B99" s="474" t="str">
        <f>'Commercial Invoice3'!B97</f>
        <v/>
      </c>
      <c r="C99" s="474"/>
      <c r="D99" s="474"/>
      <c r="E99" s="443" t="str">
        <f>'Commercial Invoice3'!E97</f>
        <v/>
      </c>
      <c r="F99" s="514"/>
      <c r="G99" s="514"/>
      <c r="H99" s="514"/>
      <c r="I99" s="514"/>
    </row>
    <row r="100" spans="1:9" s="44" customFormat="1" ht="30.75" customHeight="1">
      <c r="A100" s="176">
        <f>'Commercial Invoice3'!A98</f>
        <v>0</v>
      </c>
      <c r="B100" s="474" t="str">
        <f>'Commercial Invoice3'!B98</f>
        <v/>
      </c>
      <c r="C100" s="474"/>
      <c r="D100" s="474"/>
      <c r="E100" s="443" t="str">
        <f>'Commercial Invoice3'!E98</f>
        <v/>
      </c>
      <c r="F100" s="514"/>
      <c r="G100" s="514"/>
      <c r="H100" s="514"/>
      <c r="I100" s="514"/>
    </row>
    <row r="101" spans="1:9" s="44" customFormat="1" ht="18.75" customHeight="1">
      <c r="A101" s="178"/>
      <c r="B101" s="515" t="str">
        <f>IF(COUNTIF(辅助!N:N,"&gt;0")&lt;=36,"Total Net Weight（g）:   "&amp;SUM(辅助!N:N)," ")</f>
        <v>Total Net Weight（g）:   3266</v>
      </c>
      <c r="C101" s="515"/>
      <c r="D101" s="515"/>
      <c r="E101" s="179"/>
      <c r="F101" s="516" t="s">
        <v>371</v>
      </c>
      <c r="G101" s="516"/>
      <c r="H101" s="516"/>
      <c r="I101" s="516"/>
    </row>
    <row r="102" spans="1:9" s="44" customFormat="1" ht="17.25" customHeight="1" thickBot="1">
      <c r="A102" s="178"/>
      <c r="B102" s="517" t="str">
        <f>IF(COUNTIF(辅助!N:N,"&gt;0")&lt;=36,"Gross Weight(kg):   "&amp;发货清单!Y2," ")</f>
        <v>Gross Weight(kg):   10</v>
      </c>
      <c r="C102" s="517"/>
      <c r="D102" s="517"/>
      <c r="E102" s="179"/>
      <c r="F102" s="518"/>
      <c r="G102" s="518"/>
      <c r="H102" s="518"/>
      <c r="I102" s="518"/>
    </row>
    <row r="103" spans="1:9" ht="15.75">
      <c r="A103" s="169" t="s">
        <v>31</v>
      </c>
      <c r="B103" s="170"/>
      <c r="C103" s="170"/>
      <c r="D103" s="171"/>
      <c r="E103" s="41"/>
      <c r="F103" s="484"/>
      <c r="G103" s="484"/>
      <c r="H103" s="484"/>
      <c r="I103" s="485"/>
    </row>
    <row r="104" spans="1:9" ht="15" customHeight="1">
      <c r="A104" s="486" t="str">
        <f>IF(LEFT(发货清单!R2,8)="WB000178","I certify that all chemicals in this shipment are subject to TSCA.","I certify that all chemicals in this shipment are not subject to TSCA.")</f>
        <v>I certify that all chemicals in this shipment are not subject to TSCA.</v>
      </c>
      <c r="B104" s="487"/>
      <c r="C104" s="488"/>
      <c r="D104" s="39"/>
      <c r="E104" s="492" t="s">
        <v>73</v>
      </c>
      <c r="F104" s="493"/>
      <c r="G104" s="493"/>
      <c r="H104" s="493"/>
      <c r="I104" s="494"/>
    </row>
    <row r="105" spans="1:9" ht="12" customHeight="1" thickBot="1">
      <c r="A105" s="489"/>
      <c r="B105" s="490"/>
      <c r="C105" s="491"/>
      <c r="D105" s="39"/>
      <c r="E105" s="495"/>
      <c r="F105" s="496"/>
      <c r="G105" s="496"/>
      <c r="H105" s="496"/>
      <c r="I105" s="497"/>
    </row>
    <row r="106" spans="1:9" ht="16.5" customHeight="1" thickBot="1">
      <c r="A106" s="498" t="s">
        <v>526</v>
      </c>
      <c r="B106" s="499"/>
      <c r="C106" s="500"/>
      <c r="D106" s="39"/>
      <c r="E106" s="42" t="s">
        <v>71</v>
      </c>
      <c r="F106" s="39"/>
      <c r="G106" s="507" t="str">
        <f>G70</f>
        <v>2786337676</v>
      </c>
      <c r="H106" s="508"/>
      <c r="I106" s="509"/>
    </row>
    <row r="107" spans="1:9" ht="32.25" customHeight="1" thickBot="1">
      <c r="A107" s="501"/>
      <c r="B107" s="502"/>
      <c r="C107" s="503"/>
      <c r="D107" s="39"/>
      <c r="E107" s="42" t="s">
        <v>34</v>
      </c>
      <c r="F107" s="39"/>
      <c r="G107" s="43"/>
      <c r="H107" s="43"/>
      <c r="I107" s="172"/>
    </row>
    <row r="108" spans="1:9" ht="15" thickBot="1">
      <c r="A108" s="504"/>
      <c r="B108" s="505"/>
      <c r="C108" s="506"/>
      <c r="D108" s="43"/>
      <c r="E108" s="43"/>
      <c r="F108" s="43"/>
      <c r="G108" s="43"/>
      <c r="H108" s="43"/>
      <c r="I108" s="172"/>
    </row>
    <row r="109" spans="1:9">
      <c r="E109" t="s">
        <v>569</v>
      </c>
    </row>
  </sheetData>
  <mergeCells count="141">
    <mergeCell ref="A15:C15"/>
    <mergeCell ref="E15:F15"/>
    <mergeCell ref="H15:I15"/>
    <mergeCell ref="B16:D16"/>
    <mergeCell ref="F16:I16"/>
    <mergeCell ref="B17:D17"/>
    <mergeCell ref="F17:I17"/>
    <mergeCell ref="A2:I2"/>
    <mergeCell ref="A12:B12"/>
    <mergeCell ref="H12:I12"/>
    <mergeCell ref="A13:B13"/>
    <mergeCell ref="H13:I13"/>
    <mergeCell ref="A14:C14"/>
    <mergeCell ref="E14:F14"/>
    <mergeCell ref="H14:I14"/>
    <mergeCell ref="B21:D21"/>
    <mergeCell ref="F21:I21"/>
    <mergeCell ref="B22:D22"/>
    <mergeCell ref="F22:I22"/>
    <mergeCell ref="B23:D23"/>
    <mergeCell ref="F23:I23"/>
    <mergeCell ref="B18:D18"/>
    <mergeCell ref="F18:I18"/>
    <mergeCell ref="B19:D19"/>
    <mergeCell ref="F19:I19"/>
    <mergeCell ref="B20:D20"/>
    <mergeCell ref="F20:I20"/>
    <mergeCell ref="B27:D27"/>
    <mergeCell ref="F27:I27"/>
    <mergeCell ref="B28:D28"/>
    <mergeCell ref="F28:I28"/>
    <mergeCell ref="B29:D29"/>
    <mergeCell ref="F29:I29"/>
    <mergeCell ref="B24:D24"/>
    <mergeCell ref="F24:I24"/>
    <mergeCell ref="B25:D25"/>
    <mergeCell ref="F25:I25"/>
    <mergeCell ref="B26:D26"/>
    <mergeCell ref="F26:I26"/>
    <mergeCell ref="A34:C36"/>
    <mergeCell ref="G34:I34"/>
    <mergeCell ref="A38:I38"/>
    <mergeCell ref="A48:B48"/>
    <mergeCell ref="H48:I48"/>
    <mergeCell ref="A49:B49"/>
    <mergeCell ref="H49:I49"/>
    <mergeCell ref="B30:D30"/>
    <mergeCell ref="F30:I30"/>
    <mergeCell ref="F31:I31"/>
    <mergeCell ref="A32:C33"/>
    <mergeCell ref="E32:I32"/>
    <mergeCell ref="E33:I33"/>
    <mergeCell ref="B52:D52"/>
    <mergeCell ref="F52:I52"/>
    <mergeCell ref="B53:D53"/>
    <mergeCell ref="F53:I53"/>
    <mergeCell ref="B54:D54"/>
    <mergeCell ref="F54:I54"/>
    <mergeCell ref="A50:C50"/>
    <mergeCell ref="E50:F50"/>
    <mergeCell ref="H50:I50"/>
    <mergeCell ref="A51:C51"/>
    <mergeCell ref="E51:F51"/>
    <mergeCell ref="H51:I51"/>
    <mergeCell ref="B58:D58"/>
    <mergeCell ref="F58:I58"/>
    <mergeCell ref="B59:D59"/>
    <mergeCell ref="F59:I59"/>
    <mergeCell ref="B60:D60"/>
    <mergeCell ref="F60:I60"/>
    <mergeCell ref="B55:D55"/>
    <mergeCell ref="F55:I55"/>
    <mergeCell ref="B56:D56"/>
    <mergeCell ref="F56:I56"/>
    <mergeCell ref="B57:D57"/>
    <mergeCell ref="F57:I57"/>
    <mergeCell ref="B64:D64"/>
    <mergeCell ref="F64:I64"/>
    <mergeCell ref="B65:D65"/>
    <mergeCell ref="F65:I65"/>
    <mergeCell ref="B66:D66"/>
    <mergeCell ref="F66:I66"/>
    <mergeCell ref="B61:D61"/>
    <mergeCell ref="F61:I61"/>
    <mergeCell ref="B62:D62"/>
    <mergeCell ref="F62:I62"/>
    <mergeCell ref="B63:D63"/>
    <mergeCell ref="F63:I63"/>
    <mergeCell ref="A74:I74"/>
    <mergeCell ref="A84:B84"/>
    <mergeCell ref="H84:I84"/>
    <mergeCell ref="A85:B85"/>
    <mergeCell ref="H85:I85"/>
    <mergeCell ref="A86:C86"/>
    <mergeCell ref="E86:F86"/>
    <mergeCell ref="H86:I86"/>
    <mergeCell ref="F67:I67"/>
    <mergeCell ref="A68:C69"/>
    <mergeCell ref="E68:I68"/>
    <mergeCell ref="E69:I69"/>
    <mergeCell ref="A70:C72"/>
    <mergeCell ref="G70:I70"/>
    <mergeCell ref="B90:D90"/>
    <mergeCell ref="F90:I90"/>
    <mergeCell ref="B91:D91"/>
    <mergeCell ref="F91:I91"/>
    <mergeCell ref="B92:D92"/>
    <mergeCell ref="F92:I92"/>
    <mergeCell ref="A87:C87"/>
    <mergeCell ref="E87:F87"/>
    <mergeCell ref="H87:I87"/>
    <mergeCell ref="B88:D88"/>
    <mergeCell ref="F88:I88"/>
    <mergeCell ref="B89:D89"/>
    <mergeCell ref="F89:I89"/>
    <mergeCell ref="B96:D96"/>
    <mergeCell ref="F96:I96"/>
    <mergeCell ref="B97:D97"/>
    <mergeCell ref="F97:I97"/>
    <mergeCell ref="B98:D98"/>
    <mergeCell ref="F98:I98"/>
    <mergeCell ref="B93:D93"/>
    <mergeCell ref="F93:I93"/>
    <mergeCell ref="B94:D94"/>
    <mergeCell ref="F94:I94"/>
    <mergeCell ref="B95:D95"/>
    <mergeCell ref="F95:I95"/>
    <mergeCell ref="A106:C108"/>
    <mergeCell ref="G106:I106"/>
    <mergeCell ref="B102:D102"/>
    <mergeCell ref="F102:I102"/>
    <mergeCell ref="F103:I103"/>
    <mergeCell ref="A104:C105"/>
    <mergeCell ref="E104:I104"/>
    <mergeCell ref="E105:I105"/>
    <mergeCell ref="B99:D99"/>
    <mergeCell ref="F99:I99"/>
    <mergeCell ref="B100:D100"/>
    <mergeCell ref="F100:I100"/>
    <mergeCell ref="B101:D101"/>
    <mergeCell ref="F101:I101"/>
  </mergeCells>
  <phoneticPr fontId="1" type="noConversion"/>
  <conditionalFormatting sqref="A17:B28 E17:E28">
    <cfRule type="cellIs" dxfId="118" priority="5" operator="equal">
      <formula>0</formula>
    </cfRule>
  </conditionalFormatting>
  <conditionalFormatting sqref="A53:B64 E53:E64">
    <cfRule type="cellIs" dxfId="117" priority="4" operator="equal">
      <formula>0</formula>
    </cfRule>
  </conditionalFormatting>
  <conditionalFormatting sqref="A89:B100 E89:E100">
    <cfRule type="cellIs" dxfId="116" priority="3" operator="equal">
      <formula>0</formula>
    </cfRule>
  </conditionalFormatting>
  <conditionalFormatting sqref="A38:XFD73">
    <cfRule type="expression" dxfId="115" priority="2">
      <formula>$A$53=0</formula>
    </cfRule>
  </conditionalFormatting>
  <conditionalFormatting sqref="A74:XFD109">
    <cfRule type="expression" dxfId="114" priority="1">
      <formula>$A$89=0</formula>
    </cfRule>
  </conditionalFormatting>
  <dataValidations count="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2 A68 A104"/>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3 E69 E105"/>
  </dataValidations>
  <hyperlinks>
    <hyperlink ref="A10" r:id="rId1"/>
    <hyperlink ref="A46" r:id="rId2"/>
    <hyperlink ref="A82" r:id="rId3"/>
  </hyperlinks>
  <pageMargins left="0.19685039370078741" right="0" top="0.51181102362204722" bottom="0.74803149606299213" header="0.31496062992125984" footer="0.31496062992125984"/>
  <pageSetup paperSize="9" scale="99" orientation="portrait" horizontalDpi="4294967295" verticalDpi="4294967295" r:id="rId4"/>
  <rowBreaks count="1" manualBreakCount="1">
    <brk id="37" max="8"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109"/>
  <sheetViews>
    <sheetView topLeftCell="A57" zoomScaleNormal="100" workbookViewId="0">
      <selection activeCell="K85" sqref="K85"/>
    </sheetView>
  </sheetViews>
  <sheetFormatPr defaultRowHeight="14.25"/>
  <cols>
    <col min="1" max="1" width="5.25" customWidth="1"/>
    <col min="2" max="2" width="6.5" customWidth="1"/>
    <col min="3" max="3" width="26.125" customWidth="1"/>
    <col min="4" max="4" width="9.75" customWidth="1"/>
    <col min="5" max="5" width="9.375" customWidth="1"/>
    <col min="6" max="6" width="5.625" customWidth="1"/>
    <col min="7" max="7" width="8" customWidth="1"/>
    <col min="8" max="8" width="10.875" customWidth="1"/>
    <col min="9" max="9" width="13" customWidth="1"/>
  </cols>
  <sheetData>
    <row r="1" spans="1:14" ht="8.25" customHeight="1">
      <c r="A1" s="17"/>
      <c r="B1" s="17"/>
      <c r="C1" s="17"/>
      <c r="D1" s="17"/>
      <c r="E1" s="17"/>
      <c r="F1" s="17"/>
      <c r="G1" s="17"/>
      <c r="H1" s="17"/>
      <c r="I1" s="17"/>
    </row>
    <row r="2" spans="1:14" ht="22.5">
      <c r="A2" s="470" t="s">
        <v>1207</v>
      </c>
      <c r="B2" s="470"/>
      <c r="C2" s="470"/>
      <c r="D2" s="470"/>
      <c r="E2" s="470"/>
      <c r="F2" s="470"/>
      <c r="G2" s="470"/>
      <c r="H2" s="470"/>
      <c r="I2" s="470"/>
    </row>
    <row r="3" spans="1:14" ht="5.25" hidden="1" customHeight="1">
      <c r="A3" s="17"/>
      <c r="B3" s="17"/>
      <c r="C3" s="17"/>
      <c r="D3" s="17"/>
      <c r="E3" s="17"/>
      <c r="F3" s="17"/>
      <c r="G3" s="17"/>
      <c r="H3" s="34"/>
      <c r="I3" s="48"/>
    </row>
    <row r="4" spans="1:14" ht="5.25" hidden="1" customHeight="1">
      <c r="A4" s="17"/>
      <c r="B4" s="17"/>
      <c r="C4" s="17"/>
      <c r="D4" s="17"/>
      <c r="E4" s="17"/>
      <c r="F4" s="17"/>
      <c r="G4" s="17"/>
      <c r="H4" s="17"/>
      <c r="I4" s="17"/>
    </row>
    <row r="5" spans="1:14" ht="15.75">
      <c r="A5" s="35" t="s">
        <v>43</v>
      </c>
      <c r="B5" s="36"/>
      <c r="C5" s="36"/>
      <c r="D5" s="37"/>
      <c r="E5" s="61"/>
      <c r="F5" s="77" t="s">
        <v>42</v>
      </c>
      <c r="G5" s="71"/>
      <c r="H5" s="36"/>
      <c r="I5" s="37"/>
    </row>
    <row r="6" spans="1:14" ht="15.75">
      <c r="A6" s="103" t="s">
        <v>229</v>
      </c>
      <c r="B6" s="58"/>
      <c r="C6" s="58"/>
      <c r="D6" s="59"/>
      <c r="E6" s="58"/>
      <c r="F6" s="57" t="str">
        <f>'Commercial Invoice3'!F6</f>
        <v xml:space="preserve"> Fluorochem Limited</v>
      </c>
      <c r="G6" s="192"/>
      <c r="H6" s="15"/>
      <c r="I6" s="38"/>
    </row>
    <row r="7" spans="1:14" ht="15" customHeight="1">
      <c r="A7" s="104" t="s">
        <v>230</v>
      </c>
      <c r="B7" s="60"/>
      <c r="C7" s="60"/>
      <c r="D7" s="59"/>
      <c r="E7" s="61"/>
      <c r="F7" s="53" t="str">
        <f>'Commercial Invoice3'!F7</f>
        <v>Unit 14 Graphite Way</v>
      </c>
      <c r="G7" s="7"/>
      <c r="H7" s="39"/>
      <c r="I7" s="38"/>
      <c r="J7" s="16"/>
    </row>
    <row r="8" spans="1:14" ht="15" customHeight="1">
      <c r="A8" s="104" t="s">
        <v>231</v>
      </c>
      <c r="B8" s="60"/>
      <c r="C8" s="60"/>
      <c r="D8" s="59"/>
      <c r="E8" s="61"/>
      <c r="F8" s="53" t="str">
        <f>'Commercial Invoice3'!F8</f>
        <v>Hadfield  Derbyshire</v>
      </c>
      <c r="G8" s="7"/>
      <c r="H8" s="39"/>
      <c r="I8" s="38"/>
      <c r="J8" s="16"/>
    </row>
    <row r="9" spans="1:14" ht="15" customHeight="1">
      <c r="A9" s="105" t="s">
        <v>232</v>
      </c>
      <c r="B9" s="60"/>
      <c r="C9" s="60"/>
      <c r="D9" s="59"/>
      <c r="E9" s="61"/>
      <c r="F9" s="53" t="str">
        <f>'Commercial Invoice3'!F9</f>
        <v>SK13 1QH UK</v>
      </c>
      <c r="G9" s="193"/>
      <c r="H9" s="39"/>
      <c r="I9" s="38"/>
      <c r="J9" s="14"/>
    </row>
    <row r="10" spans="1:14" ht="15">
      <c r="A10" s="106" t="s">
        <v>233</v>
      </c>
      <c r="B10" s="62"/>
      <c r="C10" s="62"/>
      <c r="D10" s="63"/>
      <c r="E10" s="61"/>
      <c r="F10" s="53" t="str">
        <f>'Commercial Invoice3'!F10</f>
        <v>TEL:4401457860111</v>
      </c>
      <c r="G10" s="6"/>
      <c r="H10" s="18"/>
      <c r="I10" s="40"/>
      <c r="J10" s="14"/>
    </row>
    <row r="11" spans="1:14" ht="6" customHeight="1">
      <c r="A11" s="17"/>
      <c r="B11" s="17"/>
      <c r="C11" s="17"/>
      <c r="D11" s="17"/>
      <c r="E11" s="17"/>
      <c r="F11" s="17"/>
      <c r="G11" s="17"/>
      <c r="H11" s="17"/>
      <c r="I11" s="17"/>
      <c r="J11" s="14"/>
    </row>
    <row r="12" spans="1:14" s="68" customFormat="1">
      <c r="A12" s="471" t="s">
        <v>17</v>
      </c>
      <c r="B12" s="472"/>
      <c r="C12" s="235" t="str">
        <f>'Commercial Invoice3'!C12</f>
        <v>Order  No.</v>
      </c>
      <c r="D12" s="67" t="s">
        <v>369</v>
      </c>
      <c r="E12" s="67" t="s">
        <v>21</v>
      </c>
      <c r="F12" s="263" t="s">
        <v>19</v>
      </c>
      <c r="G12" s="67" t="s">
        <v>20</v>
      </c>
      <c r="H12" s="471" t="s">
        <v>30</v>
      </c>
      <c r="I12" s="472"/>
    </row>
    <row r="13" spans="1:14" s="68" customFormat="1" ht="12.75">
      <c r="A13" s="471"/>
      <c r="B13" s="472"/>
      <c r="C13" s="67" t="str">
        <f>'Commercial Invoice3'!C13</f>
        <v>P100426</v>
      </c>
      <c r="D13" s="67"/>
      <c r="E13" s="67"/>
      <c r="F13" s="29" t="s">
        <v>38</v>
      </c>
      <c r="G13" s="67"/>
      <c r="H13" s="471" t="s">
        <v>386</v>
      </c>
      <c r="I13" s="472"/>
      <c r="J13" s="30"/>
    </row>
    <row r="14" spans="1:14" s="68" customFormat="1" ht="12.75">
      <c r="A14" s="471" t="s">
        <v>22</v>
      </c>
      <c r="B14" s="473"/>
      <c r="C14" s="472"/>
      <c r="D14" s="67" t="s">
        <v>70</v>
      </c>
      <c r="E14" s="471" t="s">
        <v>23</v>
      </c>
      <c r="F14" s="472"/>
      <c r="G14" s="445" t="s">
        <v>29</v>
      </c>
      <c r="H14" s="471" t="s">
        <v>18</v>
      </c>
      <c r="I14" s="472"/>
      <c r="J14" s="30"/>
    </row>
    <row r="15" spans="1:14" s="28" customFormat="1" ht="15.75">
      <c r="A15" s="476" t="s">
        <v>39</v>
      </c>
      <c r="B15" s="477"/>
      <c r="C15" s="478"/>
      <c r="D15" s="27"/>
      <c r="E15" s="513" t="str">
        <f>'Commercial Invoice3'!E15</f>
        <v>UK</v>
      </c>
      <c r="F15" s="478"/>
      <c r="G15" s="79">
        <f ca="1">'Commercial Invoice3'!G15</f>
        <v>43839</v>
      </c>
      <c r="H15" s="479" t="str">
        <f>'Commercial Invoice3'!H15</f>
        <v>20200109-607</v>
      </c>
      <c r="I15" s="480"/>
      <c r="J15" s="30"/>
    </row>
    <row r="16" spans="1:14" s="26" customFormat="1" ht="23.25" customHeight="1">
      <c r="A16" s="66" t="s">
        <v>24</v>
      </c>
      <c r="B16" s="481" t="s">
        <v>25</v>
      </c>
      <c r="C16" s="482"/>
      <c r="D16" s="483"/>
      <c r="E16" s="55" t="s">
        <v>28</v>
      </c>
      <c r="F16" s="514" t="s">
        <v>109</v>
      </c>
      <c r="G16" s="514"/>
      <c r="H16" s="514"/>
      <c r="I16" s="514"/>
      <c r="N16" s="47"/>
    </row>
    <row r="17" spans="1:9" s="44" customFormat="1" ht="30.75" customHeight="1">
      <c r="A17" s="176">
        <f>'Commercial Invoice3'!A17</f>
        <v>600</v>
      </c>
      <c r="B17" s="474" t="str">
        <f>'Commercial Invoice3'!B17</f>
        <v>Carboxylic acid compound category (AB-04)1
White powder</v>
      </c>
      <c r="C17" s="474"/>
      <c r="D17" s="474"/>
      <c r="E17" s="443" t="str">
        <f>'Commercial Invoice3'!E17</f>
        <v>Glass/Plastic bottle</v>
      </c>
      <c r="F17" s="514"/>
      <c r="G17" s="514"/>
      <c r="H17" s="514"/>
      <c r="I17" s="514"/>
    </row>
    <row r="18" spans="1:9" s="44" customFormat="1" ht="30.75" customHeight="1">
      <c r="A18" s="176">
        <f>'Commercial Invoice3'!A18</f>
        <v>10</v>
      </c>
      <c r="B18" s="474" t="str">
        <f>'Commercial Invoice3'!B18</f>
        <v>Carboxylic acid compound category (AB-04)6
White Solid</v>
      </c>
      <c r="C18" s="474"/>
      <c r="D18" s="474"/>
      <c r="E18" s="443" t="str">
        <f>'Commercial Invoice3'!E18</f>
        <v>Glass/Plastic bottle</v>
      </c>
      <c r="F18" s="514"/>
      <c r="G18" s="514"/>
      <c r="H18" s="514"/>
      <c r="I18" s="514"/>
    </row>
    <row r="19" spans="1:9" s="44" customFormat="1" ht="30.75" customHeight="1">
      <c r="A19" s="176">
        <f>'Commercial Invoice3'!A19</f>
        <v>1000</v>
      </c>
      <c r="B19" s="474" t="str">
        <f>'Commercial Invoice3'!B19</f>
        <v>Sulfonamide compound category(AB-08)1
White Solid</v>
      </c>
      <c r="C19" s="474"/>
      <c r="D19" s="474"/>
      <c r="E19" s="443" t="str">
        <f>'Commercial Invoice3'!E19</f>
        <v>Glass/Plastic bottle</v>
      </c>
      <c r="F19" s="514"/>
      <c r="G19" s="514"/>
      <c r="H19" s="514"/>
      <c r="I19" s="514"/>
    </row>
    <row r="20" spans="1:9" s="44" customFormat="1" ht="30.75" customHeight="1">
      <c r="A20" s="176">
        <f>'Commercial Invoice3'!A20</f>
        <v>205</v>
      </c>
      <c r="B20" s="474" t="str">
        <f>'Commercial Invoice3'!B20</f>
        <v>Heterocyclic with single or more oxygen atoms compound category （AB-15）4
White crystal</v>
      </c>
      <c r="C20" s="474"/>
      <c r="D20" s="474"/>
      <c r="E20" s="443" t="str">
        <f>'Commercial Invoice3'!E20</f>
        <v>Glass/Plastic bottle</v>
      </c>
      <c r="F20" s="514"/>
      <c r="G20" s="514"/>
      <c r="H20" s="514"/>
      <c r="I20" s="514"/>
    </row>
    <row r="21" spans="1:9" s="44" customFormat="1" ht="30.75" customHeight="1">
      <c r="A21" s="176">
        <f>'Commercial Invoice3'!A21</f>
        <v>500</v>
      </c>
      <c r="B21" s="474" t="str">
        <f>'Commercial Invoice3'!B21</f>
        <v>Acyclic hydrocarbon compound category （AB-02）11
Colorless Transparent Liquid</v>
      </c>
      <c r="C21" s="474"/>
      <c r="D21" s="474"/>
      <c r="E21" s="443" t="str">
        <f>'Commercial Invoice3'!E21</f>
        <v>Glass/Plastic bottle</v>
      </c>
      <c r="F21" s="514"/>
      <c r="G21" s="514"/>
      <c r="H21" s="514"/>
      <c r="I21" s="514"/>
    </row>
    <row r="22" spans="1:9" s="44" customFormat="1" ht="30.75" customHeight="1">
      <c r="A22" s="176">
        <f>'Commercial Invoice3'!A22</f>
        <v>26</v>
      </c>
      <c r="B22" s="474" t="str">
        <f>'Commercial Invoice3'!B22</f>
        <v>Acyclic hydrocarbon compound category （AB-02）13
brown liquid</v>
      </c>
      <c r="C22" s="474"/>
      <c r="D22" s="474"/>
      <c r="E22" s="443" t="str">
        <f>'Commercial Invoice3'!E22</f>
        <v>Glass/Plastic bottle</v>
      </c>
      <c r="F22" s="514"/>
      <c r="G22" s="514"/>
      <c r="H22" s="514"/>
      <c r="I22" s="514"/>
    </row>
    <row r="23" spans="1:9" s="44" customFormat="1" ht="30.75" customHeight="1">
      <c r="A23" s="176">
        <f>'Commercial Invoice3'!A23</f>
        <v>25</v>
      </c>
      <c r="B23" s="474" t="str">
        <f>'Commercial Invoice3'!B23</f>
        <v>Heterocyclic with nitrogen compound category (AB-06)46
Yellow powder</v>
      </c>
      <c r="C23" s="474"/>
      <c r="D23" s="474"/>
      <c r="E23" s="443" t="str">
        <f>'Commercial Invoice3'!E23</f>
        <v>Glass/Plastic bottle</v>
      </c>
      <c r="F23" s="514"/>
      <c r="G23" s="514"/>
      <c r="H23" s="514"/>
      <c r="I23" s="514"/>
    </row>
    <row r="24" spans="1:9" s="44" customFormat="1" ht="30.75" customHeight="1">
      <c r="A24" s="176">
        <f>'Commercial Invoice3'!A24</f>
        <v>50</v>
      </c>
      <c r="B24" s="474" t="str">
        <f>'Commercial Invoice3'!B24</f>
        <v>Heterocyclic with nitrogen compound category (AB-06)53
Brown solid</v>
      </c>
      <c r="C24" s="474"/>
      <c r="D24" s="474"/>
      <c r="E24" s="443" t="str">
        <f>'Commercial Invoice3'!E24</f>
        <v>Glass/Plastic bottle</v>
      </c>
      <c r="F24" s="514"/>
      <c r="G24" s="514"/>
      <c r="H24" s="514"/>
      <c r="I24" s="514"/>
    </row>
    <row r="25" spans="1:9" s="44" customFormat="1" ht="30.75" customHeight="1">
      <c r="A25" s="176">
        <f>'Commercial Invoice3'!A25</f>
        <v>700</v>
      </c>
      <c r="B25" s="474" t="str">
        <f>'Commercial Invoice3'!B25</f>
        <v>Aromatic ring products without heteroatoms category （AB-16）33
Light yellow-green granular crystals</v>
      </c>
      <c r="C25" s="474"/>
      <c r="D25" s="474"/>
      <c r="E25" s="443" t="str">
        <f>'Commercial Invoice3'!E25</f>
        <v>Glass/Plastic bottle</v>
      </c>
      <c r="F25" s="514"/>
      <c r="G25" s="514"/>
      <c r="H25" s="514"/>
      <c r="I25" s="514"/>
    </row>
    <row r="26" spans="1:9" s="44" customFormat="1" ht="30.75" customHeight="1">
      <c r="A26" s="176">
        <f>'Commercial Invoice3'!A26</f>
        <v>150</v>
      </c>
      <c r="B26" s="474" t="str">
        <f>'Commercial Invoice3'!B26</f>
        <v>Aromatic ring products without heteroatoms category （AB-16）36
White powder</v>
      </c>
      <c r="C26" s="474"/>
      <c r="D26" s="474"/>
      <c r="E26" s="443" t="str">
        <f>'Commercial Invoice3'!E26</f>
        <v>Glass/Plastic bottle</v>
      </c>
      <c r="F26" s="514"/>
      <c r="G26" s="514"/>
      <c r="H26" s="514"/>
      <c r="I26" s="514"/>
    </row>
    <row r="27" spans="1:9" s="44" customFormat="1" ht="30.75" customHeight="1">
      <c r="A27" s="176">
        <f>'Commercial Invoice3'!A27</f>
        <v>0</v>
      </c>
      <c r="B27" s="474" t="str">
        <f>'Commercial Invoice3'!B27</f>
        <v/>
      </c>
      <c r="C27" s="474"/>
      <c r="D27" s="474"/>
      <c r="E27" s="443" t="str">
        <f>'Commercial Invoice3'!E27</f>
        <v/>
      </c>
      <c r="F27" s="514"/>
      <c r="G27" s="514"/>
      <c r="H27" s="514"/>
      <c r="I27" s="514"/>
    </row>
    <row r="28" spans="1:9" s="44" customFormat="1" ht="30.75" customHeight="1">
      <c r="A28" s="176">
        <f>'Commercial Invoice3'!A28</f>
        <v>0</v>
      </c>
      <c r="B28" s="474" t="str">
        <f>'Commercial Invoice3'!B28</f>
        <v/>
      </c>
      <c r="C28" s="474"/>
      <c r="D28" s="474"/>
      <c r="E28" s="443" t="str">
        <f>'Commercial Invoice3'!E28</f>
        <v/>
      </c>
      <c r="F28" s="514"/>
      <c r="G28" s="514"/>
      <c r="H28" s="514"/>
      <c r="I28" s="514"/>
    </row>
    <row r="29" spans="1:9" s="44" customFormat="1" ht="18.75" customHeight="1">
      <c r="A29" s="178"/>
      <c r="B29" s="515" t="str">
        <f>IF(COUNTIF(辅助!N:N,"&gt;0")&lt;=12,"Total Net Weight（g）:   "&amp;SUM(辅助!N:N)," ")</f>
        <v>Total Net Weight（g）:   3266</v>
      </c>
      <c r="C29" s="515"/>
      <c r="D29" s="515"/>
      <c r="E29" s="179"/>
      <c r="F29" s="516" t="s">
        <v>371</v>
      </c>
      <c r="G29" s="516"/>
      <c r="H29" s="516"/>
      <c r="I29" s="516"/>
    </row>
    <row r="30" spans="1:9" s="44" customFormat="1" ht="7.5" customHeight="1" thickBot="1">
      <c r="A30" s="178"/>
      <c r="B30" s="517" t="str">
        <f>IF(COUNTIF(辅助!N:N,"&gt;0")&lt;=12,"Gross Weight(kg):   "&amp;发货清单!Y2," ")</f>
        <v>Gross Weight(kg):   10</v>
      </c>
      <c r="C30" s="517"/>
      <c r="D30" s="517"/>
      <c r="E30" s="179"/>
      <c r="F30" s="518"/>
      <c r="G30" s="518"/>
      <c r="H30" s="518"/>
      <c r="I30" s="518"/>
    </row>
    <row r="31" spans="1:9" ht="15.75">
      <c r="A31" s="169" t="s">
        <v>31</v>
      </c>
      <c r="B31" s="170"/>
      <c r="C31" s="170"/>
      <c r="D31" s="171"/>
      <c r="E31" s="41"/>
      <c r="F31" s="484"/>
      <c r="G31" s="484"/>
      <c r="H31" s="484"/>
      <c r="I31" s="485"/>
    </row>
    <row r="32" spans="1:9" ht="15" customHeight="1">
      <c r="A32" s="486" t="str">
        <f>IF(LEFT(发货清单!R2,8)="WB000178","I certify that all chemicals in this shipment are subject to TSCA.","I certify that all chemicals in this shipment are not subject to TSCA.")</f>
        <v>I certify that all chemicals in this shipment are not subject to TSCA.</v>
      </c>
      <c r="B32" s="487"/>
      <c r="C32" s="488"/>
      <c r="D32" s="39"/>
      <c r="E32" s="492" t="s">
        <v>73</v>
      </c>
      <c r="F32" s="493"/>
      <c r="G32" s="493"/>
      <c r="H32" s="493"/>
      <c r="I32" s="494"/>
    </row>
    <row r="33" spans="1:10" ht="15.75" thickBot="1">
      <c r="A33" s="489"/>
      <c r="B33" s="490"/>
      <c r="C33" s="491"/>
      <c r="D33" s="39"/>
      <c r="E33" s="495"/>
      <c r="F33" s="496"/>
      <c r="G33" s="496"/>
      <c r="H33" s="496"/>
      <c r="I33" s="497"/>
    </row>
    <row r="34" spans="1:10" ht="16.5" customHeight="1" thickBot="1">
      <c r="A34" s="498" t="s">
        <v>526</v>
      </c>
      <c r="B34" s="499"/>
      <c r="C34" s="500"/>
      <c r="D34" s="39"/>
      <c r="E34" s="42" t="s">
        <v>71</v>
      </c>
      <c r="F34" s="39"/>
      <c r="G34" s="507" t="str">
        <f>'Commercial Invoice3'!G33</f>
        <v>2786337676</v>
      </c>
      <c r="H34" s="508"/>
      <c r="I34" s="509"/>
    </row>
    <row r="35" spans="1:10" ht="32.25" customHeight="1" thickBot="1">
      <c r="A35" s="501"/>
      <c r="B35" s="502"/>
      <c r="C35" s="503"/>
      <c r="D35" s="39"/>
      <c r="E35" s="42" t="s">
        <v>34</v>
      </c>
      <c r="F35" s="39"/>
      <c r="G35" s="43"/>
      <c r="H35" s="43"/>
      <c r="I35" s="172"/>
    </row>
    <row r="36" spans="1:10" ht="15" thickBot="1">
      <c r="A36" s="504"/>
      <c r="B36" s="505"/>
      <c r="C36" s="506"/>
      <c r="D36" s="43"/>
      <c r="E36" s="43"/>
      <c r="F36" s="43"/>
      <c r="G36" s="43"/>
      <c r="H36" s="43"/>
      <c r="I36" s="172"/>
    </row>
    <row r="37" spans="1:10" ht="18" customHeight="1">
      <c r="A37" s="17"/>
      <c r="B37" s="17"/>
      <c r="C37" s="17"/>
      <c r="D37" s="17"/>
      <c r="E37" s="17" t="str">
        <f>"page 1/"&amp;IF(COUNTIF(辅助!K:K,"&gt;0")&lt;13,1,IF(COUNTIF(辅助!K:K,"&gt;0")&lt;25,2,3))</f>
        <v>page 1/1</v>
      </c>
      <c r="F37" s="17"/>
      <c r="G37" s="17"/>
      <c r="H37" s="17"/>
      <c r="I37" s="17"/>
    </row>
    <row r="38" spans="1:10" ht="22.5">
      <c r="A38" s="470" t="s">
        <v>370</v>
      </c>
      <c r="B38" s="470"/>
      <c r="C38" s="470"/>
      <c r="D38" s="470"/>
      <c r="E38" s="470"/>
      <c r="F38" s="470"/>
      <c r="G38" s="470"/>
      <c r="H38" s="470"/>
      <c r="I38" s="470"/>
    </row>
    <row r="39" spans="1:10" ht="5.25" hidden="1" customHeight="1">
      <c r="A39" s="17"/>
      <c r="B39" s="17"/>
      <c r="C39" s="17"/>
      <c r="D39" s="17"/>
      <c r="E39" s="17"/>
      <c r="F39" s="17"/>
      <c r="G39" s="17"/>
      <c r="H39" s="34"/>
      <c r="I39" s="48"/>
    </row>
    <row r="40" spans="1:10" ht="5.25" hidden="1" customHeight="1">
      <c r="A40" s="17"/>
      <c r="B40" s="17"/>
      <c r="C40" s="17"/>
      <c r="D40" s="17"/>
      <c r="E40" s="17"/>
      <c r="F40" s="17"/>
      <c r="G40" s="17"/>
      <c r="H40" s="17"/>
      <c r="I40" s="17"/>
    </row>
    <row r="41" spans="1:10" ht="15.75">
      <c r="A41" s="35" t="s">
        <v>43</v>
      </c>
      <c r="B41" s="36"/>
      <c r="C41" s="36"/>
      <c r="D41" s="37"/>
      <c r="E41" s="61"/>
      <c r="F41" s="77" t="s">
        <v>42</v>
      </c>
      <c r="G41" s="71"/>
      <c r="H41" s="36"/>
      <c r="I41" s="37"/>
    </row>
    <row r="42" spans="1:10" ht="15.75">
      <c r="A42" s="103" t="s">
        <v>75</v>
      </c>
      <c r="B42" s="58"/>
      <c r="C42" s="58"/>
      <c r="D42" s="59"/>
      <c r="E42" s="58"/>
      <c r="F42" s="57" t="str">
        <f>F6</f>
        <v xml:space="preserve"> Fluorochem Limited</v>
      </c>
      <c r="G42" s="192"/>
      <c r="H42" s="15"/>
      <c r="I42" s="38"/>
    </row>
    <row r="43" spans="1:10" ht="15" customHeight="1">
      <c r="A43" s="104" t="s">
        <v>230</v>
      </c>
      <c r="B43" s="60"/>
      <c r="C43" s="60"/>
      <c r="D43" s="59"/>
      <c r="E43" s="61"/>
      <c r="F43" s="53" t="str">
        <f>F7</f>
        <v>Unit 14 Graphite Way</v>
      </c>
      <c r="G43" s="7"/>
      <c r="H43" s="39"/>
      <c r="I43" s="38"/>
      <c r="J43" s="16"/>
    </row>
    <row r="44" spans="1:10" ht="15" customHeight="1">
      <c r="A44" s="104" t="s">
        <v>231</v>
      </c>
      <c r="B44" s="60"/>
      <c r="C44" s="60"/>
      <c r="D44" s="59"/>
      <c r="E44" s="61"/>
      <c r="F44" s="53" t="str">
        <f t="shared" ref="F44:F46" si="0">F8</f>
        <v>Hadfield  Derbyshire</v>
      </c>
      <c r="G44" s="7"/>
      <c r="H44" s="39"/>
      <c r="I44" s="38"/>
      <c r="J44" s="16"/>
    </row>
    <row r="45" spans="1:10" ht="15" customHeight="1">
      <c r="A45" s="105" t="s">
        <v>232</v>
      </c>
      <c r="B45" s="60"/>
      <c r="C45" s="60"/>
      <c r="D45" s="59"/>
      <c r="E45" s="61"/>
      <c r="F45" s="53" t="str">
        <f t="shared" si="0"/>
        <v>SK13 1QH UK</v>
      </c>
      <c r="G45" s="193"/>
      <c r="H45" s="39"/>
      <c r="I45" s="38"/>
      <c r="J45" s="14"/>
    </row>
    <row r="46" spans="1:10" ht="15">
      <c r="A46" s="106" t="s">
        <v>233</v>
      </c>
      <c r="B46" s="62"/>
      <c r="C46" s="62"/>
      <c r="D46" s="63"/>
      <c r="E46" s="61"/>
      <c r="F46" s="53" t="str">
        <f t="shared" si="0"/>
        <v>TEL:4401457860111</v>
      </c>
      <c r="G46" s="6"/>
      <c r="H46" s="18"/>
      <c r="I46" s="40"/>
      <c r="J46" s="14"/>
    </row>
    <row r="47" spans="1:10" ht="6" customHeight="1">
      <c r="A47" s="17"/>
      <c r="B47" s="17"/>
      <c r="C47" s="17"/>
      <c r="D47" s="17"/>
      <c r="E47" s="17"/>
      <c r="F47" s="17"/>
      <c r="G47" s="17"/>
      <c r="H47" s="17"/>
      <c r="I47" s="17"/>
      <c r="J47" s="14"/>
    </row>
    <row r="48" spans="1:10" s="68" customFormat="1">
      <c r="A48" s="471" t="s">
        <v>17</v>
      </c>
      <c r="B48" s="472"/>
      <c r="C48" s="235" t="str">
        <f>C12</f>
        <v>Order  No.</v>
      </c>
      <c r="D48" s="67" t="s">
        <v>369</v>
      </c>
      <c r="E48" s="67" t="s">
        <v>21</v>
      </c>
      <c r="F48" s="263" t="s">
        <v>19</v>
      </c>
      <c r="G48" s="67" t="s">
        <v>20</v>
      </c>
      <c r="H48" s="471" t="s">
        <v>30</v>
      </c>
      <c r="I48" s="472"/>
    </row>
    <row r="49" spans="1:14" s="68" customFormat="1" ht="12.75">
      <c r="A49" s="471"/>
      <c r="B49" s="472"/>
      <c r="C49" s="67" t="str">
        <f>C13</f>
        <v>P100426</v>
      </c>
      <c r="D49" s="67"/>
      <c r="E49" s="67"/>
      <c r="F49" s="29" t="s">
        <v>38</v>
      </c>
      <c r="G49" s="67"/>
      <c r="H49" s="471" t="s">
        <v>386</v>
      </c>
      <c r="I49" s="472"/>
      <c r="J49" s="30"/>
    </row>
    <row r="50" spans="1:14" s="68" customFormat="1" ht="12.75">
      <c r="A50" s="471" t="s">
        <v>22</v>
      </c>
      <c r="B50" s="473"/>
      <c r="C50" s="472"/>
      <c r="D50" s="67" t="s">
        <v>70</v>
      </c>
      <c r="E50" s="471" t="s">
        <v>23</v>
      </c>
      <c r="F50" s="472"/>
      <c r="G50" s="445" t="s">
        <v>29</v>
      </c>
      <c r="H50" s="471" t="s">
        <v>18</v>
      </c>
      <c r="I50" s="472"/>
      <c r="J50" s="30"/>
    </row>
    <row r="51" spans="1:14" s="28" customFormat="1" ht="15.75">
      <c r="A51" s="476" t="s">
        <v>39</v>
      </c>
      <c r="B51" s="477"/>
      <c r="C51" s="478"/>
      <c r="D51" s="27"/>
      <c r="E51" s="513" t="str">
        <f>E15</f>
        <v>UK</v>
      </c>
      <c r="F51" s="478"/>
      <c r="G51" s="79">
        <f ca="1">G15</f>
        <v>43839</v>
      </c>
      <c r="H51" s="479" t="str">
        <f>H15</f>
        <v>20200109-607</v>
      </c>
      <c r="I51" s="480"/>
      <c r="J51" s="30"/>
    </row>
    <row r="52" spans="1:14" s="26" customFormat="1" ht="23.25" customHeight="1">
      <c r="A52" s="66" t="s">
        <v>24</v>
      </c>
      <c r="B52" s="481" t="s">
        <v>25</v>
      </c>
      <c r="C52" s="482"/>
      <c r="D52" s="483"/>
      <c r="E52" s="55" t="s">
        <v>28</v>
      </c>
      <c r="F52" s="514" t="s">
        <v>109</v>
      </c>
      <c r="G52" s="514"/>
      <c r="H52" s="514"/>
      <c r="I52" s="514"/>
      <c r="N52" s="47"/>
    </row>
    <row r="53" spans="1:14" s="44" customFormat="1" ht="30.75" customHeight="1">
      <c r="A53" s="176">
        <f>'Commercial Invoice3'!A52</f>
        <v>0</v>
      </c>
      <c r="B53" s="474" t="str">
        <f>'Commercial Invoice3'!B52</f>
        <v/>
      </c>
      <c r="C53" s="474"/>
      <c r="D53" s="474"/>
      <c r="E53" s="443" t="str">
        <f>'Commercial Invoice3'!E52</f>
        <v/>
      </c>
      <c r="F53" s="514"/>
      <c r="G53" s="514"/>
      <c r="H53" s="514"/>
      <c r="I53" s="514"/>
    </row>
    <row r="54" spans="1:14" s="44" customFormat="1" ht="30.75" customHeight="1">
      <c r="A54" s="176">
        <f>'Commercial Invoice3'!A53</f>
        <v>0</v>
      </c>
      <c r="B54" s="474" t="str">
        <f>'Commercial Invoice3'!B53</f>
        <v/>
      </c>
      <c r="C54" s="474"/>
      <c r="D54" s="474"/>
      <c r="E54" s="443" t="str">
        <f>'Commercial Invoice3'!E53</f>
        <v/>
      </c>
      <c r="F54" s="514"/>
      <c r="G54" s="514"/>
      <c r="H54" s="514"/>
      <c r="I54" s="514"/>
    </row>
    <row r="55" spans="1:14" s="44" customFormat="1" ht="30.75" customHeight="1">
      <c r="A55" s="176">
        <f>'Commercial Invoice3'!A54</f>
        <v>0</v>
      </c>
      <c r="B55" s="474" t="str">
        <f>'Commercial Invoice3'!B54</f>
        <v/>
      </c>
      <c r="C55" s="474"/>
      <c r="D55" s="474"/>
      <c r="E55" s="443" t="str">
        <f>'Commercial Invoice3'!E54</f>
        <v/>
      </c>
      <c r="F55" s="514"/>
      <c r="G55" s="514"/>
      <c r="H55" s="514"/>
      <c r="I55" s="514"/>
    </row>
    <row r="56" spans="1:14" s="44" customFormat="1" ht="30.75" customHeight="1">
      <c r="A56" s="176">
        <f>'Commercial Invoice3'!A55</f>
        <v>0</v>
      </c>
      <c r="B56" s="474" t="str">
        <f>'Commercial Invoice3'!B55</f>
        <v/>
      </c>
      <c r="C56" s="474"/>
      <c r="D56" s="474"/>
      <c r="E56" s="443" t="str">
        <f>'Commercial Invoice3'!E55</f>
        <v/>
      </c>
      <c r="F56" s="514"/>
      <c r="G56" s="514"/>
      <c r="H56" s="514"/>
      <c r="I56" s="514"/>
    </row>
    <row r="57" spans="1:14" s="44" customFormat="1" ht="30.75" customHeight="1">
      <c r="A57" s="176">
        <f>'Commercial Invoice3'!A56</f>
        <v>0</v>
      </c>
      <c r="B57" s="474" t="str">
        <f>'Commercial Invoice3'!B56</f>
        <v/>
      </c>
      <c r="C57" s="474"/>
      <c r="D57" s="474"/>
      <c r="E57" s="443" t="str">
        <f>'Commercial Invoice3'!E56</f>
        <v/>
      </c>
      <c r="F57" s="514"/>
      <c r="G57" s="514"/>
      <c r="H57" s="514"/>
      <c r="I57" s="514"/>
    </row>
    <row r="58" spans="1:14" s="44" customFormat="1" ht="30.75" customHeight="1">
      <c r="A58" s="176">
        <f>'Commercial Invoice3'!A57</f>
        <v>0</v>
      </c>
      <c r="B58" s="474" t="str">
        <f>'Commercial Invoice3'!B57</f>
        <v/>
      </c>
      <c r="C58" s="474"/>
      <c r="D58" s="474"/>
      <c r="E58" s="443" t="str">
        <f>'Commercial Invoice3'!E57</f>
        <v/>
      </c>
      <c r="F58" s="514"/>
      <c r="G58" s="514"/>
      <c r="H58" s="514"/>
      <c r="I58" s="514"/>
    </row>
    <row r="59" spans="1:14" s="44" customFormat="1" ht="38.25" customHeight="1">
      <c r="A59" s="176">
        <f>'Commercial Invoice3'!A58</f>
        <v>0</v>
      </c>
      <c r="B59" s="474" t="str">
        <f>'Commercial Invoice3'!B58</f>
        <v/>
      </c>
      <c r="C59" s="474"/>
      <c r="D59" s="474"/>
      <c r="E59" s="443" t="str">
        <f>'Commercial Invoice3'!E58</f>
        <v/>
      </c>
      <c r="F59" s="514"/>
      <c r="G59" s="514"/>
      <c r="H59" s="514"/>
      <c r="I59" s="514"/>
    </row>
    <row r="60" spans="1:14" s="44" customFormat="1" ht="30.75" customHeight="1">
      <c r="A60" s="176">
        <f>'Commercial Invoice3'!A59</f>
        <v>0</v>
      </c>
      <c r="B60" s="474" t="str">
        <f>'Commercial Invoice3'!B59</f>
        <v/>
      </c>
      <c r="C60" s="474"/>
      <c r="D60" s="474"/>
      <c r="E60" s="443" t="str">
        <f>'Commercial Invoice3'!E59</f>
        <v/>
      </c>
      <c r="F60" s="514"/>
      <c r="G60" s="514"/>
      <c r="H60" s="514"/>
      <c r="I60" s="514"/>
    </row>
    <row r="61" spans="1:14" s="44" customFormat="1" ht="30.75" customHeight="1">
      <c r="A61" s="176">
        <f>'Commercial Invoice3'!A60</f>
        <v>0</v>
      </c>
      <c r="B61" s="474" t="str">
        <f>'Commercial Invoice3'!B60</f>
        <v/>
      </c>
      <c r="C61" s="474"/>
      <c r="D61" s="474"/>
      <c r="E61" s="443" t="str">
        <f>'Commercial Invoice3'!E60</f>
        <v/>
      </c>
      <c r="F61" s="514"/>
      <c r="G61" s="514"/>
      <c r="H61" s="514"/>
      <c r="I61" s="514"/>
    </row>
    <row r="62" spans="1:14" s="44" customFormat="1" ht="30.75" customHeight="1">
      <c r="A62" s="176">
        <f>'Commercial Invoice3'!A61</f>
        <v>0</v>
      </c>
      <c r="B62" s="474" t="str">
        <f>'Commercial Invoice3'!B61</f>
        <v/>
      </c>
      <c r="C62" s="474"/>
      <c r="D62" s="474"/>
      <c r="E62" s="443" t="str">
        <f>'Commercial Invoice3'!E61</f>
        <v/>
      </c>
      <c r="F62" s="514"/>
      <c r="G62" s="514"/>
      <c r="H62" s="514"/>
      <c r="I62" s="514"/>
    </row>
    <row r="63" spans="1:14" s="44" customFormat="1" ht="30.75" customHeight="1">
      <c r="A63" s="176">
        <f>'Commercial Invoice3'!A62</f>
        <v>0</v>
      </c>
      <c r="B63" s="474" t="str">
        <f>'Commercial Invoice3'!B62</f>
        <v/>
      </c>
      <c r="C63" s="474"/>
      <c r="D63" s="474"/>
      <c r="E63" s="443" t="str">
        <f>'Commercial Invoice3'!E62</f>
        <v/>
      </c>
      <c r="F63" s="514"/>
      <c r="G63" s="514"/>
      <c r="H63" s="514"/>
      <c r="I63" s="514"/>
    </row>
    <row r="64" spans="1:14" s="44" customFormat="1" ht="27.75" customHeight="1">
      <c r="A64" s="176">
        <f>'Commercial Invoice3'!A63</f>
        <v>0</v>
      </c>
      <c r="B64" s="474" t="str">
        <f>'Commercial Invoice3'!B63</f>
        <v/>
      </c>
      <c r="C64" s="474"/>
      <c r="D64" s="474"/>
      <c r="E64" s="443" t="str">
        <f>'Commercial Invoice3'!E63</f>
        <v/>
      </c>
      <c r="F64" s="514"/>
      <c r="G64" s="514"/>
      <c r="H64" s="514"/>
      <c r="I64" s="514"/>
    </row>
    <row r="65" spans="1:10" s="44" customFormat="1" ht="18.75" customHeight="1">
      <c r="A65" s="178"/>
      <c r="B65" s="515" t="str">
        <f>IF(COUNTIF(辅助!N:N,"&gt;0")&lt;=24,"Total Net Weight（g）:   "&amp;SUM(辅助!N:N)," ")</f>
        <v>Total Net Weight（g）:   3266</v>
      </c>
      <c r="C65" s="515"/>
      <c r="D65" s="515"/>
      <c r="E65" s="179"/>
      <c r="F65" s="516" t="s">
        <v>371</v>
      </c>
      <c r="G65" s="516"/>
      <c r="H65" s="516"/>
      <c r="I65" s="516"/>
    </row>
    <row r="66" spans="1:10" s="44" customFormat="1" ht="17.25" customHeight="1" thickBot="1">
      <c r="A66" s="178"/>
      <c r="B66" s="517" t="str">
        <f>IF(COUNTIF(辅助!N:N,"&gt;0")&lt;=24,"Gross Weight(kg):   "&amp;发货清单!Y2," ")</f>
        <v>Gross Weight(kg):   10</v>
      </c>
      <c r="C66" s="517"/>
      <c r="D66" s="517"/>
      <c r="E66" s="179"/>
      <c r="F66" s="518"/>
      <c r="G66" s="518"/>
      <c r="H66" s="518"/>
      <c r="I66" s="518"/>
    </row>
    <row r="67" spans="1:10" ht="15.75">
      <c r="A67" s="169" t="s">
        <v>31</v>
      </c>
      <c r="B67" s="170"/>
      <c r="C67" s="170"/>
      <c r="D67" s="171"/>
      <c r="E67" s="41"/>
      <c r="F67" s="484"/>
      <c r="G67" s="484"/>
      <c r="H67" s="484"/>
      <c r="I67" s="485"/>
    </row>
    <row r="68" spans="1:10" ht="15" customHeight="1">
      <c r="A68" s="486" t="str">
        <f>IF(LEFT(发货清单!R2,8)="WB000178","I certify that all chemicals in this shipment are subject to TSCA.","I certify that all chemicals in this shipment are not subject to TSCA.")</f>
        <v>I certify that all chemicals in this shipment are not subject to TSCA.</v>
      </c>
      <c r="B68" s="487"/>
      <c r="C68" s="488"/>
      <c r="D68" s="39"/>
      <c r="E68" s="492" t="s">
        <v>73</v>
      </c>
      <c r="F68" s="493"/>
      <c r="G68" s="493"/>
      <c r="H68" s="493"/>
      <c r="I68" s="494"/>
    </row>
    <row r="69" spans="1:10" ht="15.75" thickBot="1">
      <c r="A69" s="489"/>
      <c r="B69" s="490"/>
      <c r="C69" s="491"/>
      <c r="D69" s="39"/>
      <c r="E69" s="495"/>
      <c r="F69" s="496"/>
      <c r="G69" s="496"/>
      <c r="H69" s="496"/>
      <c r="I69" s="497"/>
    </row>
    <row r="70" spans="1:10" ht="16.5" customHeight="1" thickBot="1">
      <c r="A70" s="498" t="s">
        <v>526</v>
      </c>
      <c r="B70" s="499"/>
      <c r="C70" s="500"/>
      <c r="D70" s="39"/>
      <c r="E70" s="42" t="s">
        <v>71</v>
      </c>
      <c r="F70" s="39"/>
      <c r="G70" s="507" t="str">
        <f>G34</f>
        <v>2786337676</v>
      </c>
      <c r="H70" s="508"/>
      <c r="I70" s="509"/>
    </row>
    <row r="71" spans="1:10" ht="32.25" customHeight="1" thickBot="1">
      <c r="A71" s="501"/>
      <c r="B71" s="502"/>
      <c r="C71" s="503"/>
      <c r="D71" s="39"/>
      <c r="E71" s="42" t="s">
        <v>34</v>
      </c>
      <c r="F71" s="39"/>
      <c r="G71" s="43"/>
      <c r="H71" s="43"/>
      <c r="I71" s="172"/>
    </row>
    <row r="72" spans="1:10" ht="15" thickBot="1">
      <c r="A72" s="504"/>
      <c r="B72" s="505"/>
      <c r="C72" s="506"/>
      <c r="D72" s="43"/>
      <c r="E72" s="43"/>
      <c r="F72" s="43"/>
      <c r="G72" s="43"/>
      <c r="H72" s="43"/>
      <c r="I72" s="172"/>
    </row>
    <row r="73" spans="1:10">
      <c r="A73" s="17"/>
      <c r="B73" s="17"/>
      <c r="C73" s="17"/>
      <c r="D73" s="17"/>
      <c r="E73" s="17" t="str">
        <f>"page 2/"&amp;IF(COUNTIF(辅助!K:K,"&gt;0")&lt;25,2,3)</f>
        <v>page 2/2</v>
      </c>
      <c r="F73" s="17"/>
      <c r="G73" s="17"/>
      <c r="H73" s="17"/>
      <c r="I73" s="17"/>
    </row>
    <row r="74" spans="1:10" ht="22.5">
      <c r="A74" s="470" t="s">
        <v>370</v>
      </c>
      <c r="B74" s="470"/>
      <c r="C74" s="470"/>
      <c r="D74" s="470"/>
      <c r="E74" s="470"/>
      <c r="F74" s="470"/>
      <c r="G74" s="470"/>
      <c r="H74" s="470"/>
      <c r="I74" s="470"/>
    </row>
    <row r="75" spans="1:10" ht="5.25" hidden="1" customHeight="1">
      <c r="A75" s="17"/>
      <c r="B75" s="17"/>
      <c r="C75" s="17"/>
      <c r="D75" s="17"/>
      <c r="E75" s="17"/>
      <c r="F75" s="17"/>
      <c r="G75" s="17"/>
      <c r="H75" s="34"/>
      <c r="I75" s="48"/>
    </row>
    <row r="76" spans="1:10" ht="5.25" hidden="1" customHeight="1">
      <c r="A76" s="17"/>
      <c r="B76" s="17"/>
      <c r="C76" s="17"/>
      <c r="D76" s="17"/>
      <c r="E76" s="17"/>
      <c r="F76" s="17"/>
      <c r="G76" s="17"/>
      <c r="H76" s="17"/>
      <c r="I76" s="17"/>
    </row>
    <row r="77" spans="1:10" ht="15.75">
      <c r="A77" s="35" t="s">
        <v>43</v>
      </c>
      <c r="B77" s="36"/>
      <c r="C77" s="36"/>
      <c r="D77" s="37"/>
      <c r="E77" s="61"/>
      <c r="F77" s="77" t="s">
        <v>42</v>
      </c>
      <c r="G77" s="71"/>
      <c r="H77" s="36"/>
      <c r="I77" s="37"/>
    </row>
    <row r="78" spans="1:10" ht="15.75">
      <c r="A78" s="103" t="s">
        <v>75</v>
      </c>
      <c r="B78" s="58"/>
      <c r="C78" s="58"/>
      <c r="D78" s="59"/>
      <c r="E78" s="58"/>
      <c r="F78" s="57" t="str">
        <f>F42</f>
        <v xml:space="preserve"> Fluorochem Limited</v>
      </c>
      <c r="G78" s="192"/>
      <c r="H78" s="15"/>
      <c r="I78" s="38"/>
    </row>
    <row r="79" spans="1:10" ht="15" customHeight="1">
      <c r="A79" s="104" t="s">
        <v>230</v>
      </c>
      <c r="B79" s="60"/>
      <c r="C79" s="60"/>
      <c r="D79" s="59"/>
      <c r="E79" s="61"/>
      <c r="F79" s="53" t="str">
        <f>F43</f>
        <v>Unit 14 Graphite Way</v>
      </c>
      <c r="G79" s="7"/>
      <c r="H79" s="39"/>
      <c r="I79" s="38"/>
      <c r="J79" s="16"/>
    </row>
    <row r="80" spans="1:10" ht="15" customHeight="1">
      <c r="A80" s="104" t="s">
        <v>231</v>
      </c>
      <c r="B80" s="60"/>
      <c r="C80" s="60"/>
      <c r="D80" s="59"/>
      <c r="E80" s="61"/>
      <c r="F80" s="53" t="str">
        <f t="shared" ref="F80:F82" si="1">F44</f>
        <v>Hadfield  Derbyshire</v>
      </c>
      <c r="G80" s="7"/>
      <c r="H80" s="39"/>
      <c r="I80" s="38"/>
      <c r="J80" s="16"/>
    </row>
    <row r="81" spans="1:14" ht="15" customHeight="1">
      <c r="A81" s="105" t="s">
        <v>232</v>
      </c>
      <c r="B81" s="60"/>
      <c r="C81" s="60"/>
      <c r="D81" s="59"/>
      <c r="E81" s="61"/>
      <c r="F81" s="53" t="str">
        <f t="shared" si="1"/>
        <v>SK13 1QH UK</v>
      </c>
      <c r="G81" s="193"/>
      <c r="H81" s="39"/>
      <c r="I81" s="38"/>
      <c r="J81" s="14"/>
    </row>
    <row r="82" spans="1:14" ht="15">
      <c r="A82" s="106" t="s">
        <v>233</v>
      </c>
      <c r="B82" s="62"/>
      <c r="C82" s="62"/>
      <c r="D82" s="63"/>
      <c r="E82" s="61"/>
      <c r="F82" s="53" t="str">
        <f t="shared" si="1"/>
        <v>TEL:4401457860111</v>
      </c>
      <c r="G82" s="6"/>
      <c r="H82" s="18"/>
      <c r="I82" s="40"/>
      <c r="J82" s="14"/>
    </row>
    <row r="83" spans="1:14" ht="6" customHeight="1">
      <c r="A83" s="17"/>
      <c r="B83" s="17"/>
      <c r="C83" s="17"/>
      <c r="D83" s="17"/>
      <c r="E83" s="17"/>
      <c r="F83" s="17"/>
      <c r="G83" s="17"/>
      <c r="H83" s="17"/>
      <c r="I83" s="17"/>
      <c r="J83" s="14"/>
    </row>
    <row r="84" spans="1:14" s="68" customFormat="1">
      <c r="A84" s="471" t="s">
        <v>17</v>
      </c>
      <c r="B84" s="472"/>
      <c r="C84" s="235" t="str">
        <f>C48</f>
        <v>Order  No.</v>
      </c>
      <c r="D84" s="67" t="s">
        <v>369</v>
      </c>
      <c r="E84" s="67" t="s">
        <v>21</v>
      </c>
      <c r="F84" s="263" t="s">
        <v>19</v>
      </c>
      <c r="G84" s="67" t="s">
        <v>20</v>
      </c>
      <c r="H84" s="471" t="s">
        <v>30</v>
      </c>
      <c r="I84" s="472"/>
    </row>
    <row r="85" spans="1:14" s="68" customFormat="1" ht="12.75">
      <c r="A85" s="471"/>
      <c r="B85" s="472"/>
      <c r="C85" s="67" t="str">
        <f>C49</f>
        <v>P100426</v>
      </c>
      <c r="D85" s="67"/>
      <c r="E85" s="67"/>
      <c r="F85" s="29" t="s">
        <v>38</v>
      </c>
      <c r="G85" s="67"/>
      <c r="H85" s="471" t="s">
        <v>386</v>
      </c>
      <c r="I85" s="472"/>
      <c r="J85" s="30"/>
    </row>
    <row r="86" spans="1:14" s="68" customFormat="1" ht="12.75">
      <c r="A86" s="471" t="s">
        <v>22</v>
      </c>
      <c r="B86" s="473"/>
      <c r="C86" s="472"/>
      <c r="D86" s="67" t="s">
        <v>70</v>
      </c>
      <c r="E86" s="471" t="s">
        <v>23</v>
      </c>
      <c r="F86" s="472"/>
      <c r="G86" s="445" t="s">
        <v>29</v>
      </c>
      <c r="H86" s="471" t="s">
        <v>18</v>
      </c>
      <c r="I86" s="472"/>
      <c r="J86" s="30"/>
    </row>
    <row r="87" spans="1:14" s="28" customFormat="1" ht="15.75">
      <c r="A87" s="476" t="s">
        <v>39</v>
      </c>
      <c r="B87" s="477"/>
      <c r="C87" s="478"/>
      <c r="D87" s="27"/>
      <c r="E87" s="513" t="str">
        <f>E15</f>
        <v>UK</v>
      </c>
      <c r="F87" s="478"/>
      <c r="G87" s="79">
        <f ca="1">G51</f>
        <v>43839</v>
      </c>
      <c r="H87" s="479" t="str">
        <f>H51</f>
        <v>20200109-607</v>
      </c>
      <c r="I87" s="480"/>
      <c r="J87" s="30"/>
    </row>
    <row r="88" spans="1:14" s="26" customFormat="1" ht="23.25" customHeight="1">
      <c r="A88" s="66" t="s">
        <v>24</v>
      </c>
      <c r="B88" s="481" t="s">
        <v>25</v>
      </c>
      <c r="C88" s="482"/>
      <c r="D88" s="483"/>
      <c r="E88" s="55" t="s">
        <v>28</v>
      </c>
      <c r="F88" s="514" t="s">
        <v>109</v>
      </c>
      <c r="G88" s="514"/>
      <c r="H88" s="514"/>
      <c r="I88" s="514"/>
      <c r="N88" s="47"/>
    </row>
    <row r="89" spans="1:14" s="44" customFormat="1" ht="30.75" customHeight="1">
      <c r="A89" s="176">
        <f>'Commercial Invoice3'!A87</f>
        <v>0</v>
      </c>
      <c r="B89" s="474" t="str">
        <f>'Commercial Invoice3'!B87</f>
        <v/>
      </c>
      <c r="C89" s="474"/>
      <c r="D89" s="474"/>
      <c r="E89" s="443" t="str">
        <f>'Commercial Invoice3'!E87</f>
        <v/>
      </c>
      <c r="F89" s="514"/>
      <c r="G89" s="514"/>
      <c r="H89" s="514"/>
      <c r="I89" s="514"/>
    </row>
    <row r="90" spans="1:14" s="44" customFormat="1" ht="30.75" customHeight="1">
      <c r="A90" s="176">
        <f>'Commercial Invoice3'!A88</f>
        <v>0</v>
      </c>
      <c r="B90" s="474" t="str">
        <f>'Commercial Invoice3'!B88</f>
        <v/>
      </c>
      <c r="C90" s="474"/>
      <c r="D90" s="474"/>
      <c r="E90" s="443" t="str">
        <f>'Commercial Invoice3'!E88</f>
        <v/>
      </c>
      <c r="F90" s="514"/>
      <c r="G90" s="514"/>
      <c r="H90" s="514"/>
      <c r="I90" s="514"/>
    </row>
    <row r="91" spans="1:14" s="44" customFormat="1" ht="30.75" customHeight="1">
      <c r="A91" s="176">
        <f>'Commercial Invoice3'!A89</f>
        <v>0</v>
      </c>
      <c r="B91" s="474" t="str">
        <f>'Commercial Invoice3'!B89</f>
        <v/>
      </c>
      <c r="C91" s="474"/>
      <c r="D91" s="474"/>
      <c r="E91" s="443" t="str">
        <f>'Commercial Invoice3'!E89</f>
        <v/>
      </c>
      <c r="F91" s="514"/>
      <c r="G91" s="514"/>
      <c r="H91" s="514"/>
      <c r="I91" s="514"/>
    </row>
    <row r="92" spans="1:14" s="44" customFormat="1" ht="30.75" customHeight="1">
      <c r="A92" s="176">
        <f>'Commercial Invoice3'!A90</f>
        <v>0</v>
      </c>
      <c r="B92" s="474" t="str">
        <f>'Commercial Invoice3'!B90</f>
        <v/>
      </c>
      <c r="C92" s="474"/>
      <c r="D92" s="474"/>
      <c r="E92" s="443" t="str">
        <f>'Commercial Invoice3'!E90</f>
        <v/>
      </c>
      <c r="F92" s="514"/>
      <c r="G92" s="514"/>
      <c r="H92" s="514"/>
      <c r="I92" s="514"/>
    </row>
    <row r="93" spans="1:14" s="44" customFormat="1" ht="30.75" customHeight="1">
      <c r="A93" s="176">
        <f>'Commercial Invoice3'!A91</f>
        <v>0</v>
      </c>
      <c r="B93" s="474" t="str">
        <f>'Commercial Invoice3'!B91</f>
        <v/>
      </c>
      <c r="C93" s="474"/>
      <c r="D93" s="474"/>
      <c r="E93" s="443" t="str">
        <f>'Commercial Invoice3'!E91</f>
        <v/>
      </c>
      <c r="F93" s="514"/>
      <c r="G93" s="514"/>
      <c r="H93" s="514"/>
      <c r="I93" s="514"/>
    </row>
    <row r="94" spans="1:14" s="44" customFormat="1" ht="30.75" customHeight="1">
      <c r="A94" s="176">
        <f>'Commercial Invoice3'!A92</f>
        <v>0</v>
      </c>
      <c r="B94" s="474" t="str">
        <f>'Commercial Invoice3'!B92</f>
        <v/>
      </c>
      <c r="C94" s="474"/>
      <c r="D94" s="474"/>
      <c r="E94" s="443" t="str">
        <f>'Commercial Invoice3'!E92</f>
        <v/>
      </c>
      <c r="F94" s="514"/>
      <c r="G94" s="514"/>
      <c r="H94" s="514"/>
      <c r="I94" s="514"/>
    </row>
    <row r="95" spans="1:14" s="44" customFormat="1" ht="30.75" customHeight="1">
      <c r="A95" s="176">
        <f>'Commercial Invoice3'!A93</f>
        <v>0</v>
      </c>
      <c r="B95" s="474" t="str">
        <f>'Commercial Invoice3'!B93</f>
        <v/>
      </c>
      <c r="C95" s="474"/>
      <c r="D95" s="474"/>
      <c r="E95" s="443" t="str">
        <f>'Commercial Invoice3'!E93</f>
        <v/>
      </c>
      <c r="F95" s="514"/>
      <c r="G95" s="514"/>
      <c r="H95" s="514"/>
      <c r="I95" s="514"/>
    </row>
    <row r="96" spans="1:14" s="44" customFormat="1" ht="30.75" customHeight="1">
      <c r="A96" s="176">
        <f>'Commercial Invoice3'!A94</f>
        <v>0</v>
      </c>
      <c r="B96" s="474" t="str">
        <f>'Commercial Invoice3'!B94</f>
        <v/>
      </c>
      <c r="C96" s="474"/>
      <c r="D96" s="474"/>
      <c r="E96" s="443" t="str">
        <f>'Commercial Invoice3'!E94</f>
        <v/>
      </c>
      <c r="F96" s="514"/>
      <c r="G96" s="514"/>
      <c r="H96" s="514"/>
      <c r="I96" s="514"/>
    </row>
    <row r="97" spans="1:9" s="44" customFormat="1" ht="30.75" customHeight="1">
      <c r="A97" s="176">
        <f>'Commercial Invoice3'!A95</f>
        <v>0</v>
      </c>
      <c r="B97" s="474" t="str">
        <f>'Commercial Invoice3'!B95</f>
        <v/>
      </c>
      <c r="C97" s="474"/>
      <c r="D97" s="474"/>
      <c r="E97" s="443" t="str">
        <f>'Commercial Invoice3'!E95</f>
        <v/>
      </c>
      <c r="F97" s="514"/>
      <c r="G97" s="514"/>
      <c r="H97" s="514"/>
      <c r="I97" s="514"/>
    </row>
    <row r="98" spans="1:9" s="44" customFormat="1" ht="30.75" customHeight="1">
      <c r="A98" s="176">
        <f>'Commercial Invoice3'!A96</f>
        <v>0</v>
      </c>
      <c r="B98" s="474" t="str">
        <f>'Commercial Invoice3'!B96</f>
        <v/>
      </c>
      <c r="C98" s="474"/>
      <c r="D98" s="474"/>
      <c r="E98" s="443" t="str">
        <f>'Commercial Invoice3'!E96</f>
        <v/>
      </c>
      <c r="F98" s="514"/>
      <c r="G98" s="514"/>
      <c r="H98" s="514"/>
      <c r="I98" s="514"/>
    </row>
    <row r="99" spans="1:9" s="44" customFormat="1" ht="30.75" customHeight="1">
      <c r="A99" s="176">
        <f>'Commercial Invoice3'!A97</f>
        <v>0</v>
      </c>
      <c r="B99" s="474" t="str">
        <f>'Commercial Invoice3'!B97</f>
        <v/>
      </c>
      <c r="C99" s="474"/>
      <c r="D99" s="474"/>
      <c r="E99" s="443" t="str">
        <f>'Commercial Invoice3'!E97</f>
        <v/>
      </c>
      <c r="F99" s="514"/>
      <c r="G99" s="514"/>
      <c r="H99" s="514"/>
      <c r="I99" s="514"/>
    </row>
    <row r="100" spans="1:9" s="44" customFormat="1" ht="30.75" customHeight="1">
      <c r="A100" s="176">
        <f>'Commercial Invoice3'!A98</f>
        <v>0</v>
      </c>
      <c r="B100" s="474" t="str">
        <f>'Commercial Invoice3'!B98</f>
        <v/>
      </c>
      <c r="C100" s="474"/>
      <c r="D100" s="474"/>
      <c r="E100" s="443" t="str">
        <f>'Commercial Invoice3'!E98</f>
        <v/>
      </c>
      <c r="F100" s="514"/>
      <c r="G100" s="514"/>
      <c r="H100" s="514"/>
      <c r="I100" s="514"/>
    </row>
    <row r="101" spans="1:9" s="44" customFormat="1" ht="18.75" customHeight="1">
      <c r="A101" s="178"/>
      <c r="B101" s="515" t="str">
        <f>IF(COUNTIF(辅助!N:N,"&gt;0")&lt;=36,"Total Net Weight（g）:   "&amp;SUM(辅助!N:N)," ")</f>
        <v>Total Net Weight（g）:   3266</v>
      </c>
      <c r="C101" s="515"/>
      <c r="D101" s="515"/>
      <c r="E101" s="179"/>
      <c r="F101" s="516" t="s">
        <v>371</v>
      </c>
      <c r="G101" s="516"/>
      <c r="H101" s="516"/>
      <c r="I101" s="516"/>
    </row>
    <row r="102" spans="1:9" s="44" customFormat="1" ht="17.25" customHeight="1" thickBot="1">
      <c r="A102" s="178"/>
      <c r="B102" s="517" t="str">
        <f>IF(COUNTIF(辅助!N:N,"&gt;0")&lt;=36,"Gross Weight(kg):   "&amp;发货清单!Y2," ")</f>
        <v>Gross Weight(kg):   10</v>
      </c>
      <c r="C102" s="517"/>
      <c r="D102" s="517"/>
      <c r="E102" s="179"/>
      <c r="F102" s="518"/>
      <c r="G102" s="518"/>
      <c r="H102" s="518"/>
      <c r="I102" s="518"/>
    </row>
    <row r="103" spans="1:9" ht="15.75">
      <c r="A103" s="169" t="s">
        <v>31</v>
      </c>
      <c r="B103" s="170"/>
      <c r="C103" s="170"/>
      <c r="D103" s="171"/>
      <c r="E103" s="41"/>
      <c r="F103" s="484"/>
      <c r="G103" s="484"/>
      <c r="H103" s="484"/>
      <c r="I103" s="485"/>
    </row>
    <row r="104" spans="1:9" ht="15" customHeight="1">
      <c r="A104" s="486" t="str">
        <f>IF(LEFT(发货清单!R2,8)="WB000178","I certify that all chemicals in this shipment are subject to TSCA.","I certify that all chemicals in this shipment are not subject to TSCA.")</f>
        <v>I certify that all chemicals in this shipment are not subject to TSCA.</v>
      </c>
      <c r="B104" s="487"/>
      <c r="C104" s="488"/>
      <c r="D104" s="39"/>
      <c r="E104" s="492" t="s">
        <v>73</v>
      </c>
      <c r="F104" s="493"/>
      <c r="G104" s="493"/>
      <c r="H104" s="493"/>
      <c r="I104" s="494"/>
    </row>
    <row r="105" spans="1:9" ht="12" customHeight="1" thickBot="1">
      <c r="A105" s="489"/>
      <c r="B105" s="490"/>
      <c r="C105" s="491"/>
      <c r="D105" s="39"/>
      <c r="E105" s="495"/>
      <c r="F105" s="496"/>
      <c r="G105" s="496"/>
      <c r="H105" s="496"/>
      <c r="I105" s="497"/>
    </row>
    <row r="106" spans="1:9" ht="16.5" customHeight="1" thickBot="1">
      <c r="A106" s="498" t="s">
        <v>526</v>
      </c>
      <c r="B106" s="499"/>
      <c r="C106" s="500"/>
      <c r="D106" s="39"/>
      <c r="E106" s="42" t="s">
        <v>71</v>
      </c>
      <c r="F106" s="39"/>
      <c r="G106" s="507" t="str">
        <f>G70</f>
        <v>2786337676</v>
      </c>
      <c r="H106" s="508"/>
      <c r="I106" s="509"/>
    </row>
    <row r="107" spans="1:9" ht="32.25" customHeight="1" thickBot="1">
      <c r="A107" s="501"/>
      <c r="B107" s="502"/>
      <c r="C107" s="503"/>
      <c r="D107" s="39"/>
      <c r="E107" s="42" t="s">
        <v>34</v>
      </c>
      <c r="F107" s="39"/>
      <c r="G107" s="43"/>
      <c r="H107" s="43"/>
      <c r="I107" s="172"/>
    </row>
    <row r="108" spans="1:9" ht="15" thickBot="1">
      <c r="A108" s="504"/>
      <c r="B108" s="505"/>
      <c r="C108" s="506"/>
      <c r="D108" s="43"/>
      <c r="E108" s="43"/>
      <c r="F108" s="43"/>
      <c r="G108" s="43"/>
      <c r="H108" s="43"/>
      <c r="I108" s="172"/>
    </row>
    <row r="109" spans="1:9">
      <c r="E109" t="s">
        <v>569</v>
      </c>
    </row>
  </sheetData>
  <mergeCells count="141">
    <mergeCell ref="A15:C15"/>
    <mergeCell ref="E15:F15"/>
    <mergeCell ref="H15:I15"/>
    <mergeCell ref="B16:D16"/>
    <mergeCell ref="F16:I16"/>
    <mergeCell ref="B17:D17"/>
    <mergeCell ref="F17:I17"/>
    <mergeCell ref="A2:I2"/>
    <mergeCell ref="A12:B12"/>
    <mergeCell ref="H12:I12"/>
    <mergeCell ref="A13:B13"/>
    <mergeCell ref="H13:I13"/>
    <mergeCell ref="A14:C14"/>
    <mergeCell ref="E14:F14"/>
    <mergeCell ref="H14:I14"/>
    <mergeCell ref="B21:D21"/>
    <mergeCell ref="F21:I21"/>
    <mergeCell ref="B22:D22"/>
    <mergeCell ref="F22:I22"/>
    <mergeCell ref="B23:D23"/>
    <mergeCell ref="F23:I23"/>
    <mergeCell ref="B18:D18"/>
    <mergeCell ref="F18:I18"/>
    <mergeCell ref="B19:D19"/>
    <mergeCell ref="F19:I19"/>
    <mergeCell ref="B20:D20"/>
    <mergeCell ref="F20:I20"/>
    <mergeCell ref="B27:D27"/>
    <mergeCell ref="F27:I27"/>
    <mergeCell ref="B28:D28"/>
    <mergeCell ref="F28:I28"/>
    <mergeCell ref="B29:D29"/>
    <mergeCell ref="F29:I29"/>
    <mergeCell ref="B24:D24"/>
    <mergeCell ref="F24:I24"/>
    <mergeCell ref="B25:D25"/>
    <mergeCell ref="F25:I25"/>
    <mergeCell ref="B26:D26"/>
    <mergeCell ref="F26:I26"/>
    <mergeCell ref="A34:C36"/>
    <mergeCell ref="G34:I34"/>
    <mergeCell ref="A38:I38"/>
    <mergeCell ref="A48:B48"/>
    <mergeCell ref="H48:I48"/>
    <mergeCell ref="A49:B49"/>
    <mergeCell ref="H49:I49"/>
    <mergeCell ref="B30:D30"/>
    <mergeCell ref="F30:I30"/>
    <mergeCell ref="F31:I31"/>
    <mergeCell ref="A32:C33"/>
    <mergeCell ref="E32:I32"/>
    <mergeCell ref="E33:I33"/>
    <mergeCell ref="B52:D52"/>
    <mergeCell ref="F52:I52"/>
    <mergeCell ref="B53:D53"/>
    <mergeCell ref="F53:I53"/>
    <mergeCell ref="B54:D54"/>
    <mergeCell ref="F54:I54"/>
    <mergeCell ref="A50:C50"/>
    <mergeCell ref="E50:F50"/>
    <mergeCell ref="H50:I50"/>
    <mergeCell ref="A51:C51"/>
    <mergeCell ref="E51:F51"/>
    <mergeCell ref="H51:I51"/>
    <mergeCell ref="B58:D58"/>
    <mergeCell ref="F58:I58"/>
    <mergeCell ref="B59:D59"/>
    <mergeCell ref="F59:I59"/>
    <mergeCell ref="B60:D60"/>
    <mergeCell ref="F60:I60"/>
    <mergeCell ref="B55:D55"/>
    <mergeCell ref="F55:I55"/>
    <mergeCell ref="B56:D56"/>
    <mergeCell ref="F56:I56"/>
    <mergeCell ref="B57:D57"/>
    <mergeCell ref="F57:I57"/>
    <mergeCell ref="B64:D64"/>
    <mergeCell ref="F64:I64"/>
    <mergeCell ref="B65:D65"/>
    <mergeCell ref="F65:I65"/>
    <mergeCell ref="B66:D66"/>
    <mergeCell ref="F66:I66"/>
    <mergeCell ref="B61:D61"/>
    <mergeCell ref="F61:I61"/>
    <mergeCell ref="B62:D62"/>
    <mergeCell ref="F62:I62"/>
    <mergeCell ref="B63:D63"/>
    <mergeCell ref="F63:I63"/>
    <mergeCell ref="A74:I74"/>
    <mergeCell ref="A84:B84"/>
    <mergeCell ref="H84:I84"/>
    <mergeCell ref="A85:B85"/>
    <mergeCell ref="H85:I85"/>
    <mergeCell ref="A86:C86"/>
    <mergeCell ref="E86:F86"/>
    <mergeCell ref="H86:I86"/>
    <mergeCell ref="F67:I67"/>
    <mergeCell ref="A68:C69"/>
    <mergeCell ref="E68:I68"/>
    <mergeCell ref="E69:I69"/>
    <mergeCell ref="A70:C72"/>
    <mergeCell ref="G70:I70"/>
    <mergeCell ref="B90:D90"/>
    <mergeCell ref="F90:I90"/>
    <mergeCell ref="B91:D91"/>
    <mergeCell ref="F91:I91"/>
    <mergeCell ref="B92:D92"/>
    <mergeCell ref="F92:I92"/>
    <mergeCell ref="A87:C87"/>
    <mergeCell ref="E87:F87"/>
    <mergeCell ref="H87:I87"/>
    <mergeCell ref="B88:D88"/>
    <mergeCell ref="F88:I88"/>
    <mergeCell ref="B89:D89"/>
    <mergeCell ref="F89:I89"/>
    <mergeCell ref="B96:D96"/>
    <mergeCell ref="F96:I96"/>
    <mergeCell ref="B97:D97"/>
    <mergeCell ref="F97:I97"/>
    <mergeCell ref="B98:D98"/>
    <mergeCell ref="F98:I98"/>
    <mergeCell ref="B93:D93"/>
    <mergeCell ref="F93:I93"/>
    <mergeCell ref="B94:D94"/>
    <mergeCell ref="F94:I94"/>
    <mergeCell ref="B95:D95"/>
    <mergeCell ref="F95:I95"/>
    <mergeCell ref="A106:C108"/>
    <mergeCell ref="G106:I106"/>
    <mergeCell ref="B102:D102"/>
    <mergeCell ref="F102:I102"/>
    <mergeCell ref="F103:I103"/>
    <mergeCell ref="A104:C105"/>
    <mergeCell ref="E104:I104"/>
    <mergeCell ref="E105:I105"/>
    <mergeCell ref="B99:D99"/>
    <mergeCell ref="F99:I99"/>
    <mergeCell ref="B100:D100"/>
    <mergeCell ref="F100:I100"/>
    <mergeCell ref="B101:D101"/>
    <mergeCell ref="F101:I101"/>
  </mergeCells>
  <phoneticPr fontId="1" type="noConversion"/>
  <conditionalFormatting sqref="A17:B28 E17:E28">
    <cfRule type="cellIs" dxfId="113" priority="5" operator="equal">
      <formula>0</formula>
    </cfRule>
  </conditionalFormatting>
  <conditionalFormatting sqref="A53:B64 E53:E64">
    <cfRule type="cellIs" dxfId="112" priority="4" operator="equal">
      <formula>0</formula>
    </cfRule>
  </conditionalFormatting>
  <conditionalFormatting sqref="A89:B100 E89:E100">
    <cfRule type="cellIs" dxfId="111" priority="3" operator="equal">
      <formula>0</formula>
    </cfRule>
  </conditionalFormatting>
  <conditionalFormatting sqref="A38:XFD73">
    <cfRule type="expression" dxfId="110" priority="2">
      <formula>$A$53=0</formula>
    </cfRule>
  </conditionalFormatting>
  <conditionalFormatting sqref="A74:XFD109">
    <cfRule type="expression" dxfId="109" priority="1">
      <formula>$A$89=0</formula>
    </cfRule>
  </conditionalFormatting>
  <dataValidations count="2">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3 E69 E105"/>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2 A68 A104"/>
  </dataValidations>
  <hyperlinks>
    <hyperlink ref="A10" r:id="rId1"/>
    <hyperlink ref="A46" r:id="rId2"/>
    <hyperlink ref="A82" r:id="rId3"/>
  </hyperlinks>
  <pageMargins left="0.19685039370078741" right="0" top="0.51181102362204722" bottom="0.74803149606299213" header="0.31496062992125984" footer="0.31496062992125984"/>
  <pageSetup paperSize="9" scale="99" orientation="portrait" horizontalDpi="4294967295" verticalDpi="4294967295" r:id="rId4"/>
  <rowBreaks count="1" manualBreakCount="1">
    <brk id="37" max="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N109"/>
  <sheetViews>
    <sheetView topLeftCell="A57" zoomScaleNormal="100" workbookViewId="0">
      <selection activeCell="H84" sqref="H84:I84"/>
    </sheetView>
  </sheetViews>
  <sheetFormatPr defaultRowHeight="14.25"/>
  <cols>
    <col min="1" max="1" width="5.25" customWidth="1"/>
    <col min="2" max="2" width="6.5" customWidth="1"/>
    <col min="3" max="3" width="26.125" customWidth="1"/>
    <col min="4" max="4" width="9.75" customWidth="1"/>
    <col min="5" max="5" width="9.375" customWidth="1"/>
    <col min="6" max="6" width="5.625" customWidth="1"/>
    <col min="7" max="7" width="8" customWidth="1"/>
    <col min="8" max="8" width="10.875" customWidth="1"/>
    <col min="9" max="9" width="13" customWidth="1"/>
  </cols>
  <sheetData>
    <row r="1" spans="1:14" ht="8.25" customHeight="1">
      <c r="A1" s="17"/>
      <c r="B1" s="17"/>
      <c r="C1" s="17"/>
      <c r="D1" s="17"/>
      <c r="E1" s="17"/>
      <c r="F1" s="17"/>
      <c r="G1" s="17"/>
      <c r="H1" s="17"/>
      <c r="I1" s="17"/>
    </row>
    <row r="2" spans="1:14" ht="22.5">
      <c r="A2" s="470" t="s">
        <v>1207</v>
      </c>
      <c r="B2" s="470"/>
      <c r="C2" s="470"/>
      <c r="D2" s="470"/>
      <c r="E2" s="470"/>
      <c r="F2" s="470"/>
      <c r="G2" s="470"/>
      <c r="H2" s="470"/>
      <c r="I2" s="470"/>
    </row>
    <row r="3" spans="1:14" ht="5.25" hidden="1" customHeight="1">
      <c r="A3" s="17"/>
      <c r="B3" s="17"/>
      <c r="C3" s="17"/>
      <c r="D3" s="17"/>
      <c r="E3" s="17"/>
      <c r="F3" s="17"/>
      <c r="G3" s="17"/>
      <c r="H3" s="34"/>
      <c r="I3" s="48"/>
    </row>
    <row r="4" spans="1:14" ht="5.25" hidden="1" customHeight="1">
      <c r="A4" s="17"/>
      <c r="B4" s="17"/>
      <c r="C4" s="17"/>
      <c r="D4" s="17"/>
      <c r="E4" s="17"/>
      <c r="F4" s="17"/>
      <c r="G4" s="17"/>
      <c r="H4" s="17"/>
      <c r="I4" s="17"/>
    </row>
    <row r="5" spans="1:14" ht="15.75">
      <c r="A5" s="35" t="s">
        <v>43</v>
      </c>
      <c r="B5" s="36"/>
      <c r="C5" s="36"/>
      <c r="D5" s="37"/>
      <c r="E5" s="61"/>
      <c r="F5" s="77" t="s">
        <v>42</v>
      </c>
      <c r="G5" s="71"/>
      <c r="H5" s="36"/>
      <c r="I5" s="37"/>
    </row>
    <row r="6" spans="1:14" ht="15.75">
      <c r="A6" s="103" t="s">
        <v>229</v>
      </c>
      <c r="B6" s="58"/>
      <c r="C6" s="58"/>
      <c r="D6" s="59"/>
      <c r="E6" s="58"/>
      <c r="F6" s="57" t="str">
        <f>'Commercial Invoice3'!F6</f>
        <v xml:space="preserve"> Fluorochem Limited</v>
      </c>
      <c r="G6" s="192"/>
      <c r="H6" s="15"/>
      <c r="I6" s="38"/>
    </row>
    <row r="7" spans="1:14" ht="15" customHeight="1">
      <c r="A7" s="104" t="s">
        <v>230</v>
      </c>
      <c r="B7" s="60"/>
      <c r="C7" s="60"/>
      <c r="D7" s="59"/>
      <c r="E7" s="61"/>
      <c r="F7" s="53" t="str">
        <f>'Commercial Invoice3'!F7</f>
        <v>Unit 14 Graphite Way</v>
      </c>
      <c r="G7" s="7"/>
      <c r="H7" s="39"/>
      <c r="I7" s="38"/>
      <c r="J7" s="16"/>
    </row>
    <row r="8" spans="1:14" ht="15" customHeight="1">
      <c r="A8" s="104" t="s">
        <v>231</v>
      </c>
      <c r="B8" s="60"/>
      <c r="C8" s="60"/>
      <c r="D8" s="59"/>
      <c r="E8" s="61"/>
      <c r="F8" s="53" t="str">
        <f>'Commercial Invoice3'!F8</f>
        <v>Hadfield  Derbyshire</v>
      </c>
      <c r="G8" s="7"/>
      <c r="H8" s="39"/>
      <c r="I8" s="38"/>
      <c r="J8" s="16"/>
    </row>
    <row r="9" spans="1:14" ht="15" customHeight="1">
      <c r="A9" s="105" t="s">
        <v>232</v>
      </c>
      <c r="B9" s="60"/>
      <c r="C9" s="60"/>
      <c r="D9" s="59"/>
      <c r="E9" s="61"/>
      <c r="F9" s="53" t="str">
        <f>'Commercial Invoice3'!F9</f>
        <v>SK13 1QH UK</v>
      </c>
      <c r="G9" s="193"/>
      <c r="H9" s="39"/>
      <c r="I9" s="38"/>
      <c r="J9" s="14"/>
    </row>
    <row r="10" spans="1:14" ht="15">
      <c r="A10" s="106" t="s">
        <v>233</v>
      </c>
      <c r="B10" s="62"/>
      <c r="C10" s="62"/>
      <c r="D10" s="63"/>
      <c r="E10" s="61"/>
      <c r="F10" s="53" t="str">
        <f>'Commercial Invoice3'!F10</f>
        <v>TEL:4401457860111</v>
      </c>
      <c r="G10" s="6"/>
      <c r="H10" s="18"/>
      <c r="I10" s="40"/>
      <c r="J10" s="14"/>
    </row>
    <row r="11" spans="1:14" ht="6" customHeight="1">
      <c r="A11" s="17"/>
      <c r="B11" s="17"/>
      <c r="C11" s="17"/>
      <c r="D11" s="17"/>
      <c r="E11" s="17"/>
      <c r="F11" s="17"/>
      <c r="G11" s="17"/>
      <c r="H11" s="17"/>
      <c r="I11" s="17"/>
      <c r="J11" s="14"/>
    </row>
    <row r="12" spans="1:14" s="68" customFormat="1">
      <c r="A12" s="471" t="s">
        <v>17</v>
      </c>
      <c r="B12" s="472"/>
      <c r="C12" s="235" t="str">
        <f>'Commercial Invoice3'!C12</f>
        <v>Order  No.</v>
      </c>
      <c r="D12" s="67" t="s">
        <v>369</v>
      </c>
      <c r="E12" s="67" t="s">
        <v>21</v>
      </c>
      <c r="F12" s="263" t="s">
        <v>19</v>
      </c>
      <c r="G12" s="67" t="s">
        <v>20</v>
      </c>
      <c r="H12" s="471" t="s">
        <v>30</v>
      </c>
      <c r="I12" s="472"/>
    </row>
    <row r="13" spans="1:14" s="68" customFormat="1" ht="12.75">
      <c r="A13" s="471"/>
      <c r="B13" s="472"/>
      <c r="C13" s="67" t="str">
        <f>'Commercial Invoice3'!C13</f>
        <v>P100426</v>
      </c>
      <c r="D13" s="67"/>
      <c r="E13" s="67"/>
      <c r="F13" s="29" t="s">
        <v>38</v>
      </c>
      <c r="G13" s="67"/>
      <c r="H13" s="471" t="s">
        <v>386</v>
      </c>
      <c r="I13" s="472"/>
      <c r="J13" s="30"/>
    </row>
    <row r="14" spans="1:14" s="68" customFormat="1" ht="12.75">
      <c r="A14" s="471" t="s">
        <v>22</v>
      </c>
      <c r="B14" s="473"/>
      <c r="C14" s="472"/>
      <c r="D14" s="67" t="s">
        <v>70</v>
      </c>
      <c r="E14" s="471" t="s">
        <v>23</v>
      </c>
      <c r="F14" s="472"/>
      <c r="G14" s="445" t="s">
        <v>29</v>
      </c>
      <c r="H14" s="471" t="s">
        <v>18</v>
      </c>
      <c r="I14" s="472"/>
      <c r="J14" s="30"/>
    </row>
    <row r="15" spans="1:14" s="28" customFormat="1" ht="15.75">
      <c r="A15" s="476" t="s">
        <v>39</v>
      </c>
      <c r="B15" s="477"/>
      <c r="C15" s="478"/>
      <c r="D15" s="27"/>
      <c r="E15" s="513" t="str">
        <f>'Commercial Invoice3'!E15</f>
        <v>UK</v>
      </c>
      <c r="F15" s="478"/>
      <c r="G15" s="79">
        <f ca="1">'Commercial Invoice3'!G15</f>
        <v>43839</v>
      </c>
      <c r="H15" s="479" t="str">
        <f>'Commercial Invoice3'!H15</f>
        <v>20200109-607</v>
      </c>
      <c r="I15" s="480"/>
      <c r="J15" s="30"/>
    </row>
    <row r="16" spans="1:14" s="26" customFormat="1" ht="23.25" customHeight="1">
      <c r="A16" s="66" t="s">
        <v>24</v>
      </c>
      <c r="B16" s="481" t="s">
        <v>25</v>
      </c>
      <c r="C16" s="482"/>
      <c r="D16" s="483"/>
      <c r="E16" s="55" t="s">
        <v>28</v>
      </c>
      <c r="F16" s="514" t="s">
        <v>109</v>
      </c>
      <c r="G16" s="514"/>
      <c r="H16" s="514"/>
      <c r="I16" s="514"/>
      <c r="N16" s="47"/>
    </row>
    <row r="17" spans="1:9" s="44" customFormat="1" ht="30.75" customHeight="1">
      <c r="A17" s="176">
        <f>'Commercial Invoice3'!A17</f>
        <v>600</v>
      </c>
      <c r="B17" s="474" t="str">
        <f>'Commercial Invoice3'!B17</f>
        <v>Carboxylic acid compound category (AB-04)1
White powder</v>
      </c>
      <c r="C17" s="474"/>
      <c r="D17" s="474"/>
      <c r="E17" s="443" t="str">
        <f>'Commercial Invoice3'!E17</f>
        <v>Glass/Plastic bottle</v>
      </c>
      <c r="F17" s="514"/>
      <c r="G17" s="514"/>
      <c r="H17" s="514"/>
      <c r="I17" s="514"/>
    </row>
    <row r="18" spans="1:9" s="44" customFormat="1" ht="30.75" customHeight="1">
      <c r="A18" s="176">
        <f>'Commercial Invoice3'!A18</f>
        <v>10</v>
      </c>
      <c r="B18" s="474" t="str">
        <f>'Commercial Invoice3'!B18</f>
        <v>Carboxylic acid compound category (AB-04)6
White Solid</v>
      </c>
      <c r="C18" s="474"/>
      <c r="D18" s="474"/>
      <c r="E18" s="443" t="str">
        <f>'Commercial Invoice3'!E18</f>
        <v>Glass/Plastic bottle</v>
      </c>
      <c r="F18" s="514"/>
      <c r="G18" s="514"/>
      <c r="H18" s="514"/>
      <c r="I18" s="514"/>
    </row>
    <row r="19" spans="1:9" s="44" customFormat="1" ht="30.75" customHeight="1">
      <c r="A19" s="176">
        <f>'Commercial Invoice3'!A19</f>
        <v>1000</v>
      </c>
      <c r="B19" s="474" t="str">
        <f>'Commercial Invoice3'!B19</f>
        <v>Sulfonamide compound category(AB-08)1
White Solid</v>
      </c>
      <c r="C19" s="474"/>
      <c r="D19" s="474"/>
      <c r="E19" s="443" t="str">
        <f>'Commercial Invoice3'!E19</f>
        <v>Glass/Plastic bottle</v>
      </c>
      <c r="F19" s="514"/>
      <c r="G19" s="514"/>
      <c r="H19" s="514"/>
      <c r="I19" s="514"/>
    </row>
    <row r="20" spans="1:9" s="44" customFormat="1" ht="30.75" customHeight="1">
      <c r="A20" s="176">
        <f>'Commercial Invoice3'!A20</f>
        <v>205</v>
      </c>
      <c r="B20" s="474" t="str">
        <f>'Commercial Invoice3'!B20</f>
        <v>Heterocyclic with single or more oxygen atoms compound category （AB-15）4
White crystal</v>
      </c>
      <c r="C20" s="474"/>
      <c r="D20" s="474"/>
      <c r="E20" s="443" t="str">
        <f>'Commercial Invoice3'!E20</f>
        <v>Glass/Plastic bottle</v>
      </c>
      <c r="F20" s="514"/>
      <c r="G20" s="514"/>
      <c r="H20" s="514"/>
      <c r="I20" s="514"/>
    </row>
    <row r="21" spans="1:9" s="44" customFormat="1" ht="30.75" customHeight="1">
      <c r="A21" s="176">
        <f>'Commercial Invoice3'!A21</f>
        <v>500</v>
      </c>
      <c r="B21" s="474" t="str">
        <f>'Commercial Invoice3'!B21</f>
        <v>Acyclic hydrocarbon compound category （AB-02）11
Colorless Transparent Liquid</v>
      </c>
      <c r="C21" s="474"/>
      <c r="D21" s="474"/>
      <c r="E21" s="443" t="str">
        <f>'Commercial Invoice3'!E21</f>
        <v>Glass/Plastic bottle</v>
      </c>
      <c r="F21" s="514"/>
      <c r="G21" s="514"/>
      <c r="H21" s="514"/>
      <c r="I21" s="514"/>
    </row>
    <row r="22" spans="1:9" s="44" customFormat="1" ht="30.75" customHeight="1">
      <c r="A22" s="176">
        <f>'Commercial Invoice3'!A22</f>
        <v>26</v>
      </c>
      <c r="B22" s="474" t="str">
        <f>'Commercial Invoice3'!B22</f>
        <v>Acyclic hydrocarbon compound category （AB-02）13
brown liquid</v>
      </c>
      <c r="C22" s="474"/>
      <c r="D22" s="474"/>
      <c r="E22" s="443" t="str">
        <f>'Commercial Invoice3'!E22</f>
        <v>Glass/Plastic bottle</v>
      </c>
      <c r="F22" s="514"/>
      <c r="G22" s="514"/>
      <c r="H22" s="514"/>
      <c r="I22" s="514"/>
    </row>
    <row r="23" spans="1:9" s="44" customFormat="1" ht="30.75" customHeight="1">
      <c r="A23" s="176">
        <f>'Commercial Invoice3'!A23</f>
        <v>25</v>
      </c>
      <c r="B23" s="474" t="str">
        <f>'Commercial Invoice3'!B23</f>
        <v>Heterocyclic with nitrogen compound category (AB-06)46
Yellow powder</v>
      </c>
      <c r="C23" s="474"/>
      <c r="D23" s="474"/>
      <c r="E23" s="443" t="str">
        <f>'Commercial Invoice3'!E23</f>
        <v>Glass/Plastic bottle</v>
      </c>
      <c r="F23" s="514"/>
      <c r="G23" s="514"/>
      <c r="H23" s="514"/>
      <c r="I23" s="514"/>
    </row>
    <row r="24" spans="1:9" s="44" customFormat="1" ht="30.75" customHeight="1">
      <c r="A24" s="176">
        <f>'Commercial Invoice3'!A24</f>
        <v>50</v>
      </c>
      <c r="B24" s="474" t="str">
        <f>'Commercial Invoice3'!B24</f>
        <v>Heterocyclic with nitrogen compound category (AB-06)53
Brown solid</v>
      </c>
      <c r="C24" s="474"/>
      <c r="D24" s="474"/>
      <c r="E24" s="443" t="str">
        <f>'Commercial Invoice3'!E24</f>
        <v>Glass/Plastic bottle</v>
      </c>
      <c r="F24" s="514"/>
      <c r="G24" s="514"/>
      <c r="H24" s="514"/>
      <c r="I24" s="514"/>
    </row>
    <row r="25" spans="1:9" s="44" customFormat="1" ht="30.75" customHeight="1">
      <c r="A25" s="176">
        <f>'Commercial Invoice3'!A25</f>
        <v>700</v>
      </c>
      <c r="B25" s="474" t="str">
        <f>'Commercial Invoice3'!B25</f>
        <v>Aromatic ring products without heteroatoms category （AB-16）33
Light yellow-green granular crystals</v>
      </c>
      <c r="C25" s="474"/>
      <c r="D25" s="474"/>
      <c r="E25" s="443" t="str">
        <f>'Commercial Invoice3'!E25</f>
        <v>Glass/Plastic bottle</v>
      </c>
      <c r="F25" s="514"/>
      <c r="G25" s="514"/>
      <c r="H25" s="514"/>
      <c r="I25" s="514"/>
    </row>
    <row r="26" spans="1:9" s="44" customFormat="1" ht="30.75" customHeight="1">
      <c r="A26" s="176">
        <f>'Commercial Invoice3'!A26</f>
        <v>150</v>
      </c>
      <c r="B26" s="474" t="str">
        <f>'Commercial Invoice3'!B26</f>
        <v>Aromatic ring products without heteroatoms category （AB-16）36
White powder</v>
      </c>
      <c r="C26" s="474"/>
      <c r="D26" s="474"/>
      <c r="E26" s="443" t="str">
        <f>'Commercial Invoice3'!E26</f>
        <v>Glass/Plastic bottle</v>
      </c>
      <c r="F26" s="514"/>
      <c r="G26" s="514"/>
      <c r="H26" s="514"/>
      <c r="I26" s="514"/>
    </row>
    <row r="27" spans="1:9" s="44" customFormat="1" ht="30.75" customHeight="1">
      <c r="A27" s="176">
        <f>'Commercial Invoice3'!A27</f>
        <v>0</v>
      </c>
      <c r="B27" s="474" t="str">
        <f>'Commercial Invoice3'!B27</f>
        <v/>
      </c>
      <c r="C27" s="474"/>
      <c r="D27" s="474"/>
      <c r="E27" s="443" t="str">
        <f>'Commercial Invoice3'!E27</f>
        <v/>
      </c>
      <c r="F27" s="514"/>
      <c r="G27" s="514"/>
      <c r="H27" s="514"/>
      <c r="I27" s="514"/>
    </row>
    <row r="28" spans="1:9" s="44" customFormat="1" ht="30.75" customHeight="1">
      <c r="A28" s="176">
        <f>'Commercial Invoice3'!A28</f>
        <v>0</v>
      </c>
      <c r="B28" s="474" t="str">
        <f>'Commercial Invoice3'!B28</f>
        <v/>
      </c>
      <c r="C28" s="474"/>
      <c r="D28" s="474"/>
      <c r="E28" s="443" t="str">
        <f>'Commercial Invoice3'!E28</f>
        <v/>
      </c>
      <c r="F28" s="514"/>
      <c r="G28" s="514"/>
      <c r="H28" s="514"/>
      <c r="I28" s="514"/>
    </row>
    <row r="29" spans="1:9" s="44" customFormat="1" ht="18.75" customHeight="1">
      <c r="A29" s="178"/>
      <c r="B29" s="515" t="str">
        <f>IF(COUNTIF(辅助!N:N,"&gt;0")&lt;=12,"Total Net Weight（g）:   "&amp;SUM(辅助!N:N)," ")</f>
        <v>Total Net Weight（g）:   3266</v>
      </c>
      <c r="C29" s="515"/>
      <c r="D29" s="515"/>
      <c r="E29" s="179"/>
      <c r="F29" s="516" t="s">
        <v>371</v>
      </c>
      <c r="G29" s="516"/>
      <c r="H29" s="516"/>
      <c r="I29" s="516"/>
    </row>
    <row r="30" spans="1:9" s="44" customFormat="1" ht="7.5" customHeight="1" thickBot="1">
      <c r="A30" s="178"/>
      <c r="B30" s="517" t="str">
        <f>IF(COUNTIF(辅助!N:N,"&gt;0")&lt;=12,"Gross Weight(kg):   "&amp;发货清单!Y2," ")</f>
        <v>Gross Weight(kg):   10</v>
      </c>
      <c r="C30" s="517"/>
      <c r="D30" s="517"/>
      <c r="E30" s="179"/>
      <c r="F30" s="518"/>
      <c r="G30" s="518"/>
      <c r="H30" s="518"/>
      <c r="I30" s="518"/>
    </row>
    <row r="31" spans="1:9" ht="15.75">
      <c r="A31" s="169" t="s">
        <v>31</v>
      </c>
      <c r="B31" s="170"/>
      <c r="C31" s="170"/>
      <c r="D31" s="171"/>
      <c r="E31" s="41"/>
      <c r="F31" s="484"/>
      <c r="G31" s="484"/>
      <c r="H31" s="484"/>
      <c r="I31" s="485"/>
    </row>
    <row r="32" spans="1:9" ht="15" customHeight="1">
      <c r="A32" s="486" t="str">
        <f>IF(LEFT(发货清单!R2,8)="WB000178","I certify that all chemicals in this shipment are subject to TSCA.","I certify that all chemicals in this shipment are not subject to TSCA.")</f>
        <v>I certify that all chemicals in this shipment are not subject to TSCA.</v>
      </c>
      <c r="B32" s="487"/>
      <c r="C32" s="488"/>
      <c r="D32" s="39"/>
      <c r="E32" s="492" t="s">
        <v>73</v>
      </c>
      <c r="F32" s="493"/>
      <c r="G32" s="493"/>
      <c r="H32" s="493"/>
      <c r="I32" s="494"/>
    </row>
    <row r="33" spans="1:10" ht="15.75" thickBot="1">
      <c r="A33" s="489"/>
      <c r="B33" s="490"/>
      <c r="C33" s="491"/>
      <c r="D33" s="39"/>
      <c r="E33" s="495"/>
      <c r="F33" s="496"/>
      <c r="G33" s="496"/>
      <c r="H33" s="496"/>
      <c r="I33" s="497"/>
    </row>
    <row r="34" spans="1:10" ht="16.5" customHeight="1" thickBot="1">
      <c r="A34" s="498" t="s">
        <v>526</v>
      </c>
      <c r="B34" s="499"/>
      <c r="C34" s="500"/>
      <c r="D34" s="39"/>
      <c r="E34" s="42" t="s">
        <v>71</v>
      </c>
      <c r="F34" s="39"/>
      <c r="G34" s="507" t="str">
        <f>'Commercial Invoice3'!G33</f>
        <v>2786337676</v>
      </c>
      <c r="H34" s="508"/>
      <c r="I34" s="509"/>
    </row>
    <row r="35" spans="1:10" ht="32.25" customHeight="1" thickBot="1">
      <c r="A35" s="501"/>
      <c r="B35" s="502"/>
      <c r="C35" s="503"/>
      <c r="D35" s="39"/>
      <c r="E35" s="42" t="s">
        <v>34</v>
      </c>
      <c r="F35" s="39"/>
      <c r="G35" s="43"/>
      <c r="H35" s="43"/>
      <c r="I35" s="172"/>
    </row>
    <row r="36" spans="1:10" ht="15" thickBot="1">
      <c r="A36" s="504"/>
      <c r="B36" s="505"/>
      <c r="C36" s="506"/>
      <c r="D36" s="43"/>
      <c r="E36" s="43"/>
      <c r="F36" s="43"/>
      <c r="G36" s="43"/>
      <c r="H36" s="43"/>
      <c r="I36" s="172"/>
    </row>
    <row r="37" spans="1:10" ht="18" customHeight="1">
      <c r="A37" s="17"/>
      <c r="B37" s="17"/>
      <c r="C37" s="17"/>
      <c r="D37" s="17"/>
      <c r="E37" s="17" t="str">
        <f>"page 1/"&amp;IF(COUNTIF(辅助!K:K,"&gt;0")&lt;13,1,IF(COUNTIF(辅助!K:K,"&gt;0")&lt;25,2,3))</f>
        <v>page 1/1</v>
      </c>
      <c r="F37" s="17"/>
      <c r="G37" s="17"/>
      <c r="H37" s="17"/>
      <c r="I37" s="17"/>
    </row>
    <row r="38" spans="1:10" ht="22.5">
      <c r="A38" s="470" t="s">
        <v>370</v>
      </c>
      <c r="B38" s="470"/>
      <c r="C38" s="470"/>
      <c r="D38" s="470"/>
      <c r="E38" s="470"/>
      <c r="F38" s="470"/>
      <c r="G38" s="470"/>
      <c r="H38" s="470"/>
      <c r="I38" s="470"/>
    </row>
    <row r="39" spans="1:10" ht="5.25" hidden="1" customHeight="1">
      <c r="A39" s="17"/>
      <c r="B39" s="17"/>
      <c r="C39" s="17"/>
      <c r="D39" s="17"/>
      <c r="E39" s="17"/>
      <c r="F39" s="17"/>
      <c r="G39" s="17"/>
      <c r="H39" s="34"/>
      <c r="I39" s="48"/>
    </row>
    <row r="40" spans="1:10" ht="5.25" hidden="1" customHeight="1">
      <c r="A40" s="17"/>
      <c r="B40" s="17"/>
      <c r="C40" s="17"/>
      <c r="D40" s="17"/>
      <c r="E40" s="17"/>
      <c r="F40" s="17"/>
      <c r="G40" s="17"/>
      <c r="H40" s="17"/>
      <c r="I40" s="17"/>
    </row>
    <row r="41" spans="1:10" ht="15.75">
      <c r="A41" s="35" t="s">
        <v>43</v>
      </c>
      <c r="B41" s="36"/>
      <c r="C41" s="36"/>
      <c r="D41" s="37"/>
      <c r="E41" s="61"/>
      <c r="F41" s="77" t="s">
        <v>42</v>
      </c>
      <c r="G41" s="71"/>
      <c r="H41" s="36"/>
      <c r="I41" s="37"/>
    </row>
    <row r="42" spans="1:10" ht="15.75">
      <c r="A42" s="103" t="s">
        <v>75</v>
      </c>
      <c r="B42" s="58"/>
      <c r="C42" s="58"/>
      <c r="D42" s="59"/>
      <c r="E42" s="58"/>
      <c r="F42" s="57" t="str">
        <f>F6</f>
        <v xml:space="preserve"> Fluorochem Limited</v>
      </c>
      <c r="G42" s="192"/>
      <c r="H42" s="15"/>
      <c r="I42" s="38"/>
    </row>
    <row r="43" spans="1:10" ht="15" customHeight="1">
      <c r="A43" s="104" t="s">
        <v>230</v>
      </c>
      <c r="B43" s="60"/>
      <c r="C43" s="60"/>
      <c r="D43" s="59"/>
      <c r="E43" s="61"/>
      <c r="F43" s="53" t="str">
        <f>F7</f>
        <v>Unit 14 Graphite Way</v>
      </c>
      <c r="G43" s="7"/>
      <c r="H43" s="39"/>
      <c r="I43" s="38"/>
      <c r="J43" s="16"/>
    </row>
    <row r="44" spans="1:10" ht="15" customHeight="1">
      <c r="A44" s="104" t="s">
        <v>231</v>
      </c>
      <c r="B44" s="60"/>
      <c r="C44" s="60"/>
      <c r="D44" s="59"/>
      <c r="E44" s="61"/>
      <c r="F44" s="53" t="str">
        <f t="shared" ref="F44:F46" si="0">F8</f>
        <v>Hadfield  Derbyshire</v>
      </c>
      <c r="G44" s="7"/>
      <c r="H44" s="39"/>
      <c r="I44" s="38"/>
      <c r="J44" s="16"/>
    </row>
    <row r="45" spans="1:10" ht="15" customHeight="1">
      <c r="A45" s="105" t="s">
        <v>232</v>
      </c>
      <c r="B45" s="60"/>
      <c r="C45" s="60"/>
      <c r="D45" s="59"/>
      <c r="E45" s="61"/>
      <c r="F45" s="53" t="str">
        <f t="shared" si="0"/>
        <v>SK13 1QH UK</v>
      </c>
      <c r="G45" s="193"/>
      <c r="H45" s="39"/>
      <c r="I45" s="38"/>
      <c r="J45" s="14"/>
    </row>
    <row r="46" spans="1:10" ht="15">
      <c r="A46" s="106" t="s">
        <v>233</v>
      </c>
      <c r="B46" s="62"/>
      <c r="C46" s="62"/>
      <c r="D46" s="63"/>
      <c r="E46" s="61"/>
      <c r="F46" s="53" t="str">
        <f t="shared" si="0"/>
        <v>TEL:4401457860111</v>
      </c>
      <c r="G46" s="6"/>
      <c r="H46" s="18"/>
      <c r="I46" s="40"/>
      <c r="J46" s="14"/>
    </row>
    <row r="47" spans="1:10" ht="6" customHeight="1">
      <c r="A47" s="17"/>
      <c r="B47" s="17"/>
      <c r="C47" s="17"/>
      <c r="D47" s="17"/>
      <c r="E47" s="17"/>
      <c r="F47" s="17"/>
      <c r="G47" s="17"/>
      <c r="H47" s="17"/>
      <c r="I47" s="17"/>
      <c r="J47" s="14"/>
    </row>
    <row r="48" spans="1:10" s="68" customFormat="1">
      <c r="A48" s="471" t="s">
        <v>17</v>
      </c>
      <c r="B48" s="472"/>
      <c r="C48" s="235" t="str">
        <f>C12</f>
        <v>Order  No.</v>
      </c>
      <c r="D48" s="67" t="s">
        <v>369</v>
      </c>
      <c r="E48" s="67" t="s">
        <v>21</v>
      </c>
      <c r="F48" s="263" t="s">
        <v>19</v>
      </c>
      <c r="G48" s="67" t="s">
        <v>20</v>
      </c>
      <c r="H48" s="471" t="s">
        <v>30</v>
      </c>
      <c r="I48" s="472"/>
    </row>
    <row r="49" spans="1:14" s="68" customFormat="1" ht="12.75">
      <c r="A49" s="471"/>
      <c r="B49" s="472"/>
      <c r="C49" s="67" t="str">
        <f>C13</f>
        <v>P100426</v>
      </c>
      <c r="D49" s="67"/>
      <c r="E49" s="67"/>
      <c r="F49" s="29" t="s">
        <v>38</v>
      </c>
      <c r="G49" s="67"/>
      <c r="H49" s="471" t="s">
        <v>386</v>
      </c>
      <c r="I49" s="472"/>
      <c r="J49" s="30"/>
    </row>
    <row r="50" spans="1:14" s="68" customFormat="1" ht="12.75">
      <c r="A50" s="471" t="s">
        <v>22</v>
      </c>
      <c r="B50" s="473"/>
      <c r="C50" s="472"/>
      <c r="D50" s="67" t="s">
        <v>70</v>
      </c>
      <c r="E50" s="471" t="s">
        <v>23</v>
      </c>
      <c r="F50" s="472"/>
      <c r="G50" s="445" t="s">
        <v>29</v>
      </c>
      <c r="H50" s="471" t="s">
        <v>18</v>
      </c>
      <c r="I50" s="472"/>
      <c r="J50" s="30"/>
    </row>
    <row r="51" spans="1:14" s="28" customFormat="1" ht="15.75">
      <c r="A51" s="476" t="s">
        <v>39</v>
      </c>
      <c r="B51" s="477"/>
      <c r="C51" s="478"/>
      <c r="D51" s="27"/>
      <c r="E51" s="513" t="str">
        <f>E15</f>
        <v>UK</v>
      </c>
      <c r="F51" s="478"/>
      <c r="G51" s="79">
        <f ca="1">G15</f>
        <v>43839</v>
      </c>
      <c r="H51" s="479" t="str">
        <f>H15</f>
        <v>20200109-607</v>
      </c>
      <c r="I51" s="480"/>
      <c r="J51" s="30"/>
    </row>
    <row r="52" spans="1:14" s="26" customFormat="1" ht="23.25" customHeight="1">
      <c r="A52" s="66" t="s">
        <v>24</v>
      </c>
      <c r="B52" s="481" t="s">
        <v>25</v>
      </c>
      <c r="C52" s="482"/>
      <c r="D52" s="483"/>
      <c r="E52" s="55" t="s">
        <v>28</v>
      </c>
      <c r="F52" s="514" t="s">
        <v>109</v>
      </c>
      <c r="G52" s="514"/>
      <c r="H52" s="514"/>
      <c r="I52" s="514"/>
      <c r="N52" s="47"/>
    </row>
    <row r="53" spans="1:14" s="44" customFormat="1" ht="30.75" customHeight="1">
      <c r="A53" s="176">
        <f>'Commercial Invoice3'!A52</f>
        <v>0</v>
      </c>
      <c r="B53" s="474" t="str">
        <f>'Commercial Invoice3'!B52</f>
        <v/>
      </c>
      <c r="C53" s="474"/>
      <c r="D53" s="474"/>
      <c r="E53" s="443" t="str">
        <f>'Commercial Invoice3'!E52</f>
        <v/>
      </c>
      <c r="F53" s="514"/>
      <c r="G53" s="514"/>
      <c r="H53" s="514"/>
      <c r="I53" s="514"/>
    </row>
    <row r="54" spans="1:14" s="44" customFormat="1" ht="30.75" customHeight="1">
      <c r="A54" s="176">
        <f>'Commercial Invoice3'!A53</f>
        <v>0</v>
      </c>
      <c r="B54" s="474" t="str">
        <f>'Commercial Invoice3'!B53</f>
        <v/>
      </c>
      <c r="C54" s="474"/>
      <c r="D54" s="474"/>
      <c r="E54" s="443" t="str">
        <f>'Commercial Invoice3'!E53</f>
        <v/>
      </c>
      <c r="F54" s="514"/>
      <c r="G54" s="514"/>
      <c r="H54" s="514"/>
      <c r="I54" s="514"/>
    </row>
    <row r="55" spans="1:14" s="44" customFormat="1" ht="30.75" customHeight="1">
      <c r="A55" s="176">
        <f>'Commercial Invoice3'!A54</f>
        <v>0</v>
      </c>
      <c r="B55" s="474" t="str">
        <f>'Commercial Invoice3'!B54</f>
        <v/>
      </c>
      <c r="C55" s="474"/>
      <c r="D55" s="474"/>
      <c r="E55" s="443" t="str">
        <f>'Commercial Invoice3'!E54</f>
        <v/>
      </c>
      <c r="F55" s="514"/>
      <c r="G55" s="514"/>
      <c r="H55" s="514"/>
      <c r="I55" s="514"/>
    </row>
    <row r="56" spans="1:14" s="44" customFormat="1" ht="30.75" customHeight="1">
      <c r="A56" s="176">
        <f>'Commercial Invoice3'!A55</f>
        <v>0</v>
      </c>
      <c r="B56" s="474" t="str">
        <f>'Commercial Invoice3'!B55</f>
        <v/>
      </c>
      <c r="C56" s="474"/>
      <c r="D56" s="474"/>
      <c r="E56" s="443" t="str">
        <f>'Commercial Invoice3'!E55</f>
        <v/>
      </c>
      <c r="F56" s="514"/>
      <c r="G56" s="514"/>
      <c r="H56" s="514"/>
      <c r="I56" s="514"/>
    </row>
    <row r="57" spans="1:14" s="44" customFormat="1" ht="30.75" customHeight="1">
      <c r="A57" s="176">
        <f>'Commercial Invoice3'!A56</f>
        <v>0</v>
      </c>
      <c r="B57" s="474" t="str">
        <f>'Commercial Invoice3'!B56</f>
        <v/>
      </c>
      <c r="C57" s="474"/>
      <c r="D57" s="474"/>
      <c r="E57" s="443" t="str">
        <f>'Commercial Invoice3'!E56</f>
        <v/>
      </c>
      <c r="F57" s="514"/>
      <c r="G57" s="514"/>
      <c r="H57" s="514"/>
      <c r="I57" s="514"/>
    </row>
    <row r="58" spans="1:14" s="44" customFormat="1" ht="30.75" customHeight="1">
      <c r="A58" s="176">
        <f>'Commercial Invoice3'!A57</f>
        <v>0</v>
      </c>
      <c r="B58" s="474" t="str">
        <f>'Commercial Invoice3'!B57</f>
        <v/>
      </c>
      <c r="C58" s="474"/>
      <c r="D58" s="474"/>
      <c r="E58" s="443" t="str">
        <f>'Commercial Invoice3'!E57</f>
        <v/>
      </c>
      <c r="F58" s="514"/>
      <c r="G58" s="514"/>
      <c r="H58" s="514"/>
      <c r="I58" s="514"/>
    </row>
    <row r="59" spans="1:14" s="44" customFormat="1" ht="38.25" customHeight="1">
      <c r="A59" s="176">
        <f>'Commercial Invoice3'!A58</f>
        <v>0</v>
      </c>
      <c r="B59" s="474" t="str">
        <f>'Commercial Invoice3'!B58</f>
        <v/>
      </c>
      <c r="C59" s="474"/>
      <c r="D59" s="474"/>
      <c r="E59" s="443" t="str">
        <f>'Commercial Invoice3'!E58</f>
        <v/>
      </c>
      <c r="F59" s="514"/>
      <c r="G59" s="514"/>
      <c r="H59" s="514"/>
      <c r="I59" s="514"/>
    </row>
    <row r="60" spans="1:14" s="44" customFormat="1" ht="30.75" customHeight="1">
      <c r="A60" s="176">
        <f>'Commercial Invoice3'!A59</f>
        <v>0</v>
      </c>
      <c r="B60" s="474" t="str">
        <f>'Commercial Invoice3'!B59</f>
        <v/>
      </c>
      <c r="C60" s="474"/>
      <c r="D60" s="474"/>
      <c r="E60" s="443" t="str">
        <f>'Commercial Invoice3'!E59</f>
        <v/>
      </c>
      <c r="F60" s="514"/>
      <c r="G60" s="514"/>
      <c r="H60" s="514"/>
      <c r="I60" s="514"/>
    </row>
    <row r="61" spans="1:14" s="44" customFormat="1" ht="30.75" customHeight="1">
      <c r="A61" s="176">
        <f>'Commercial Invoice3'!A60</f>
        <v>0</v>
      </c>
      <c r="B61" s="474" t="str">
        <f>'Commercial Invoice3'!B60</f>
        <v/>
      </c>
      <c r="C61" s="474"/>
      <c r="D61" s="474"/>
      <c r="E61" s="443" t="str">
        <f>'Commercial Invoice3'!E60</f>
        <v/>
      </c>
      <c r="F61" s="514"/>
      <c r="G61" s="514"/>
      <c r="H61" s="514"/>
      <c r="I61" s="514"/>
    </row>
    <row r="62" spans="1:14" s="44" customFormat="1" ht="30.75" customHeight="1">
      <c r="A62" s="176">
        <f>'Commercial Invoice3'!A61</f>
        <v>0</v>
      </c>
      <c r="B62" s="474" t="str">
        <f>'Commercial Invoice3'!B61</f>
        <v/>
      </c>
      <c r="C62" s="474"/>
      <c r="D62" s="474"/>
      <c r="E62" s="443" t="str">
        <f>'Commercial Invoice3'!E61</f>
        <v/>
      </c>
      <c r="F62" s="514"/>
      <c r="G62" s="514"/>
      <c r="H62" s="514"/>
      <c r="I62" s="514"/>
    </row>
    <row r="63" spans="1:14" s="44" customFormat="1" ht="30.75" customHeight="1">
      <c r="A63" s="176">
        <f>'Commercial Invoice3'!A62</f>
        <v>0</v>
      </c>
      <c r="B63" s="474" t="str">
        <f>'Commercial Invoice3'!B62</f>
        <v/>
      </c>
      <c r="C63" s="474"/>
      <c r="D63" s="474"/>
      <c r="E63" s="443" t="str">
        <f>'Commercial Invoice3'!E62</f>
        <v/>
      </c>
      <c r="F63" s="514"/>
      <c r="G63" s="514"/>
      <c r="H63" s="514"/>
      <c r="I63" s="514"/>
    </row>
    <row r="64" spans="1:14" s="44" customFormat="1" ht="27.75" customHeight="1">
      <c r="A64" s="176">
        <f>'Commercial Invoice3'!A63</f>
        <v>0</v>
      </c>
      <c r="B64" s="474" t="str">
        <f>'Commercial Invoice3'!B63</f>
        <v/>
      </c>
      <c r="C64" s="474"/>
      <c r="D64" s="474"/>
      <c r="E64" s="443" t="str">
        <f>'Commercial Invoice3'!E63</f>
        <v/>
      </c>
      <c r="F64" s="514"/>
      <c r="G64" s="514"/>
      <c r="H64" s="514"/>
      <c r="I64" s="514"/>
    </row>
    <row r="65" spans="1:10" s="44" customFormat="1" ht="18.75" customHeight="1">
      <c r="A65" s="178"/>
      <c r="B65" s="515" t="str">
        <f>IF(COUNTIF(辅助!N:N,"&gt;0")&lt;=24,"Total Net Weight（g）:   "&amp;SUM(辅助!N:N)," ")</f>
        <v>Total Net Weight（g）:   3266</v>
      </c>
      <c r="C65" s="515"/>
      <c r="D65" s="515"/>
      <c r="E65" s="179"/>
      <c r="F65" s="516" t="s">
        <v>371</v>
      </c>
      <c r="G65" s="516"/>
      <c r="H65" s="516"/>
      <c r="I65" s="516"/>
    </row>
    <row r="66" spans="1:10" s="44" customFormat="1" ht="17.25" customHeight="1" thickBot="1">
      <c r="A66" s="178"/>
      <c r="B66" s="517" t="str">
        <f>IF(COUNTIF(辅助!N:N,"&gt;0")&lt;=24,"Gross Weight(kg):   "&amp;发货清单!Y2," ")</f>
        <v>Gross Weight(kg):   10</v>
      </c>
      <c r="C66" s="517"/>
      <c r="D66" s="517"/>
      <c r="E66" s="179"/>
      <c r="F66" s="518"/>
      <c r="G66" s="518"/>
      <c r="H66" s="518"/>
      <c r="I66" s="518"/>
    </row>
    <row r="67" spans="1:10" ht="15.75">
      <c r="A67" s="169" t="s">
        <v>31</v>
      </c>
      <c r="B67" s="170"/>
      <c r="C67" s="170"/>
      <c r="D67" s="171"/>
      <c r="E67" s="41"/>
      <c r="F67" s="484"/>
      <c r="G67" s="484"/>
      <c r="H67" s="484"/>
      <c r="I67" s="485"/>
    </row>
    <row r="68" spans="1:10" ht="15" customHeight="1">
      <c r="A68" s="486" t="str">
        <f>IF(LEFT(发货清单!R2,8)="WB000178","I certify that all chemicals in this shipment are subject to TSCA.","I certify that all chemicals in this shipment are not subject to TSCA.")</f>
        <v>I certify that all chemicals in this shipment are not subject to TSCA.</v>
      </c>
      <c r="B68" s="487"/>
      <c r="C68" s="488"/>
      <c r="D68" s="39"/>
      <c r="E68" s="492" t="s">
        <v>73</v>
      </c>
      <c r="F68" s="493"/>
      <c r="G68" s="493"/>
      <c r="H68" s="493"/>
      <c r="I68" s="494"/>
    </row>
    <row r="69" spans="1:10" ht="15.75" thickBot="1">
      <c r="A69" s="489"/>
      <c r="B69" s="490"/>
      <c r="C69" s="491"/>
      <c r="D69" s="39"/>
      <c r="E69" s="495"/>
      <c r="F69" s="496"/>
      <c r="G69" s="496"/>
      <c r="H69" s="496"/>
      <c r="I69" s="497"/>
    </row>
    <row r="70" spans="1:10" ht="16.5" customHeight="1" thickBot="1">
      <c r="A70" s="498" t="s">
        <v>526</v>
      </c>
      <c r="B70" s="499"/>
      <c r="C70" s="500"/>
      <c r="D70" s="39"/>
      <c r="E70" s="42" t="s">
        <v>71</v>
      </c>
      <c r="F70" s="39"/>
      <c r="G70" s="507" t="str">
        <f>G34</f>
        <v>2786337676</v>
      </c>
      <c r="H70" s="508"/>
      <c r="I70" s="509"/>
    </row>
    <row r="71" spans="1:10" ht="32.25" customHeight="1" thickBot="1">
      <c r="A71" s="501"/>
      <c r="B71" s="502"/>
      <c r="C71" s="503"/>
      <c r="D71" s="39"/>
      <c r="E71" s="42" t="s">
        <v>34</v>
      </c>
      <c r="F71" s="39"/>
      <c r="G71" s="43"/>
      <c r="H71" s="43"/>
      <c r="I71" s="172"/>
    </row>
    <row r="72" spans="1:10" ht="15" thickBot="1">
      <c r="A72" s="504"/>
      <c r="B72" s="505"/>
      <c r="C72" s="506"/>
      <c r="D72" s="43"/>
      <c r="E72" s="43"/>
      <c r="F72" s="43"/>
      <c r="G72" s="43"/>
      <c r="H72" s="43"/>
      <c r="I72" s="172"/>
    </row>
    <row r="73" spans="1:10">
      <c r="A73" s="17"/>
      <c r="B73" s="17"/>
      <c r="C73" s="17"/>
      <c r="D73" s="17"/>
      <c r="E73" s="17" t="str">
        <f>"page 2/"&amp;IF(COUNTIF(辅助!K:K,"&gt;0")&lt;25,2,3)</f>
        <v>page 2/2</v>
      </c>
      <c r="F73" s="17"/>
      <c r="G73" s="17"/>
      <c r="H73" s="17"/>
      <c r="I73" s="17"/>
    </row>
    <row r="74" spans="1:10" ht="22.5">
      <c r="A74" s="470" t="s">
        <v>370</v>
      </c>
      <c r="B74" s="470"/>
      <c r="C74" s="470"/>
      <c r="D74" s="470"/>
      <c r="E74" s="470"/>
      <c r="F74" s="470"/>
      <c r="G74" s="470"/>
      <c r="H74" s="470"/>
      <c r="I74" s="470"/>
    </row>
    <row r="75" spans="1:10" ht="5.25" hidden="1" customHeight="1">
      <c r="A75" s="17"/>
      <c r="B75" s="17"/>
      <c r="C75" s="17"/>
      <c r="D75" s="17"/>
      <c r="E75" s="17"/>
      <c r="F75" s="17"/>
      <c r="G75" s="17"/>
      <c r="H75" s="34"/>
      <c r="I75" s="48"/>
    </row>
    <row r="76" spans="1:10" ht="5.25" hidden="1" customHeight="1">
      <c r="A76" s="17"/>
      <c r="B76" s="17"/>
      <c r="C76" s="17"/>
      <c r="D76" s="17"/>
      <c r="E76" s="17"/>
      <c r="F76" s="17"/>
      <c r="G76" s="17"/>
      <c r="H76" s="17"/>
      <c r="I76" s="17"/>
    </row>
    <row r="77" spans="1:10" ht="15.75">
      <c r="A77" s="35" t="s">
        <v>43</v>
      </c>
      <c r="B77" s="36"/>
      <c r="C77" s="36"/>
      <c r="D77" s="37"/>
      <c r="E77" s="61"/>
      <c r="F77" s="77" t="s">
        <v>42</v>
      </c>
      <c r="G77" s="71"/>
      <c r="H77" s="36"/>
      <c r="I77" s="37"/>
    </row>
    <row r="78" spans="1:10" ht="15.75">
      <c r="A78" s="103" t="s">
        <v>75</v>
      </c>
      <c r="B78" s="58"/>
      <c r="C78" s="58"/>
      <c r="D78" s="59"/>
      <c r="E78" s="58"/>
      <c r="F78" s="57" t="str">
        <f>F42</f>
        <v xml:space="preserve"> Fluorochem Limited</v>
      </c>
      <c r="G78" s="192"/>
      <c r="H78" s="15"/>
      <c r="I78" s="38"/>
    </row>
    <row r="79" spans="1:10" ht="15" customHeight="1">
      <c r="A79" s="104" t="s">
        <v>230</v>
      </c>
      <c r="B79" s="60"/>
      <c r="C79" s="60"/>
      <c r="D79" s="59"/>
      <c r="E79" s="61"/>
      <c r="F79" s="53" t="str">
        <f>F43</f>
        <v>Unit 14 Graphite Way</v>
      </c>
      <c r="G79" s="7"/>
      <c r="H79" s="39"/>
      <c r="I79" s="38"/>
      <c r="J79" s="16"/>
    </row>
    <row r="80" spans="1:10" ht="15" customHeight="1">
      <c r="A80" s="104" t="s">
        <v>231</v>
      </c>
      <c r="B80" s="60"/>
      <c r="C80" s="60"/>
      <c r="D80" s="59"/>
      <c r="E80" s="61"/>
      <c r="F80" s="53" t="str">
        <f t="shared" ref="F80:F82" si="1">F44</f>
        <v>Hadfield  Derbyshire</v>
      </c>
      <c r="G80" s="7"/>
      <c r="H80" s="39"/>
      <c r="I80" s="38"/>
      <c r="J80" s="16"/>
    </row>
    <row r="81" spans="1:14" ht="15" customHeight="1">
      <c r="A81" s="105" t="s">
        <v>232</v>
      </c>
      <c r="B81" s="60"/>
      <c r="C81" s="60"/>
      <c r="D81" s="59"/>
      <c r="E81" s="61"/>
      <c r="F81" s="53" t="str">
        <f t="shared" si="1"/>
        <v>SK13 1QH UK</v>
      </c>
      <c r="G81" s="193"/>
      <c r="H81" s="39"/>
      <c r="I81" s="38"/>
      <c r="J81" s="14"/>
    </row>
    <row r="82" spans="1:14" ht="15">
      <c r="A82" s="106" t="s">
        <v>233</v>
      </c>
      <c r="B82" s="62"/>
      <c r="C82" s="62"/>
      <c r="D82" s="63"/>
      <c r="E82" s="61"/>
      <c r="F82" s="53" t="str">
        <f t="shared" si="1"/>
        <v>TEL:4401457860111</v>
      </c>
      <c r="G82" s="6"/>
      <c r="H82" s="18"/>
      <c r="I82" s="40"/>
      <c r="J82" s="14"/>
    </row>
    <row r="83" spans="1:14" ht="6" customHeight="1">
      <c r="A83" s="17"/>
      <c r="B83" s="17"/>
      <c r="C83" s="17"/>
      <c r="D83" s="17"/>
      <c r="E83" s="17"/>
      <c r="F83" s="17"/>
      <c r="G83" s="17"/>
      <c r="H83" s="17"/>
      <c r="I83" s="17"/>
      <c r="J83" s="14"/>
    </row>
    <row r="84" spans="1:14" s="68" customFormat="1">
      <c r="A84" s="471" t="s">
        <v>17</v>
      </c>
      <c r="B84" s="472"/>
      <c r="C84" s="235" t="str">
        <f>C48</f>
        <v>Order  No.</v>
      </c>
      <c r="D84" s="67" t="s">
        <v>369</v>
      </c>
      <c r="E84" s="67" t="s">
        <v>21</v>
      </c>
      <c r="F84" s="263" t="s">
        <v>19</v>
      </c>
      <c r="G84" s="67" t="s">
        <v>20</v>
      </c>
      <c r="H84" s="471" t="s">
        <v>30</v>
      </c>
      <c r="I84" s="472"/>
    </row>
    <row r="85" spans="1:14" s="68" customFormat="1" ht="12.75">
      <c r="A85" s="471"/>
      <c r="B85" s="472"/>
      <c r="C85" s="67" t="str">
        <f>C49</f>
        <v>P100426</v>
      </c>
      <c r="D85" s="67"/>
      <c r="E85" s="67"/>
      <c r="F85" s="29" t="s">
        <v>38</v>
      </c>
      <c r="G85" s="67"/>
      <c r="H85" s="471" t="s">
        <v>386</v>
      </c>
      <c r="I85" s="472"/>
      <c r="J85" s="30"/>
    </row>
    <row r="86" spans="1:14" s="68" customFormat="1" ht="12.75">
      <c r="A86" s="471" t="s">
        <v>22</v>
      </c>
      <c r="B86" s="473"/>
      <c r="C86" s="472"/>
      <c r="D86" s="67" t="s">
        <v>70</v>
      </c>
      <c r="E86" s="471" t="s">
        <v>23</v>
      </c>
      <c r="F86" s="472"/>
      <c r="G86" s="445" t="s">
        <v>29</v>
      </c>
      <c r="H86" s="471" t="s">
        <v>18</v>
      </c>
      <c r="I86" s="472"/>
      <c r="J86" s="30"/>
    </row>
    <row r="87" spans="1:14" s="28" customFormat="1" ht="15.75">
      <c r="A87" s="476" t="s">
        <v>39</v>
      </c>
      <c r="B87" s="477"/>
      <c r="C87" s="478"/>
      <c r="D87" s="27"/>
      <c r="E87" s="513" t="str">
        <f>E15</f>
        <v>UK</v>
      </c>
      <c r="F87" s="478"/>
      <c r="G87" s="79">
        <f ca="1">G51</f>
        <v>43839</v>
      </c>
      <c r="H87" s="479" t="str">
        <f>H51</f>
        <v>20200109-607</v>
      </c>
      <c r="I87" s="480"/>
      <c r="J87" s="30"/>
    </row>
    <row r="88" spans="1:14" s="26" customFormat="1" ht="23.25" customHeight="1">
      <c r="A88" s="66" t="s">
        <v>24</v>
      </c>
      <c r="B88" s="481" t="s">
        <v>25</v>
      </c>
      <c r="C88" s="482"/>
      <c r="D88" s="483"/>
      <c r="E88" s="55" t="s">
        <v>28</v>
      </c>
      <c r="F88" s="514" t="s">
        <v>109</v>
      </c>
      <c r="G88" s="514"/>
      <c r="H88" s="514"/>
      <c r="I88" s="514"/>
      <c r="N88" s="47"/>
    </row>
    <row r="89" spans="1:14" s="44" customFormat="1" ht="30.75" customHeight="1">
      <c r="A89" s="176">
        <f>'Commercial Invoice3'!A87</f>
        <v>0</v>
      </c>
      <c r="B89" s="474" t="str">
        <f>'Commercial Invoice3'!B87</f>
        <v/>
      </c>
      <c r="C89" s="474"/>
      <c r="D89" s="474"/>
      <c r="E89" s="443" t="str">
        <f>'Commercial Invoice3'!E87</f>
        <v/>
      </c>
      <c r="F89" s="514"/>
      <c r="G89" s="514"/>
      <c r="H89" s="514"/>
      <c r="I89" s="514"/>
    </row>
    <row r="90" spans="1:14" s="44" customFormat="1" ht="30.75" customHeight="1">
      <c r="A90" s="176">
        <f>'Commercial Invoice3'!A88</f>
        <v>0</v>
      </c>
      <c r="B90" s="474" t="str">
        <f>'Commercial Invoice3'!B88</f>
        <v/>
      </c>
      <c r="C90" s="474"/>
      <c r="D90" s="474"/>
      <c r="E90" s="443" t="str">
        <f>'Commercial Invoice3'!E88</f>
        <v/>
      </c>
      <c r="F90" s="514"/>
      <c r="G90" s="514"/>
      <c r="H90" s="514"/>
      <c r="I90" s="514"/>
    </row>
    <row r="91" spans="1:14" s="44" customFormat="1" ht="30.75" customHeight="1">
      <c r="A91" s="176">
        <f>'Commercial Invoice3'!A89</f>
        <v>0</v>
      </c>
      <c r="B91" s="474" t="str">
        <f>'Commercial Invoice3'!B89</f>
        <v/>
      </c>
      <c r="C91" s="474"/>
      <c r="D91" s="474"/>
      <c r="E91" s="443" t="str">
        <f>'Commercial Invoice3'!E89</f>
        <v/>
      </c>
      <c r="F91" s="514"/>
      <c r="G91" s="514"/>
      <c r="H91" s="514"/>
      <c r="I91" s="514"/>
    </row>
    <row r="92" spans="1:14" s="44" customFormat="1" ht="30.75" customHeight="1">
      <c r="A92" s="176">
        <f>'Commercial Invoice3'!A90</f>
        <v>0</v>
      </c>
      <c r="B92" s="474" t="str">
        <f>'Commercial Invoice3'!B90</f>
        <v/>
      </c>
      <c r="C92" s="474"/>
      <c r="D92" s="474"/>
      <c r="E92" s="443" t="str">
        <f>'Commercial Invoice3'!E90</f>
        <v/>
      </c>
      <c r="F92" s="514"/>
      <c r="G92" s="514"/>
      <c r="H92" s="514"/>
      <c r="I92" s="514"/>
    </row>
    <row r="93" spans="1:14" s="44" customFormat="1" ht="30.75" customHeight="1">
      <c r="A93" s="176">
        <f>'Commercial Invoice3'!A91</f>
        <v>0</v>
      </c>
      <c r="B93" s="474" t="str">
        <f>'Commercial Invoice3'!B91</f>
        <v/>
      </c>
      <c r="C93" s="474"/>
      <c r="D93" s="474"/>
      <c r="E93" s="443" t="str">
        <f>'Commercial Invoice3'!E91</f>
        <v/>
      </c>
      <c r="F93" s="514"/>
      <c r="G93" s="514"/>
      <c r="H93" s="514"/>
      <c r="I93" s="514"/>
    </row>
    <row r="94" spans="1:14" s="44" customFormat="1" ht="30.75" customHeight="1">
      <c r="A94" s="176">
        <f>'Commercial Invoice3'!A92</f>
        <v>0</v>
      </c>
      <c r="B94" s="474" t="str">
        <f>'Commercial Invoice3'!B92</f>
        <v/>
      </c>
      <c r="C94" s="474"/>
      <c r="D94" s="474"/>
      <c r="E94" s="443" t="str">
        <f>'Commercial Invoice3'!E92</f>
        <v/>
      </c>
      <c r="F94" s="514"/>
      <c r="G94" s="514"/>
      <c r="H94" s="514"/>
      <c r="I94" s="514"/>
    </row>
    <row r="95" spans="1:14" s="44" customFormat="1" ht="30.75" customHeight="1">
      <c r="A95" s="176">
        <f>'Commercial Invoice3'!A93</f>
        <v>0</v>
      </c>
      <c r="B95" s="474" t="str">
        <f>'Commercial Invoice3'!B93</f>
        <v/>
      </c>
      <c r="C95" s="474"/>
      <c r="D95" s="474"/>
      <c r="E95" s="443" t="str">
        <f>'Commercial Invoice3'!E93</f>
        <v/>
      </c>
      <c r="F95" s="514"/>
      <c r="G95" s="514"/>
      <c r="H95" s="514"/>
      <c r="I95" s="514"/>
    </row>
    <row r="96" spans="1:14" s="44" customFormat="1" ht="30.75" customHeight="1">
      <c r="A96" s="176">
        <f>'Commercial Invoice3'!A94</f>
        <v>0</v>
      </c>
      <c r="B96" s="474" t="str">
        <f>'Commercial Invoice3'!B94</f>
        <v/>
      </c>
      <c r="C96" s="474"/>
      <c r="D96" s="474"/>
      <c r="E96" s="443" t="str">
        <f>'Commercial Invoice3'!E94</f>
        <v/>
      </c>
      <c r="F96" s="514"/>
      <c r="G96" s="514"/>
      <c r="H96" s="514"/>
      <c r="I96" s="514"/>
    </row>
    <row r="97" spans="1:9" s="44" customFormat="1" ht="30.75" customHeight="1">
      <c r="A97" s="176">
        <f>'Commercial Invoice3'!A95</f>
        <v>0</v>
      </c>
      <c r="B97" s="474" t="str">
        <f>'Commercial Invoice3'!B95</f>
        <v/>
      </c>
      <c r="C97" s="474"/>
      <c r="D97" s="474"/>
      <c r="E97" s="443" t="str">
        <f>'Commercial Invoice3'!E95</f>
        <v/>
      </c>
      <c r="F97" s="514"/>
      <c r="G97" s="514"/>
      <c r="H97" s="514"/>
      <c r="I97" s="514"/>
    </row>
    <row r="98" spans="1:9" s="44" customFormat="1" ht="30.75" customHeight="1">
      <c r="A98" s="176">
        <f>'Commercial Invoice3'!A96</f>
        <v>0</v>
      </c>
      <c r="B98" s="474" t="str">
        <f>'Commercial Invoice3'!B96</f>
        <v/>
      </c>
      <c r="C98" s="474"/>
      <c r="D98" s="474"/>
      <c r="E98" s="443" t="str">
        <f>'Commercial Invoice3'!E96</f>
        <v/>
      </c>
      <c r="F98" s="514"/>
      <c r="G98" s="514"/>
      <c r="H98" s="514"/>
      <c r="I98" s="514"/>
    </row>
    <row r="99" spans="1:9" s="44" customFormat="1" ht="30.75" customHeight="1">
      <c r="A99" s="176">
        <f>'Commercial Invoice3'!A97</f>
        <v>0</v>
      </c>
      <c r="B99" s="474" t="str">
        <f>'Commercial Invoice3'!B97</f>
        <v/>
      </c>
      <c r="C99" s="474"/>
      <c r="D99" s="474"/>
      <c r="E99" s="443" t="str">
        <f>'Commercial Invoice3'!E97</f>
        <v/>
      </c>
      <c r="F99" s="514"/>
      <c r="G99" s="514"/>
      <c r="H99" s="514"/>
      <c r="I99" s="514"/>
    </row>
    <row r="100" spans="1:9" s="44" customFormat="1" ht="30.75" customHeight="1">
      <c r="A100" s="176">
        <f>'Commercial Invoice3'!A98</f>
        <v>0</v>
      </c>
      <c r="B100" s="474" t="str">
        <f>'Commercial Invoice3'!B98</f>
        <v/>
      </c>
      <c r="C100" s="474"/>
      <c r="D100" s="474"/>
      <c r="E100" s="443" t="str">
        <f>'Commercial Invoice3'!E98</f>
        <v/>
      </c>
      <c r="F100" s="514"/>
      <c r="G100" s="514"/>
      <c r="H100" s="514"/>
      <c r="I100" s="514"/>
    </row>
    <row r="101" spans="1:9" s="44" customFormat="1" ht="18.75" customHeight="1">
      <c r="A101" s="178"/>
      <c r="B101" s="515" t="str">
        <f>IF(COUNTIF(辅助!N:N,"&gt;0")&lt;=36,"Total Net Weight（g）:   "&amp;SUM(辅助!N:N)," ")</f>
        <v>Total Net Weight（g）:   3266</v>
      </c>
      <c r="C101" s="515"/>
      <c r="D101" s="515"/>
      <c r="E101" s="179"/>
      <c r="F101" s="516" t="s">
        <v>371</v>
      </c>
      <c r="G101" s="516"/>
      <c r="H101" s="516"/>
      <c r="I101" s="516"/>
    </row>
    <row r="102" spans="1:9" s="44" customFormat="1" ht="17.25" customHeight="1" thickBot="1">
      <c r="A102" s="178"/>
      <c r="B102" s="517" t="str">
        <f>IF(COUNTIF(辅助!N:N,"&gt;0")&lt;=36,"Gross Weight(kg):   "&amp;发货清单!Y2," ")</f>
        <v>Gross Weight(kg):   10</v>
      </c>
      <c r="C102" s="517"/>
      <c r="D102" s="517"/>
      <c r="E102" s="179"/>
      <c r="F102" s="518"/>
      <c r="G102" s="518"/>
      <c r="H102" s="518"/>
      <c r="I102" s="518"/>
    </row>
    <row r="103" spans="1:9" ht="15.75">
      <c r="A103" s="169" t="s">
        <v>31</v>
      </c>
      <c r="B103" s="170"/>
      <c r="C103" s="170"/>
      <c r="D103" s="171"/>
      <c r="E103" s="41"/>
      <c r="F103" s="484"/>
      <c r="G103" s="484"/>
      <c r="H103" s="484"/>
      <c r="I103" s="485"/>
    </row>
    <row r="104" spans="1:9" ht="15" customHeight="1">
      <c r="A104" s="486" t="str">
        <f>IF(LEFT(发货清单!R2,8)="WB000178","I certify that all chemicals in this shipment are subject to TSCA.","I certify that all chemicals in this shipment are not subject to TSCA.")</f>
        <v>I certify that all chemicals in this shipment are not subject to TSCA.</v>
      </c>
      <c r="B104" s="487"/>
      <c r="C104" s="488"/>
      <c r="D104" s="39"/>
      <c r="E104" s="492" t="s">
        <v>73</v>
      </c>
      <c r="F104" s="493"/>
      <c r="G104" s="493"/>
      <c r="H104" s="493"/>
      <c r="I104" s="494"/>
    </row>
    <row r="105" spans="1:9" ht="12" customHeight="1" thickBot="1">
      <c r="A105" s="489"/>
      <c r="B105" s="490"/>
      <c r="C105" s="491"/>
      <c r="D105" s="39"/>
      <c r="E105" s="495"/>
      <c r="F105" s="496"/>
      <c r="G105" s="496"/>
      <c r="H105" s="496"/>
      <c r="I105" s="497"/>
    </row>
    <row r="106" spans="1:9" ht="16.5" customHeight="1" thickBot="1">
      <c r="A106" s="498" t="s">
        <v>526</v>
      </c>
      <c r="B106" s="499"/>
      <c r="C106" s="500"/>
      <c r="D106" s="39"/>
      <c r="E106" s="42" t="s">
        <v>71</v>
      </c>
      <c r="F106" s="39"/>
      <c r="G106" s="507" t="str">
        <f>G70</f>
        <v>2786337676</v>
      </c>
      <c r="H106" s="508"/>
      <c r="I106" s="509"/>
    </row>
    <row r="107" spans="1:9" ht="32.25" customHeight="1" thickBot="1">
      <c r="A107" s="501"/>
      <c r="B107" s="502"/>
      <c r="C107" s="503"/>
      <c r="D107" s="39"/>
      <c r="E107" s="42" t="s">
        <v>34</v>
      </c>
      <c r="F107" s="39"/>
      <c r="G107" s="43"/>
      <c r="H107" s="43"/>
      <c r="I107" s="172"/>
    </row>
    <row r="108" spans="1:9" ht="15" thickBot="1">
      <c r="A108" s="504"/>
      <c r="B108" s="505"/>
      <c r="C108" s="506"/>
      <c r="D108" s="43"/>
      <c r="E108" s="43"/>
      <c r="F108" s="43"/>
      <c r="G108" s="43"/>
      <c r="H108" s="43"/>
      <c r="I108" s="172"/>
    </row>
    <row r="109" spans="1:9">
      <c r="E109" t="s">
        <v>569</v>
      </c>
    </row>
  </sheetData>
  <mergeCells count="141">
    <mergeCell ref="A15:C15"/>
    <mergeCell ref="E15:F15"/>
    <mergeCell ref="H15:I15"/>
    <mergeCell ref="B16:D16"/>
    <mergeCell ref="F16:I16"/>
    <mergeCell ref="B17:D17"/>
    <mergeCell ref="F17:I17"/>
    <mergeCell ref="A2:I2"/>
    <mergeCell ref="A12:B12"/>
    <mergeCell ref="H12:I12"/>
    <mergeCell ref="A13:B13"/>
    <mergeCell ref="H13:I13"/>
    <mergeCell ref="A14:C14"/>
    <mergeCell ref="E14:F14"/>
    <mergeCell ref="H14:I14"/>
    <mergeCell ref="B21:D21"/>
    <mergeCell ref="F21:I21"/>
    <mergeCell ref="B22:D22"/>
    <mergeCell ref="F22:I22"/>
    <mergeCell ref="B23:D23"/>
    <mergeCell ref="F23:I23"/>
    <mergeCell ref="B18:D18"/>
    <mergeCell ref="F18:I18"/>
    <mergeCell ref="B19:D19"/>
    <mergeCell ref="F19:I19"/>
    <mergeCell ref="B20:D20"/>
    <mergeCell ref="F20:I20"/>
    <mergeCell ref="B27:D27"/>
    <mergeCell ref="F27:I27"/>
    <mergeCell ref="B28:D28"/>
    <mergeCell ref="F28:I28"/>
    <mergeCell ref="B29:D29"/>
    <mergeCell ref="F29:I29"/>
    <mergeCell ref="B24:D24"/>
    <mergeCell ref="F24:I24"/>
    <mergeCell ref="B25:D25"/>
    <mergeCell ref="F25:I25"/>
    <mergeCell ref="B26:D26"/>
    <mergeCell ref="F26:I26"/>
    <mergeCell ref="A34:C36"/>
    <mergeCell ref="G34:I34"/>
    <mergeCell ref="A38:I38"/>
    <mergeCell ref="A48:B48"/>
    <mergeCell ref="H48:I48"/>
    <mergeCell ref="A49:B49"/>
    <mergeCell ref="H49:I49"/>
    <mergeCell ref="B30:D30"/>
    <mergeCell ref="F30:I30"/>
    <mergeCell ref="F31:I31"/>
    <mergeCell ref="A32:C33"/>
    <mergeCell ref="E32:I32"/>
    <mergeCell ref="E33:I33"/>
    <mergeCell ref="B52:D52"/>
    <mergeCell ref="F52:I52"/>
    <mergeCell ref="B53:D53"/>
    <mergeCell ref="F53:I53"/>
    <mergeCell ref="B54:D54"/>
    <mergeCell ref="F54:I54"/>
    <mergeCell ref="A50:C50"/>
    <mergeCell ref="E50:F50"/>
    <mergeCell ref="H50:I50"/>
    <mergeCell ref="A51:C51"/>
    <mergeCell ref="E51:F51"/>
    <mergeCell ref="H51:I51"/>
    <mergeCell ref="B58:D58"/>
    <mergeCell ref="F58:I58"/>
    <mergeCell ref="B59:D59"/>
    <mergeCell ref="F59:I59"/>
    <mergeCell ref="B60:D60"/>
    <mergeCell ref="F60:I60"/>
    <mergeCell ref="B55:D55"/>
    <mergeCell ref="F55:I55"/>
    <mergeCell ref="B56:D56"/>
    <mergeCell ref="F56:I56"/>
    <mergeCell ref="B57:D57"/>
    <mergeCell ref="F57:I57"/>
    <mergeCell ref="B64:D64"/>
    <mergeCell ref="F64:I64"/>
    <mergeCell ref="B65:D65"/>
    <mergeCell ref="F65:I65"/>
    <mergeCell ref="B66:D66"/>
    <mergeCell ref="F66:I66"/>
    <mergeCell ref="B61:D61"/>
    <mergeCell ref="F61:I61"/>
    <mergeCell ref="B62:D62"/>
    <mergeCell ref="F62:I62"/>
    <mergeCell ref="B63:D63"/>
    <mergeCell ref="F63:I63"/>
    <mergeCell ref="A74:I74"/>
    <mergeCell ref="A84:B84"/>
    <mergeCell ref="H84:I84"/>
    <mergeCell ref="A85:B85"/>
    <mergeCell ref="H85:I85"/>
    <mergeCell ref="A86:C86"/>
    <mergeCell ref="E86:F86"/>
    <mergeCell ref="H86:I86"/>
    <mergeCell ref="F67:I67"/>
    <mergeCell ref="A68:C69"/>
    <mergeCell ref="E68:I68"/>
    <mergeCell ref="E69:I69"/>
    <mergeCell ref="A70:C72"/>
    <mergeCell ref="G70:I70"/>
    <mergeCell ref="B90:D90"/>
    <mergeCell ref="F90:I90"/>
    <mergeCell ref="B91:D91"/>
    <mergeCell ref="F91:I91"/>
    <mergeCell ref="B92:D92"/>
    <mergeCell ref="F92:I92"/>
    <mergeCell ref="A87:C87"/>
    <mergeCell ref="E87:F87"/>
    <mergeCell ref="H87:I87"/>
    <mergeCell ref="B88:D88"/>
    <mergeCell ref="F88:I88"/>
    <mergeCell ref="B89:D89"/>
    <mergeCell ref="F89:I89"/>
    <mergeCell ref="B96:D96"/>
    <mergeCell ref="F96:I96"/>
    <mergeCell ref="B97:D97"/>
    <mergeCell ref="F97:I97"/>
    <mergeCell ref="B98:D98"/>
    <mergeCell ref="F98:I98"/>
    <mergeCell ref="B93:D93"/>
    <mergeCell ref="F93:I93"/>
    <mergeCell ref="B94:D94"/>
    <mergeCell ref="F94:I94"/>
    <mergeCell ref="B95:D95"/>
    <mergeCell ref="F95:I95"/>
    <mergeCell ref="A106:C108"/>
    <mergeCell ref="G106:I106"/>
    <mergeCell ref="B102:D102"/>
    <mergeCell ref="F102:I102"/>
    <mergeCell ref="F103:I103"/>
    <mergeCell ref="A104:C105"/>
    <mergeCell ref="E104:I104"/>
    <mergeCell ref="E105:I105"/>
    <mergeCell ref="B99:D99"/>
    <mergeCell ref="F99:I99"/>
    <mergeCell ref="B100:D100"/>
    <mergeCell ref="F100:I100"/>
    <mergeCell ref="B101:D101"/>
    <mergeCell ref="F101:I101"/>
  </mergeCells>
  <phoneticPr fontId="1" type="noConversion"/>
  <conditionalFormatting sqref="A17:B28 E17:E28">
    <cfRule type="cellIs" dxfId="108" priority="5" operator="equal">
      <formula>0</formula>
    </cfRule>
  </conditionalFormatting>
  <conditionalFormatting sqref="A53:B64 E53:E64">
    <cfRule type="cellIs" dxfId="107" priority="4" operator="equal">
      <formula>0</formula>
    </cfRule>
  </conditionalFormatting>
  <conditionalFormatting sqref="A89:B100 E89:E100">
    <cfRule type="cellIs" dxfId="106" priority="3" operator="equal">
      <formula>0</formula>
    </cfRule>
  </conditionalFormatting>
  <conditionalFormatting sqref="A38:XFD73">
    <cfRule type="expression" dxfId="105" priority="2">
      <formula>$A$53=0</formula>
    </cfRule>
  </conditionalFormatting>
  <conditionalFormatting sqref="A74:XFD109">
    <cfRule type="expression" dxfId="104" priority="1">
      <formula>$A$89=0</formula>
    </cfRule>
  </conditionalFormatting>
  <dataValidations disablePrompts="1" count="2">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3 E69 E105"/>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2 A68 A104"/>
  </dataValidations>
  <hyperlinks>
    <hyperlink ref="A10" r:id="rId1"/>
    <hyperlink ref="A46" r:id="rId2"/>
    <hyperlink ref="A82" r:id="rId3"/>
  </hyperlinks>
  <pageMargins left="0.19685039370078741" right="0" top="0.51181102362204722" bottom="0.74803149606299213" header="0.31496062992125984" footer="0.31496062992125984"/>
  <pageSetup paperSize="9" scale="99" orientation="portrait" horizontalDpi="4294967295" verticalDpi="4294967295" r:id="rId4"/>
  <rowBreaks count="1" manualBreakCount="1">
    <brk id="37" max="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65"/>
  <sheetViews>
    <sheetView zoomScaleNormal="100" workbookViewId="0">
      <selection activeCell="C36" sqref="C36"/>
    </sheetView>
  </sheetViews>
  <sheetFormatPr defaultRowHeight="14.25"/>
  <cols>
    <col min="1" max="1" width="13.5" style="438" customWidth="1"/>
    <col min="2" max="2" width="24.5" style="438" customWidth="1"/>
    <col min="3" max="3" width="2.125" style="438" customWidth="1"/>
    <col min="4" max="4" width="12.25" style="438" customWidth="1"/>
    <col min="5" max="6" width="14.75" style="438" customWidth="1"/>
    <col min="7" max="10" width="9" style="438"/>
    <col min="11" max="11" width="9" style="438" customWidth="1"/>
    <col min="12" max="16384" width="9" style="438"/>
  </cols>
  <sheetData>
    <row r="1" spans="1:6" ht="22.5">
      <c r="A1" s="604" t="s">
        <v>118</v>
      </c>
      <c r="B1" s="604"/>
      <c r="C1" s="604"/>
      <c r="D1" s="604"/>
      <c r="E1" s="604"/>
      <c r="F1" s="604"/>
    </row>
    <row r="2" spans="1:6" ht="25.5" customHeight="1">
      <c r="A2" s="630" t="s">
        <v>570</v>
      </c>
      <c r="B2" s="630"/>
      <c r="C2" s="630"/>
      <c r="D2" s="630"/>
      <c r="E2" s="630"/>
      <c r="F2" s="630"/>
    </row>
    <row r="3" spans="1:6" ht="48.75" customHeight="1">
      <c r="A3" s="631" t="s">
        <v>571</v>
      </c>
      <c r="B3" s="631"/>
      <c r="C3" s="631"/>
      <c r="D3" s="631"/>
      <c r="E3" s="631"/>
      <c r="F3" s="631"/>
    </row>
    <row r="4" spans="1:6" ht="31.5" customHeight="1">
      <c r="A4" s="631" t="s">
        <v>572</v>
      </c>
      <c r="B4" s="631"/>
      <c r="C4" s="631"/>
      <c r="D4" s="631"/>
      <c r="E4" s="631"/>
      <c r="F4" s="631"/>
    </row>
    <row r="5" spans="1:6">
      <c r="A5" s="318" t="s">
        <v>1448</v>
      </c>
    </row>
    <row r="6" spans="1:6" ht="10.5" customHeight="1">
      <c r="A6" s="319"/>
    </row>
    <row r="7" spans="1:6" ht="21.75" customHeight="1">
      <c r="A7" s="632" t="s">
        <v>574</v>
      </c>
      <c r="B7" s="633"/>
      <c r="C7" s="633"/>
      <c r="D7" s="633"/>
      <c r="E7" s="633"/>
      <c r="F7" s="633"/>
    </row>
    <row r="8" spans="1:6">
      <c r="A8" s="320" t="s">
        <v>119</v>
      </c>
    </row>
    <row r="9" spans="1:6">
      <c r="A9" s="628" t="s">
        <v>575</v>
      </c>
      <c r="B9" s="629"/>
      <c r="C9" s="629"/>
      <c r="D9" s="629"/>
      <c r="E9" s="629"/>
      <c r="F9" s="629"/>
    </row>
    <row r="10" spans="1:6">
      <c r="A10" s="601">
        <f ca="1">TODAY()</f>
        <v>43839</v>
      </c>
      <c r="B10" s="602"/>
      <c r="C10" s="602"/>
      <c r="D10" s="602"/>
      <c r="E10" s="602"/>
      <c r="F10" s="602"/>
    </row>
    <row r="11" spans="1:6" ht="15" customHeight="1"/>
    <row r="12" spans="1:6" ht="22.5">
      <c r="A12" s="603" t="s">
        <v>576</v>
      </c>
      <c r="B12" s="604"/>
      <c r="C12" s="604"/>
      <c r="D12" s="604"/>
      <c r="E12" s="604"/>
      <c r="F12" s="604"/>
    </row>
    <row r="13" spans="1:6" ht="23.25" customHeight="1" thickBot="1">
      <c r="A13" s="321" t="s">
        <v>577</v>
      </c>
    </row>
    <row r="14" spans="1:6" ht="20.25" customHeight="1" thickBot="1">
      <c r="A14" s="322" t="s">
        <v>120</v>
      </c>
      <c r="B14" s="323" t="s">
        <v>578</v>
      </c>
      <c r="C14" s="605"/>
      <c r="D14" s="323" t="s">
        <v>121</v>
      </c>
      <c r="E14" s="608"/>
      <c r="F14" s="609"/>
    </row>
    <row r="15" spans="1:6" ht="20.25" customHeight="1" thickBot="1">
      <c r="A15" s="324" t="s">
        <v>122</v>
      </c>
      <c r="B15" s="325" t="str">
        <f>报关单新1!E23</f>
        <v>十三烷二酸</v>
      </c>
      <c r="C15" s="606"/>
      <c r="D15" s="325" t="s">
        <v>123</v>
      </c>
      <c r="E15" s="610" t="s">
        <v>124</v>
      </c>
      <c r="F15" s="611"/>
    </row>
    <row r="16" spans="1:6" ht="20.25" customHeight="1" thickBot="1">
      <c r="A16" s="439" t="s">
        <v>125</v>
      </c>
      <c r="B16" s="327">
        <f>报关单新1!C23</f>
        <v>2917190090</v>
      </c>
      <c r="C16" s="606"/>
      <c r="D16" s="328" t="s">
        <v>126</v>
      </c>
      <c r="E16" s="610" t="s">
        <v>127</v>
      </c>
      <c r="F16" s="611"/>
    </row>
    <row r="17" spans="1:6" ht="20.25" customHeight="1" thickBot="1">
      <c r="A17" s="324" t="s">
        <v>130</v>
      </c>
      <c r="B17" s="329">
        <f ca="1">'Commercial Invoice3'!G15</f>
        <v>43839</v>
      </c>
      <c r="C17" s="606"/>
      <c r="D17" s="330"/>
      <c r="E17" s="328" t="s">
        <v>128</v>
      </c>
      <c r="F17" s="328" t="s">
        <v>129</v>
      </c>
    </row>
    <row r="18" spans="1:6" ht="20.25" customHeight="1" thickBot="1">
      <c r="A18" s="324" t="s">
        <v>579</v>
      </c>
      <c r="B18" s="331" t="str">
        <f>'Commercial Invoice3'!G33</f>
        <v>2786337676</v>
      </c>
      <c r="C18" s="606"/>
      <c r="D18" s="332" t="s">
        <v>131</v>
      </c>
      <c r="E18" s="328" t="s">
        <v>132</v>
      </c>
      <c r="F18" s="328" t="s">
        <v>133</v>
      </c>
    </row>
    <row r="19" spans="1:6" ht="20.25" customHeight="1" thickBot="1">
      <c r="A19" s="324" t="s">
        <v>136</v>
      </c>
      <c r="B19" s="328" t="s">
        <v>580</v>
      </c>
      <c r="C19" s="606"/>
      <c r="D19" s="612"/>
      <c r="E19" s="328" t="s">
        <v>134</v>
      </c>
      <c r="F19" s="328" t="s">
        <v>135</v>
      </c>
    </row>
    <row r="20" spans="1:6" ht="20.25" customHeight="1" thickBot="1">
      <c r="A20" s="324" t="s">
        <v>581</v>
      </c>
      <c r="B20" s="328" t="str">
        <f>发货清单!Z2&amp;"件"&amp;"(共"&amp;发货清单!Y2&amp;"kg)"</f>
        <v>1件(共10kg)</v>
      </c>
      <c r="C20" s="606"/>
      <c r="D20" s="612"/>
      <c r="E20" s="614" t="s">
        <v>137</v>
      </c>
      <c r="F20" s="615"/>
    </row>
    <row r="21" spans="1:6" ht="20.25" customHeight="1" thickBot="1">
      <c r="A21" s="324" t="s">
        <v>582</v>
      </c>
      <c r="B21" s="328" t="s">
        <v>592</v>
      </c>
      <c r="C21" s="606"/>
      <c r="D21" s="612"/>
      <c r="E21" s="616"/>
      <c r="F21" s="617"/>
    </row>
    <row r="22" spans="1:6" ht="20.25" customHeight="1" thickBot="1">
      <c r="A22" s="324" t="s">
        <v>138</v>
      </c>
      <c r="B22" s="328" t="s">
        <v>583</v>
      </c>
      <c r="C22" s="606"/>
      <c r="D22" s="613"/>
      <c r="E22" s="618"/>
      <c r="F22" s="619"/>
    </row>
    <row r="23" spans="1:6" ht="20.25" customHeight="1" thickBot="1">
      <c r="A23" s="333"/>
      <c r="B23" s="328"/>
      <c r="C23" s="606"/>
      <c r="D23" s="328" t="s">
        <v>139</v>
      </c>
      <c r="E23" s="620" t="s">
        <v>140</v>
      </c>
      <c r="F23" s="621"/>
    </row>
    <row r="24" spans="1:6" ht="78.75" customHeight="1" thickBot="1">
      <c r="A24" s="622" t="s">
        <v>141</v>
      </c>
      <c r="B24" s="623"/>
      <c r="C24" s="606"/>
      <c r="D24" s="622" t="s">
        <v>142</v>
      </c>
      <c r="E24" s="624"/>
      <c r="F24" s="623"/>
    </row>
    <row r="25" spans="1:6">
      <c r="A25" s="625" t="s">
        <v>143</v>
      </c>
      <c r="B25" s="626"/>
      <c r="C25" s="606"/>
      <c r="D25" s="625" t="s">
        <v>143</v>
      </c>
      <c r="E25" s="627"/>
      <c r="F25" s="626"/>
    </row>
    <row r="26" spans="1:6" ht="24" customHeight="1" thickBot="1">
      <c r="A26" s="595"/>
      <c r="B26" s="597"/>
      <c r="C26" s="606"/>
      <c r="D26" s="595"/>
      <c r="E26" s="596"/>
      <c r="F26" s="597"/>
    </row>
    <row r="27" spans="1:6">
      <c r="A27" s="625" t="s">
        <v>584</v>
      </c>
      <c r="B27" s="626"/>
      <c r="C27" s="606"/>
      <c r="D27" s="625" t="s">
        <v>585</v>
      </c>
      <c r="E27" s="627"/>
      <c r="F27" s="626"/>
    </row>
    <row r="28" spans="1:6" ht="10.5" customHeight="1">
      <c r="A28" s="590"/>
      <c r="B28" s="591"/>
      <c r="C28" s="606"/>
      <c r="D28" s="590"/>
      <c r="E28" s="592"/>
      <c r="F28" s="591"/>
    </row>
    <row r="29" spans="1:6" ht="10.5" customHeight="1">
      <c r="A29" s="590"/>
      <c r="B29" s="591"/>
      <c r="C29" s="606"/>
      <c r="D29" s="590"/>
      <c r="E29" s="592"/>
      <c r="F29" s="591"/>
    </row>
    <row r="30" spans="1:6" ht="10.5" customHeight="1">
      <c r="A30" s="590"/>
      <c r="B30" s="591"/>
      <c r="C30" s="606"/>
      <c r="D30" s="590"/>
      <c r="E30" s="592"/>
      <c r="F30" s="591"/>
    </row>
    <row r="31" spans="1:6" ht="10.5" customHeight="1">
      <c r="A31" s="590"/>
      <c r="B31" s="591"/>
      <c r="C31" s="606"/>
      <c r="D31" s="590"/>
      <c r="E31" s="592"/>
      <c r="F31" s="591"/>
    </row>
    <row r="32" spans="1:6" ht="10.5" customHeight="1">
      <c r="A32" s="590"/>
      <c r="B32" s="591"/>
      <c r="C32" s="606"/>
      <c r="D32" s="590"/>
      <c r="E32" s="592"/>
      <c r="F32" s="591"/>
    </row>
    <row r="33" spans="1:6" ht="10.5" customHeight="1">
      <c r="A33" s="590"/>
      <c r="B33" s="591"/>
      <c r="C33" s="606"/>
      <c r="D33" s="590"/>
      <c r="E33" s="592"/>
      <c r="F33" s="591"/>
    </row>
    <row r="34" spans="1:6">
      <c r="A34" s="598" t="s">
        <v>586</v>
      </c>
      <c r="B34" s="599"/>
      <c r="C34" s="606"/>
      <c r="D34" s="598" t="s">
        <v>587</v>
      </c>
      <c r="E34" s="600"/>
      <c r="F34" s="599"/>
    </row>
    <row r="35" spans="1:6">
      <c r="A35" s="334" t="s">
        <v>588</v>
      </c>
      <c r="B35" s="441"/>
      <c r="C35" s="606"/>
      <c r="D35" s="440"/>
      <c r="E35" s="442"/>
      <c r="F35" s="441"/>
    </row>
    <row r="36" spans="1:6" ht="24" customHeight="1" thickBot="1">
      <c r="A36" s="593">
        <v>43619</v>
      </c>
      <c r="B36" s="594"/>
      <c r="C36" s="607"/>
      <c r="D36" s="595" t="s">
        <v>589</v>
      </c>
      <c r="E36" s="596"/>
      <c r="F36" s="597"/>
    </row>
    <row r="37" spans="1:6" ht="15">
      <c r="A37" s="437" t="s">
        <v>590</v>
      </c>
    </row>
    <row r="38" spans="1:6">
      <c r="A38" s="339"/>
    </row>
    <row r="39" spans="1:6" s="334" customFormat="1" ht="17.25" customHeight="1">
      <c r="A39" s="340" t="s">
        <v>144</v>
      </c>
    </row>
    <row r="40" spans="1:6" s="334" customFormat="1" ht="17.25" customHeight="1">
      <c r="A40" s="320"/>
    </row>
    <row r="41" spans="1:6" s="334" customFormat="1" ht="17.25" customHeight="1">
      <c r="A41" s="334" t="s">
        <v>591</v>
      </c>
    </row>
    <row r="42" spans="1:6" s="334" customFormat="1" ht="17.25" customHeight="1">
      <c r="A42" s="334" t="s">
        <v>145</v>
      </c>
    </row>
    <row r="43" spans="1:6" s="334" customFormat="1" ht="17.25" customHeight="1">
      <c r="A43" s="334" t="s">
        <v>146</v>
      </c>
    </row>
    <row r="44" spans="1:6" s="334" customFormat="1" ht="17.25" customHeight="1">
      <c r="A44" s="334" t="s">
        <v>147</v>
      </c>
    </row>
    <row r="45" spans="1:6" s="334" customFormat="1" ht="17.25" customHeight="1">
      <c r="A45" s="334" t="s">
        <v>148</v>
      </c>
    </row>
    <row r="46" spans="1:6" s="334" customFormat="1" ht="17.25" customHeight="1"/>
    <row r="47" spans="1:6" s="334" customFormat="1" ht="17.25" customHeight="1">
      <c r="A47" s="334" t="s">
        <v>149</v>
      </c>
    </row>
    <row r="48" spans="1:6" s="334" customFormat="1" ht="17.25" customHeight="1">
      <c r="A48" s="334" t="s">
        <v>150</v>
      </c>
    </row>
    <row r="49" spans="1:1" s="334" customFormat="1" ht="17.25" customHeight="1">
      <c r="A49" s="334" t="s">
        <v>151</v>
      </c>
    </row>
    <row r="50" spans="1:1" s="334" customFormat="1" ht="17.25" customHeight="1">
      <c r="A50" s="334" t="s">
        <v>152</v>
      </c>
    </row>
    <row r="51" spans="1:1" s="334" customFormat="1" ht="17.25" customHeight="1">
      <c r="A51" s="334" t="s">
        <v>153</v>
      </c>
    </row>
    <row r="52" spans="1:1" s="334" customFormat="1" ht="17.25" customHeight="1">
      <c r="A52" s="334" t="s">
        <v>154</v>
      </c>
    </row>
    <row r="53" spans="1:1" s="334" customFormat="1" ht="17.25" customHeight="1">
      <c r="A53" s="334" t="s">
        <v>155</v>
      </c>
    </row>
    <row r="54" spans="1:1" s="334" customFormat="1" ht="17.25" customHeight="1">
      <c r="A54" s="334" t="s">
        <v>156</v>
      </c>
    </row>
    <row r="55" spans="1:1" s="334" customFormat="1" ht="17.25" customHeight="1"/>
    <row r="56" spans="1:1" s="334" customFormat="1" ht="17.25" customHeight="1">
      <c r="A56" s="334" t="s">
        <v>157</v>
      </c>
    </row>
    <row r="57" spans="1:1" s="334" customFormat="1" ht="17.25" customHeight="1"/>
    <row r="58" spans="1:1" s="334" customFormat="1" ht="17.25" customHeight="1">
      <c r="A58" s="334" t="s">
        <v>158</v>
      </c>
    </row>
    <row r="59" spans="1:1" s="334" customFormat="1" ht="17.25" customHeight="1"/>
    <row r="60" spans="1:1" s="334" customFormat="1" ht="17.25" customHeight="1">
      <c r="A60" s="334" t="s">
        <v>159</v>
      </c>
    </row>
    <row r="61" spans="1:1" s="334" customFormat="1" ht="17.25" customHeight="1"/>
    <row r="62" spans="1:1" s="334" customFormat="1" ht="17.25" customHeight="1">
      <c r="A62" s="334" t="s">
        <v>160</v>
      </c>
    </row>
    <row r="63" spans="1:1" s="334" customFormat="1" ht="17.25" customHeight="1"/>
    <row r="64" spans="1:1" s="334" customFormat="1" ht="17.25" customHeight="1">
      <c r="A64" s="334" t="s">
        <v>161</v>
      </c>
    </row>
    <row r="65" spans="1:1" s="334" customFormat="1" ht="17.25" customHeight="1">
      <c r="A65" s="320"/>
    </row>
  </sheetData>
  <mergeCells count="37">
    <mergeCell ref="A9:F9"/>
    <mergeCell ref="A1:F1"/>
    <mergeCell ref="A2:F2"/>
    <mergeCell ref="A3:F3"/>
    <mergeCell ref="A4:F4"/>
    <mergeCell ref="A7:F7"/>
    <mergeCell ref="A10:F10"/>
    <mergeCell ref="A12:F12"/>
    <mergeCell ref="C14:C36"/>
    <mergeCell ref="E14:F14"/>
    <mergeCell ref="E15:F15"/>
    <mergeCell ref="E16:F16"/>
    <mergeCell ref="D19:D22"/>
    <mergeCell ref="E20:F22"/>
    <mergeCell ref="E23:F23"/>
    <mergeCell ref="A24:B24"/>
    <mergeCell ref="D24:F24"/>
    <mergeCell ref="A25:B26"/>
    <mergeCell ref="D25:F26"/>
    <mergeCell ref="A27:B27"/>
    <mergeCell ref="D27:F27"/>
    <mergeCell ref="A29:B29"/>
    <mergeCell ref="D29:F29"/>
    <mergeCell ref="A30:B30"/>
    <mergeCell ref="D30:F30"/>
    <mergeCell ref="A28:B28"/>
    <mergeCell ref="D28:F28"/>
    <mergeCell ref="A31:B31"/>
    <mergeCell ref="D31:F31"/>
    <mergeCell ref="A36:B36"/>
    <mergeCell ref="D36:F36"/>
    <mergeCell ref="A32:B32"/>
    <mergeCell ref="D32:F32"/>
    <mergeCell ref="A33:B33"/>
    <mergeCell ref="D33:F33"/>
    <mergeCell ref="A34:B34"/>
    <mergeCell ref="D34:F34"/>
  </mergeCells>
  <phoneticPr fontId="1" type="noConversion"/>
  <pageMargins left="0.7" right="0.7" top="0.75" bottom="0.75" header="0.3" footer="0.3"/>
  <pageSetup paperSize="9" scale="98"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F65"/>
  <sheetViews>
    <sheetView zoomScaleNormal="100" workbookViewId="0">
      <selection activeCell="K17" sqref="K17"/>
    </sheetView>
  </sheetViews>
  <sheetFormatPr defaultRowHeight="14.25"/>
  <cols>
    <col min="1" max="1" width="13.5" style="438" customWidth="1"/>
    <col min="2" max="2" width="24.5" style="438" customWidth="1"/>
    <col min="3" max="3" width="2.125" style="438" customWidth="1"/>
    <col min="4" max="4" width="12.25" style="438" customWidth="1"/>
    <col min="5" max="6" width="14.75" style="438" customWidth="1"/>
    <col min="7" max="10" width="9" style="438"/>
    <col min="11" max="11" width="9" style="438" customWidth="1"/>
    <col min="12" max="16384" width="9" style="438"/>
  </cols>
  <sheetData>
    <row r="1" spans="1:6" ht="22.5">
      <c r="A1" s="604" t="s">
        <v>118</v>
      </c>
      <c r="B1" s="604"/>
      <c r="C1" s="604"/>
      <c r="D1" s="604"/>
      <c r="E1" s="604"/>
      <c r="F1" s="604"/>
    </row>
    <row r="2" spans="1:6" ht="25.5" customHeight="1">
      <c r="A2" s="630" t="s">
        <v>570</v>
      </c>
      <c r="B2" s="630"/>
      <c r="C2" s="630"/>
      <c r="D2" s="630"/>
      <c r="E2" s="630"/>
      <c r="F2" s="630"/>
    </row>
    <row r="3" spans="1:6" ht="48.75" customHeight="1">
      <c r="A3" s="631" t="s">
        <v>571</v>
      </c>
      <c r="B3" s="631"/>
      <c r="C3" s="631"/>
      <c r="D3" s="631"/>
      <c r="E3" s="631"/>
      <c r="F3" s="631"/>
    </row>
    <row r="4" spans="1:6" ht="31.5" customHeight="1">
      <c r="A4" s="631" t="s">
        <v>572</v>
      </c>
      <c r="B4" s="631"/>
      <c r="C4" s="631"/>
      <c r="D4" s="631"/>
      <c r="E4" s="631"/>
      <c r="F4" s="631"/>
    </row>
    <row r="5" spans="1:6">
      <c r="A5" s="318" t="s">
        <v>573</v>
      </c>
    </row>
    <row r="6" spans="1:6" ht="10.5" customHeight="1">
      <c r="A6" s="319"/>
    </row>
    <row r="7" spans="1:6" ht="21.75" customHeight="1">
      <c r="A7" s="632" t="s">
        <v>574</v>
      </c>
      <c r="B7" s="633"/>
      <c r="C7" s="633"/>
      <c r="D7" s="633"/>
      <c r="E7" s="633"/>
      <c r="F7" s="633"/>
    </row>
    <row r="8" spans="1:6">
      <c r="A8" s="320" t="s">
        <v>119</v>
      </c>
    </row>
    <row r="9" spans="1:6">
      <c r="A9" s="628" t="s">
        <v>575</v>
      </c>
      <c r="B9" s="629"/>
      <c r="C9" s="629"/>
      <c r="D9" s="629"/>
      <c r="E9" s="629"/>
      <c r="F9" s="629"/>
    </row>
    <row r="10" spans="1:6">
      <c r="A10" s="601">
        <f ca="1">TODAY()</f>
        <v>43839</v>
      </c>
      <c r="B10" s="602"/>
      <c r="C10" s="602"/>
      <c r="D10" s="602"/>
      <c r="E10" s="602"/>
      <c r="F10" s="602"/>
    </row>
    <row r="11" spans="1:6" ht="15" customHeight="1"/>
    <row r="12" spans="1:6" ht="22.5">
      <c r="A12" s="603" t="s">
        <v>576</v>
      </c>
      <c r="B12" s="604"/>
      <c r="C12" s="604"/>
      <c r="D12" s="604"/>
      <c r="E12" s="604"/>
      <c r="F12" s="604"/>
    </row>
    <row r="13" spans="1:6" ht="23.25" customHeight="1" thickBot="1">
      <c r="A13" s="321" t="s">
        <v>577</v>
      </c>
    </row>
    <row r="14" spans="1:6" ht="20.25" customHeight="1" thickBot="1">
      <c r="A14" s="322" t="s">
        <v>120</v>
      </c>
      <c r="B14" s="323" t="s">
        <v>578</v>
      </c>
      <c r="C14" s="605"/>
      <c r="D14" s="323" t="s">
        <v>121</v>
      </c>
      <c r="E14" s="608"/>
      <c r="F14" s="609"/>
    </row>
    <row r="15" spans="1:6" ht="20.25" customHeight="1" thickBot="1">
      <c r="A15" s="324" t="s">
        <v>122</v>
      </c>
      <c r="B15" s="325" t="str">
        <f>报关单新1!E23</f>
        <v>十三烷二酸</v>
      </c>
      <c r="C15" s="606"/>
      <c r="D15" s="325" t="s">
        <v>123</v>
      </c>
      <c r="E15" s="610" t="s">
        <v>124</v>
      </c>
      <c r="F15" s="611"/>
    </row>
    <row r="16" spans="1:6" ht="20.25" customHeight="1" thickBot="1">
      <c r="A16" s="439" t="s">
        <v>125</v>
      </c>
      <c r="B16" s="327">
        <f>报关单新1!C23</f>
        <v>2917190090</v>
      </c>
      <c r="C16" s="606"/>
      <c r="D16" s="328" t="s">
        <v>126</v>
      </c>
      <c r="E16" s="610" t="s">
        <v>127</v>
      </c>
      <c r="F16" s="611"/>
    </row>
    <row r="17" spans="1:6" ht="20.25" customHeight="1" thickBot="1">
      <c r="A17" s="324" t="s">
        <v>130</v>
      </c>
      <c r="B17" s="329">
        <f ca="1">'Commercial Invoice3'!G15</f>
        <v>43839</v>
      </c>
      <c r="C17" s="606"/>
      <c r="D17" s="330"/>
      <c r="E17" s="328" t="s">
        <v>128</v>
      </c>
      <c r="F17" s="328" t="s">
        <v>129</v>
      </c>
    </row>
    <row r="18" spans="1:6" ht="20.25" customHeight="1" thickBot="1">
      <c r="A18" s="324" t="s">
        <v>579</v>
      </c>
      <c r="B18" s="331" t="str">
        <f>'Commercial Invoice3'!G33</f>
        <v>2786337676</v>
      </c>
      <c r="C18" s="606"/>
      <c r="D18" s="332" t="s">
        <v>131</v>
      </c>
      <c r="E18" s="328" t="s">
        <v>132</v>
      </c>
      <c r="F18" s="328" t="s">
        <v>133</v>
      </c>
    </row>
    <row r="19" spans="1:6" ht="20.25" customHeight="1" thickBot="1">
      <c r="A19" s="324" t="s">
        <v>136</v>
      </c>
      <c r="B19" s="328" t="s">
        <v>580</v>
      </c>
      <c r="C19" s="606"/>
      <c r="D19" s="612"/>
      <c r="E19" s="328" t="s">
        <v>134</v>
      </c>
      <c r="F19" s="328" t="s">
        <v>135</v>
      </c>
    </row>
    <row r="20" spans="1:6" ht="20.25" customHeight="1" thickBot="1">
      <c r="A20" s="324" t="s">
        <v>581</v>
      </c>
      <c r="B20" s="328" t="str">
        <f>发货清单!Z2&amp;"件"&amp;"(共"&amp;发货清单!Y2&amp;"kg)"</f>
        <v>1件(共10kg)</v>
      </c>
      <c r="C20" s="606"/>
      <c r="D20" s="612"/>
      <c r="E20" s="614" t="s">
        <v>137</v>
      </c>
      <c r="F20" s="615"/>
    </row>
    <row r="21" spans="1:6" ht="20.25" customHeight="1" thickBot="1">
      <c r="A21" s="324" t="s">
        <v>582</v>
      </c>
      <c r="B21" s="328" t="s">
        <v>592</v>
      </c>
      <c r="C21" s="606"/>
      <c r="D21" s="612"/>
      <c r="E21" s="616"/>
      <c r="F21" s="617"/>
    </row>
    <row r="22" spans="1:6" ht="20.25" customHeight="1" thickBot="1">
      <c r="A22" s="324" t="s">
        <v>138</v>
      </c>
      <c r="B22" s="328" t="s">
        <v>583</v>
      </c>
      <c r="C22" s="606"/>
      <c r="D22" s="613"/>
      <c r="E22" s="618"/>
      <c r="F22" s="619"/>
    </row>
    <row r="23" spans="1:6" ht="20.25" customHeight="1" thickBot="1">
      <c r="A23" s="333"/>
      <c r="B23" s="328"/>
      <c r="C23" s="606"/>
      <c r="D23" s="328" t="s">
        <v>139</v>
      </c>
      <c r="E23" s="620" t="s">
        <v>140</v>
      </c>
      <c r="F23" s="621"/>
    </row>
    <row r="24" spans="1:6" ht="78.75" customHeight="1" thickBot="1">
      <c r="A24" s="622" t="s">
        <v>141</v>
      </c>
      <c r="B24" s="623"/>
      <c r="C24" s="606"/>
      <c r="D24" s="622" t="s">
        <v>142</v>
      </c>
      <c r="E24" s="624"/>
      <c r="F24" s="623"/>
    </row>
    <row r="25" spans="1:6">
      <c r="A25" s="625" t="s">
        <v>143</v>
      </c>
      <c r="B25" s="626"/>
      <c r="C25" s="606"/>
      <c r="D25" s="625" t="s">
        <v>143</v>
      </c>
      <c r="E25" s="627"/>
      <c r="F25" s="626"/>
    </row>
    <row r="26" spans="1:6" ht="24" customHeight="1" thickBot="1">
      <c r="A26" s="595"/>
      <c r="B26" s="597"/>
      <c r="C26" s="606"/>
      <c r="D26" s="595"/>
      <c r="E26" s="596"/>
      <c r="F26" s="597"/>
    </row>
    <row r="27" spans="1:6">
      <c r="A27" s="625" t="s">
        <v>584</v>
      </c>
      <c r="B27" s="626"/>
      <c r="C27" s="606"/>
      <c r="D27" s="625" t="s">
        <v>585</v>
      </c>
      <c r="E27" s="627"/>
      <c r="F27" s="626"/>
    </row>
    <row r="28" spans="1:6" ht="10.5" customHeight="1">
      <c r="A28" s="590"/>
      <c r="B28" s="591"/>
      <c r="C28" s="606"/>
      <c r="D28" s="590"/>
      <c r="E28" s="592"/>
      <c r="F28" s="591"/>
    </row>
    <row r="29" spans="1:6" ht="10.5" customHeight="1">
      <c r="A29" s="590"/>
      <c r="B29" s="591"/>
      <c r="C29" s="606"/>
      <c r="D29" s="590"/>
      <c r="E29" s="592"/>
      <c r="F29" s="591"/>
    </row>
    <row r="30" spans="1:6" ht="10.5" customHeight="1">
      <c r="A30" s="590"/>
      <c r="B30" s="591"/>
      <c r="C30" s="606"/>
      <c r="D30" s="590"/>
      <c r="E30" s="592"/>
      <c r="F30" s="591"/>
    </row>
    <row r="31" spans="1:6" ht="10.5" customHeight="1">
      <c r="A31" s="590"/>
      <c r="B31" s="591"/>
      <c r="C31" s="606"/>
      <c r="D31" s="590"/>
      <c r="E31" s="592"/>
      <c r="F31" s="591"/>
    </row>
    <row r="32" spans="1:6" ht="10.5" customHeight="1">
      <c r="A32" s="590"/>
      <c r="B32" s="591"/>
      <c r="C32" s="606"/>
      <c r="D32" s="590"/>
      <c r="E32" s="592"/>
      <c r="F32" s="591"/>
    </row>
    <row r="33" spans="1:6" ht="10.5" customHeight="1">
      <c r="A33" s="590"/>
      <c r="B33" s="591"/>
      <c r="C33" s="606"/>
      <c r="D33" s="590"/>
      <c r="E33" s="592"/>
      <c r="F33" s="591"/>
    </row>
    <row r="34" spans="1:6">
      <c r="A34" s="598" t="s">
        <v>586</v>
      </c>
      <c r="B34" s="599"/>
      <c r="C34" s="606"/>
      <c r="D34" s="598" t="s">
        <v>587</v>
      </c>
      <c r="E34" s="600"/>
      <c r="F34" s="599"/>
    </row>
    <row r="35" spans="1:6">
      <c r="A35" s="334" t="s">
        <v>588</v>
      </c>
      <c r="B35" s="441"/>
      <c r="C35" s="606"/>
      <c r="D35" s="440"/>
      <c r="E35" s="442"/>
      <c r="F35" s="441"/>
    </row>
    <row r="36" spans="1:6" ht="24" customHeight="1" thickBot="1">
      <c r="A36" s="593">
        <v>43619</v>
      </c>
      <c r="B36" s="594"/>
      <c r="C36" s="607"/>
      <c r="D36" s="595" t="s">
        <v>589</v>
      </c>
      <c r="E36" s="596"/>
      <c r="F36" s="597"/>
    </row>
    <row r="37" spans="1:6" ht="15">
      <c r="A37" s="437" t="s">
        <v>590</v>
      </c>
    </row>
    <row r="38" spans="1:6">
      <c r="A38" s="339"/>
    </row>
    <row r="39" spans="1:6" s="334" customFormat="1" ht="17.25" customHeight="1">
      <c r="A39" s="340" t="s">
        <v>144</v>
      </c>
    </row>
    <row r="40" spans="1:6" s="334" customFormat="1" ht="17.25" customHeight="1">
      <c r="A40" s="320"/>
    </row>
    <row r="41" spans="1:6" s="334" customFormat="1" ht="17.25" customHeight="1">
      <c r="A41" s="334" t="s">
        <v>591</v>
      </c>
    </row>
    <row r="42" spans="1:6" s="334" customFormat="1" ht="17.25" customHeight="1">
      <c r="A42" s="334" t="s">
        <v>145</v>
      </c>
    </row>
    <row r="43" spans="1:6" s="334" customFormat="1" ht="17.25" customHeight="1">
      <c r="A43" s="334" t="s">
        <v>146</v>
      </c>
    </row>
    <row r="44" spans="1:6" s="334" customFormat="1" ht="17.25" customHeight="1">
      <c r="A44" s="334" t="s">
        <v>147</v>
      </c>
    </row>
    <row r="45" spans="1:6" s="334" customFormat="1" ht="17.25" customHeight="1">
      <c r="A45" s="334" t="s">
        <v>148</v>
      </c>
    </row>
    <row r="46" spans="1:6" s="334" customFormat="1" ht="17.25" customHeight="1"/>
    <row r="47" spans="1:6" s="334" customFormat="1" ht="17.25" customHeight="1">
      <c r="A47" s="334" t="s">
        <v>149</v>
      </c>
    </row>
    <row r="48" spans="1:6" s="334" customFormat="1" ht="17.25" customHeight="1">
      <c r="A48" s="334" t="s">
        <v>150</v>
      </c>
    </row>
    <row r="49" spans="1:1" s="334" customFormat="1" ht="17.25" customHeight="1">
      <c r="A49" s="334" t="s">
        <v>151</v>
      </c>
    </row>
    <row r="50" spans="1:1" s="334" customFormat="1" ht="17.25" customHeight="1">
      <c r="A50" s="334" t="s">
        <v>152</v>
      </c>
    </row>
    <row r="51" spans="1:1" s="334" customFormat="1" ht="17.25" customHeight="1">
      <c r="A51" s="334" t="s">
        <v>153</v>
      </c>
    </row>
    <row r="52" spans="1:1" s="334" customFormat="1" ht="17.25" customHeight="1">
      <c r="A52" s="334" t="s">
        <v>154</v>
      </c>
    </row>
    <row r="53" spans="1:1" s="334" customFormat="1" ht="17.25" customHeight="1">
      <c r="A53" s="334" t="s">
        <v>155</v>
      </c>
    </row>
    <row r="54" spans="1:1" s="334" customFormat="1" ht="17.25" customHeight="1">
      <c r="A54" s="334" t="s">
        <v>156</v>
      </c>
    </row>
    <row r="55" spans="1:1" s="334" customFormat="1" ht="17.25" customHeight="1"/>
    <row r="56" spans="1:1" s="334" customFormat="1" ht="17.25" customHeight="1">
      <c r="A56" s="334" t="s">
        <v>157</v>
      </c>
    </row>
    <row r="57" spans="1:1" s="334" customFormat="1" ht="17.25" customHeight="1"/>
    <row r="58" spans="1:1" s="334" customFormat="1" ht="17.25" customHeight="1">
      <c r="A58" s="334" t="s">
        <v>158</v>
      </c>
    </row>
    <row r="59" spans="1:1" s="334" customFormat="1" ht="17.25" customHeight="1"/>
    <row r="60" spans="1:1" s="334" customFormat="1" ht="17.25" customHeight="1">
      <c r="A60" s="334" t="s">
        <v>159</v>
      </c>
    </row>
    <row r="61" spans="1:1" s="334" customFormat="1" ht="17.25" customHeight="1"/>
    <row r="62" spans="1:1" s="334" customFormat="1" ht="17.25" customHeight="1">
      <c r="A62" s="334" t="s">
        <v>160</v>
      </c>
    </row>
    <row r="63" spans="1:1" s="334" customFormat="1" ht="17.25" customHeight="1"/>
    <row r="64" spans="1:1" s="334" customFormat="1" ht="17.25" customHeight="1">
      <c r="A64" s="334" t="s">
        <v>161</v>
      </c>
    </row>
    <row r="65" spans="1:1" s="334" customFormat="1" ht="17.25" customHeight="1">
      <c r="A65" s="320"/>
    </row>
  </sheetData>
  <mergeCells count="37">
    <mergeCell ref="A9:F9"/>
    <mergeCell ref="A1:F1"/>
    <mergeCell ref="A2:F2"/>
    <mergeCell ref="A3:F3"/>
    <mergeCell ref="A4:F4"/>
    <mergeCell ref="A7:F7"/>
    <mergeCell ref="A10:F10"/>
    <mergeCell ref="A12:F12"/>
    <mergeCell ref="C14:C36"/>
    <mergeCell ref="E14:F14"/>
    <mergeCell ref="E15:F15"/>
    <mergeCell ref="E16:F16"/>
    <mergeCell ref="D19:D22"/>
    <mergeCell ref="E20:F22"/>
    <mergeCell ref="E23:F23"/>
    <mergeCell ref="A24:B24"/>
    <mergeCell ref="D24:F24"/>
    <mergeCell ref="A25:B26"/>
    <mergeCell ref="D25:F26"/>
    <mergeCell ref="A27:B27"/>
    <mergeCell ref="D27:F27"/>
    <mergeCell ref="A29:B29"/>
    <mergeCell ref="D29:F29"/>
    <mergeCell ref="A30:B30"/>
    <mergeCell ref="D30:F30"/>
    <mergeCell ref="A28:B28"/>
    <mergeCell ref="D28:F28"/>
    <mergeCell ref="A31:B31"/>
    <mergeCell ref="D31:F31"/>
    <mergeCell ref="A36:B36"/>
    <mergeCell ref="D36:F36"/>
    <mergeCell ref="A32:B32"/>
    <mergeCell ref="D32:F32"/>
    <mergeCell ref="A33:B33"/>
    <mergeCell ref="D33:F33"/>
    <mergeCell ref="A34:B34"/>
    <mergeCell ref="D34:F34"/>
  </mergeCells>
  <phoneticPr fontId="1" type="noConversion"/>
  <pageMargins left="0.7" right="0.7" top="0.75" bottom="0.75" header="0.3" footer="0.3"/>
  <pageSetup paperSize="9" scale="98"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65"/>
  <sheetViews>
    <sheetView zoomScaleNormal="100" workbookViewId="0">
      <selection activeCell="I24" sqref="I24"/>
    </sheetView>
  </sheetViews>
  <sheetFormatPr defaultRowHeight="14.25"/>
  <cols>
    <col min="1" max="1" width="13.5" style="317" customWidth="1"/>
    <col min="2" max="2" width="24.5" style="317" customWidth="1"/>
    <col min="3" max="3" width="2.125" style="317" customWidth="1"/>
    <col min="4" max="4" width="12.25" style="317" customWidth="1"/>
    <col min="5" max="6" width="14.75" style="317" customWidth="1"/>
    <col min="7" max="10" width="9" style="317"/>
    <col min="11" max="11" width="9" style="317" customWidth="1"/>
    <col min="12" max="16384" width="9" style="317"/>
  </cols>
  <sheetData>
    <row r="1" spans="1:6" ht="22.5">
      <c r="A1" s="604" t="s">
        <v>118</v>
      </c>
      <c r="B1" s="604"/>
      <c r="C1" s="604"/>
      <c r="D1" s="604"/>
      <c r="E1" s="604"/>
      <c r="F1" s="604"/>
    </row>
    <row r="2" spans="1:6" ht="25.5" customHeight="1">
      <c r="A2" s="630" t="s">
        <v>570</v>
      </c>
      <c r="B2" s="630"/>
      <c r="C2" s="630"/>
      <c r="D2" s="630"/>
      <c r="E2" s="630"/>
      <c r="F2" s="630"/>
    </row>
    <row r="3" spans="1:6" ht="48.75" customHeight="1">
      <c r="A3" s="631" t="s">
        <v>571</v>
      </c>
      <c r="B3" s="631"/>
      <c r="C3" s="631"/>
      <c r="D3" s="631"/>
      <c r="E3" s="631"/>
      <c r="F3" s="631"/>
    </row>
    <row r="4" spans="1:6" ht="31.5" customHeight="1">
      <c r="A4" s="631" t="s">
        <v>572</v>
      </c>
      <c r="B4" s="631"/>
      <c r="C4" s="631"/>
      <c r="D4" s="631"/>
      <c r="E4" s="631"/>
      <c r="F4" s="631"/>
    </row>
    <row r="5" spans="1:6">
      <c r="A5" s="318" t="s">
        <v>573</v>
      </c>
    </row>
    <row r="6" spans="1:6" ht="10.5" customHeight="1">
      <c r="A6" s="319"/>
    </row>
    <row r="7" spans="1:6" ht="21.75" customHeight="1">
      <c r="A7" s="632" t="s">
        <v>574</v>
      </c>
      <c r="B7" s="633"/>
      <c r="C7" s="633"/>
      <c r="D7" s="633"/>
      <c r="E7" s="633"/>
      <c r="F7" s="633"/>
    </row>
    <row r="8" spans="1:6">
      <c r="A8" s="320" t="s">
        <v>119</v>
      </c>
    </row>
    <row r="9" spans="1:6">
      <c r="A9" s="628" t="s">
        <v>575</v>
      </c>
      <c r="B9" s="629"/>
      <c r="C9" s="629"/>
      <c r="D9" s="629"/>
      <c r="E9" s="629"/>
      <c r="F9" s="629"/>
    </row>
    <row r="10" spans="1:6">
      <c r="A10" s="601">
        <f ca="1">TODAY()</f>
        <v>43839</v>
      </c>
      <c r="B10" s="602"/>
      <c r="C10" s="602"/>
      <c r="D10" s="602"/>
      <c r="E10" s="602"/>
      <c r="F10" s="602"/>
    </row>
    <row r="11" spans="1:6" ht="15" customHeight="1"/>
    <row r="12" spans="1:6" ht="22.5">
      <c r="A12" s="603" t="s">
        <v>576</v>
      </c>
      <c r="B12" s="604"/>
      <c r="C12" s="604"/>
      <c r="D12" s="604"/>
      <c r="E12" s="604"/>
      <c r="F12" s="604"/>
    </row>
    <row r="13" spans="1:6" ht="23.25" customHeight="1" thickBot="1">
      <c r="A13" s="321" t="s">
        <v>577</v>
      </c>
    </row>
    <row r="14" spans="1:6" ht="20.25" customHeight="1" thickBot="1">
      <c r="A14" s="322" t="s">
        <v>120</v>
      </c>
      <c r="B14" s="323" t="s">
        <v>578</v>
      </c>
      <c r="C14" s="605"/>
      <c r="D14" s="323" t="s">
        <v>121</v>
      </c>
      <c r="E14" s="608"/>
      <c r="F14" s="609"/>
    </row>
    <row r="15" spans="1:6" ht="20.25" customHeight="1" thickBot="1">
      <c r="A15" s="324" t="s">
        <v>122</v>
      </c>
      <c r="B15" s="325" t="str">
        <f>报关单新1!E23</f>
        <v>十三烷二酸</v>
      </c>
      <c r="C15" s="606"/>
      <c r="D15" s="325" t="s">
        <v>123</v>
      </c>
      <c r="E15" s="610" t="s">
        <v>124</v>
      </c>
      <c r="F15" s="611"/>
    </row>
    <row r="16" spans="1:6" ht="20.25" customHeight="1" thickBot="1">
      <c r="A16" s="326" t="s">
        <v>125</v>
      </c>
      <c r="B16" s="327">
        <f>报关单新1!C23</f>
        <v>2917190090</v>
      </c>
      <c r="C16" s="606"/>
      <c r="D16" s="328" t="s">
        <v>126</v>
      </c>
      <c r="E16" s="610" t="s">
        <v>127</v>
      </c>
      <c r="F16" s="611"/>
    </row>
    <row r="17" spans="1:6" ht="20.25" customHeight="1" thickBot="1">
      <c r="A17" s="324" t="s">
        <v>130</v>
      </c>
      <c r="B17" s="329">
        <f ca="1">'Commercial Invoice3'!G15</f>
        <v>43839</v>
      </c>
      <c r="C17" s="606"/>
      <c r="D17" s="330"/>
      <c r="E17" s="328" t="s">
        <v>128</v>
      </c>
      <c r="F17" s="328" t="s">
        <v>129</v>
      </c>
    </row>
    <row r="18" spans="1:6" ht="20.25" customHeight="1" thickBot="1">
      <c r="A18" s="324" t="s">
        <v>579</v>
      </c>
      <c r="B18" s="331" t="str">
        <f>'Commercial Invoice3'!G33</f>
        <v>2786337676</v>
      </c>
      <c r="C18" s="606"/>
      <c r="D18" s="332" t="s">
        <v>131</v>
      </c>
      <c r="E18" s="328" t="s">
        <v>132</v>
      </c>
      <c r="F18" s="328" t="s">
        <v>133</v>
      </c>
    </row>
    <row r="19" spans="1:6" ht="20.25" customHeight="1" thickBot="1">
      <c r="A19" s="324" t="s">
        <v>136</v>
      </c>
      <c r="B19" s="328" t="s">
        <v>580</v>
      </c>
      <c r="C19" s="606"/>
      <c r="D19" s="612"/>
      <c r="E19" s="328" t="s">
        <v>134</v>
      </c>
      <c r="F19" s="328" t="s">
        <v>135</v>
      </c>
    </row>
    <row r="20" spans="1:6" ht="20.25" customHeight="1" thickBot="1">
      <c r="A20" s="324" t="s">
        <v>581</v>
      </c>
      <c r="B20" s="328" t="str">
        <f>发货清单!Z2&amp;"件"&amp;"(共"&amp;发货清单!Y2&amp;"kg)"</f>
        <v>1件(共10kg)</v>
      </c>
      <c r="C20" s="606"/>
      <c r="D20" s="612"/>
      <c r="E20" s="614" t="s">
        <v>137</v>
      </c>
      <c r="F20" s="615"/>
    </row>
    <row r="21" spans="1:6" ht="20.25" customHeight="1" thickBot="1">
      <c r="A21" s="324" t="s">
        <v>582</v>
      </c>
      <c r="B21" s="328" t="s">
        <v>592</v>
      </c>
      <c r="C21" s="606"/>
      <c r="D21" s="612"/>
      <c r="E21" s="616"/>
      <c r="F21" s="617"/>
    </row>
    <row r="22" spans="1:6" ht="20.25" customHeight="1" thickBot="1">
      <c r="A22" s="324" t="s">
        <v>138</v>
      </c>
      <c r="B22" s="328" t="s">
        <v>583</v>
      </c>
      <c r="C22" s="606"/>
      <c r="D22" s="613"/>
      <c r="E22" s="618"/>
      <c r="F22" s="619"/>
    </row>
    <row r="23" spans="1:6" ht="20.25" customHeight="1" thickBot="1">
      <c r="A23" s="333"/>
      <c r="B23" s="328"/>
      <c r="C23" s="606"/>
      <c r="D23" s="328" t="s">
        <v>139</v>
      </c>
      <c r="E23" s="620" t="s">
        <v>140</v>
      </c>
      <c r="F23" s="621"/>
    </row>
    <row r="24" spans="1:6" ht="78.75" customHeight="1" thickBot="1">
      <c r="A24" s="622" t="s">
        <v>141</v>
      </c>
      <c r="B24" s="623"/>
      <c r="C24" s="606"/>
      <c r="D24" s="622" t="s">
        <v>142</v>
      </c>
      <c r="E24" s="624"/>
      <c r="F24" s="623"/>
    </row>
    <row r="25" spans="1:6">
      <c r="A25" s="625" t="s">
        <v>143</v>
      </c>
      <c r="B25" s="626"/>
      <c r="C25" s="606"/>
      <c r="D25" s="625" t="s">
        <v>143</v>
      </c>
      <c r="E25" s="627"/>
      <c r="F25" s="626"/>
    </row>
    <row r="26" spans="1:6" ht="24" customHeight="1" thickBot="1">
      <c r="A26" s="595"/>
      <c r="B26" s="597"/>
      <c r="C26" s="606"/>
      <c r="D26" s="595"/>
      <c r="E26" s="596"/>
      <c r="F26" s="597"/>
    </row>
    <row r="27" spans="1:6">
      <c r="A27" s="625" t="s">
        <v>584</v>
      </c>
      <c r="B27" s="626"/>
      <c r="C27" s="606"/>
      <c r="D27" s="625" t="s">
        <v>585</v>
      </c>
      <c r="E27" s="627"/>
      <c r="F27" s="626"/>
    </row>
    <row r="28" spans="1:6" ht="10.5" customHeight="1">
      <c r="A28" s="590"/>
      <c r="B28" s="591"/>
      <c r="C28" s="606"/>
      <c r="D28" s="590"/>
      <c r="E28" s="592"/>
      <c r="F28" s="591"/>
    </row>
    <row r="29" spans="1:6" ht="10.5" customHeight="1">
      <c r="A29" s="590"/>
      <c r="B29" s="591"/>
      <c r="C29" s="606"/>
      <c r="D29" s="590"/>
      <c r="E29" s="592"/>
      <c r="F29" s="591"/>
    </row>
    <row r="30" spans="1:6" ht="10.5" customHeight="1">
      <c r="A30" s="590"/>
      <c r="B30" s="591"/>
      <c r="C30" s="606"/>
      <c r="D30" s="590"/>
      <c r="E30" s="592"/>
      <c r="F30" s="591"/>
    </row>
    <row r="31" spans="1:6" ht="10.5" customHeight="1">
      <c r="A31" s="590"/>
      <c r="B31" s="591"/>
      <c r="C31" s="606"/>
      <c r="D31" s="590"/>
      <c r="E31" s="592"/>
      <c r="F31" s="591"/>
    </row>
    <row r="32" spans="1:6" ht="10.5" customHeight="1">
      <c r="A32" s="590"/>
      <c r="B32" s="591"/>
      <c r="C32" s="606"/>
      <c r="D32" s="590"/>
      <c r="E32" s="592"/>
      <c r="F32" s="591"/>
    </row>
    <row r="33" spans="1:6" ht="10.5" customHeight="1">
      <c r="A33" s="590"/>
      <c r="B33" s="591"/>
      <c r="C33" s="606"/>
      <c r="D33" s="590"/>
      <c r="E33" s="592"/>
      <c r="F33" s="591"/>
    </row>
    <row r="34" spans="1:6">
      <c r="A34" s="598" t="s">
        <v>586</v>
      </c>
      <c r="B34" s="599"/>
      <c r="C34" s="606"/>
      <c r="D34" s="598" t="s">
        <v>587</v>
      </c>
      <c r="E34" s="600"/>
      <c r="F34" s="599"/>
    </row>
    <row r="35" spans="1:6">
      <c r="A35" s="334" t="s">
        <v>588</v>
      </c>
      <c r="B35" s="335"/>
      <c r="C35" s="606"/>
      <c r="D35" s="336"/>
      <c r="E35" s="337"/>
      <c r="F35" s="335"/>
    </row>
    <row r="36" spans="1:6" ht="24" customHeight="1" thickBot="1">
      <c r="A36" s="593">
        <v>43619</v>
      </c>
      <c r="B36" s="594"/>
      <c r="C36" s="607"/>
      <c r="D36" s="595" t="s">
        <v>589</v>
      </c>
      <c r="E36" s="596"/>
      <c r="F36" s="597"/>
    </row>
    <row r="37" spans="1:6" ht="15">
      <c r="A37" s="338" t="s">
        <v>590</v>
      </c>
    </row>
    <row r="38" spans="1:6">
      <c r="A38" s="339"/>
    </row>
    <row r="39" spans="1:6" s="334" customFormat="1" ht="17.25" customHeight="1">
      <c r="A39" s="340" t="s">
        <v>144</v>
      </c>
    </row>
    <row r="40" spans="1:6" s="334" customFormat="1" ht="17.25" customHeight="1">
      <c r="A40" s="320"/>
    </row>
    <row r="41" spans="1:6" s="334" customFormat="1" ht="17.25" customHeight="1">
      <c r="A41" s="334" t="s">
        <v>591</v>
      </c>
    </row>
    <row r="42" spans="1:6" s="334" customFormat="1" ht="17.25" customHeight="1">
      <c r="A42" s="334" t="s">
        <v>145</v>
      </c>
    </row>
    <row r="43" spans="1:6" s="334" customFormat="1" ht="17.25" customHeight="1">
      <c r="A43" s="334" t="s">
        <v>146</v>
      </c>
    </row>
    <row r="44" spans="1:6" s="334" customFormat="1" ht="17.25" customHeight="1">
      <c r="A44" s="334" t="s">
        <v>147</v>
      </c>
    </row>
    <row r="45" spans="1:6" s="334" customFormat="1" ht="17.25" customHeight="1">
      <c r="A45" s="334" t="s">
        <v>148</v>
      </c>
    </row>
    <row r="46" spans="1:6" s="334" customFormat="1" ht="17.25" customHeight="1"/>
    <row r="47" spans="1:6" s="334" customFormat="1" ht="17.25" customHeight="1">
      <c r="A47" s="334" t="s">
        <v>149</v>
      </c>
    </row>
    <row r="48" spans="1:6" s="334" customFormat="1" ht="17.25" customHeight="1">
      <c r="A48" s="334" t="s">
        <v>150</v>
      </c>
    </row>
    <row r="49" spans="1:1" s="334" customFormat="1" ht="17.25" customHeight="1">
      <c r="A49" s="334" t="s">
        <v>151</v>
      </c>
    </row>
    <row r="50" spans="1:1" s="334" customFormat="1" ht="17.25" customHeight="1">
      <c r="A50" s="334" t="s">
        <v>152</v>
      </c>
    </row>
    <row r="51" spans="1:1" s="334" customFormat="1" ht="17.25" customHeight="1">
      <c r="A51" s="334" t="s">
        <v>153</v>
      </c>
    </row>
    <row r="52" spans="1:1" s="334" customFormat="1" ht="17.25" customHeight="1">
      <c r="A52" s="334" t="s">
        <v>154</v>
      </c>
    </row>
    <row r="53" spans="1:1" s="334" customFormat="1" ht="17.25" customHeight="1">
      <c r="A53" s="334" t="s">
        <v>155</v>
      </c>
    </row>
    <row r="54" spans="1:1" s="334" customFormat="1" ht="17.25" customHeight="1">
      <c r="A54" s="334" t="s">
        <v>156</v>
      </c>
    </row>
    <row r="55" spans="1:1" s="334" customFormat="1" ht="17.25" customHeight="1"/>
    <row r="56" spans="1:1" s="334" customFormat="1" ht="17.25" customHeight="1">
      <c r="A56" s="334" t="s">
        <v>157</v>
      </c>
    </row>
    <row r="57" spans="1:1" s="334" customFormat="1" ht="17.25" customHeight="1"/>
    <row r="58" spans="1:1" s="334" customFormat="1" ht="17.25" customHeight="1">
      <c r="A58" s="334" t="s">
        <v>158</v>
      </c>
    </row>
    <row r="59" spans="1:1" s="334" customFormat="1" ht="17.25" customHeight="1"/>
    <row r="60" spans="1:1" s="334" customFormat="1" ht="17.25" customHeight="1">
      <c r="A60" s="334" t="s">
        <v>159</v>
      </c>
    </row>
    <row r="61" spans="1:1" s="334" customFormat="1" ht="17.25" customHeight="1"/>
    <row r="62" spans="1:1" s="334" customFormat="1" ht="17.25" customHeight="1">
      <c r="A62" s="334" t="s">
        <v>160</v>
      </c>
    </row>
    <row r="63" spans="1:1" s="334" customFormat="1" ht="17.25" customHeight="1"/>
    <row r="64" spans="1:1" s="334" customFormat="1" ht="17.25" customHeight="1">
      <c r="A64" s="334" t="s">
        <v>161</v>
      </c>
    </row>
    <row r="65" spans="1:1" s="334" customFormat="1" ht="17.25" customHeight="1">
      <c r="A65" s="320"/>
    </row>
  </sheetData>
  <mergeCells count="37">
    <mergeCell ref="A31:B31"/>
    <mergeCell ref="D31:F31"/>
    <mergeCell ref="A36:B36"/>
    <mergeCell ref="D36:F36"/>
    <mergeCell ref="A32:B32"/>
    <mergeCell ref="D32:F32"/>
    <mergeCell ref="A33:B33"/>
    <mergeCell ref="D33:F33"/>
    <mergeCell ref="A34:B34"/>
    <mergeCell ref="D34:F34"/>
    <mergeCell ref="D29:F29"/>
    <mergeCell ref="A30:B30"/>
    <mergeCell ref="D30:F30"/>
    <mergeCell ref="A28:B28"/>
    <mergeCell ref="D28:F28"/>
    <mergeCell ref="A10:F10"/>
    <mergeCell ref="A12:F12"/>
    <mergeCell ref="C14:C36"/>
    <mergeCell ref="E14:F14"/>
    <mergeCell ref="E15:F15"/>
    <mergeCell ref="E16:F16"/>
    <mergeCell ref="D19:D22"/>
    <mergeCell ref="E20:F22"/>
    <mergeCell ref="E23:F23"/>
    <mergeCell ref="A24:B24"/>
    <mergeCell ref="D24:F24"/>
    <mergeCell ref="A25:B26"/>
    <mergeCell ref="D25:F26"/>
    <mergeCell ref="A27:B27"/>
    <mergeCell ref="D27:F27"/>
    <mergeCell ref="A29:B29"/>
    <mergeCell ref="A9:F9"/>
    <mergeCell ref="A1:F1"/>
    <mergeCell ref="A2:F2"/>
    <mergeCell ref="A3:F3"/>
    <mergeCell ref="A4:F4"/>
    <mergeCell ref="A7:F7"/>
  </mergeCells>
  <phoneticPr fontId="1" type="noConversion"/>
  <pageMargins left="0.7" right="0.7" top="0.75" bottom="0.75" header="0.3" footer="0.3"/>
  <pageSetup paperSize="9" scale="98"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5"/>
  <sheetViews>
    <sheetView topLeftCell="A10" zoomScaleNormal="100" workbookViewId="0">
      <selection activeCell="B64" sqref="B64:D64"/>
    </sheetView>
  </sheetViews>
  <sheetFormatPr defaultRowHeight="14.25"/>
  <cols>
    <col min="1" max="1" width="13.5" style="345" customWidth="1"/>
    <col min="2" max="2" width="24.5" style="345" customWidth="1"/>
    <col min="3" max="3" width="2.125" style="345" customWidth="1"/>
    <col min="4" max="4" width="12.25" style="345" customWidth="1"/>
    <col min="5" max="6" width="14.75" style="345" customWidth="1"/>
    <col min="7" max="10" width="9" style="345"/>
    <col min="11" max="11" width="9" style="345" customWidth="1"/>
    <col min="12" max="16384" width="9" style="345"/>
  </cols>
  <sheetData>
    <row r="1" spans="1:6" ht="22.5">
      <c r="A1" s="604" t="s">
        <v>118</v>
      </c>
      <c r="B1" s="604"/>
      <c r="C1" s="604"/>
      <c r="D1" s="604"/>
      <c r="E1" s="604"/>
      <c r="F1" s="604"/>
    </row>
    <row r="2" spans="1:6" ht="25.5" customHeight="1">
      <c r="A2" s="630" t="s">
        <v>570</v>
      </c>
      <c r="B2" s="630"/>
      <c r="C2" s="630"/>
      <c r="D2" s="630"/>
      <c r="E2" s="630"/>
      <c r="F2" s="630"/>
    </row>
    <row r="3" spans="1:6" ht="48.75" customHeight="1">
      <c r="A3" s="631" t="s">
        <v>571</v>
      </c>
      <c r="B3" s="631"/>
      <c r="C3" s="631"/>
      <c r="D3" s="631"/>
      <c r="E3" s="631"/>
      <c r="F3" s="631"/>
    </row>
    <row r="4" spans="1:6" ht="31.5" customHeight="1">
      <c r="A4" s="631" t="s">
        <v>572</v>
      </c>
      <c r="B4" s="631"/>
      <c r="C4" s="631"/>
      <c r="D4" s="631"/>
      <c r="E4" s="631"/>
      <c r="F4" s="631"/>
    </row>
    <row r="5" spans="1:6">
      <c r="A5" s="318" t="s">
        <v>573</v>
      </c>
    </row>
    <row r="6" spans="1:6" ht="10.5" customHeight="1">
      <c r="A6" s="319"/>
    </row>
    <row r="7" spans="1:6" ht="21.75" customHeight="1">
      <c r="A7" s="632" t="s">
        <v>574</v>
      </c>
      <c r="B7" s="633"/>
      <c r="C7" s="633"/>
      <c r="D7" s="633"/>
      <c r="E7" s="633"/>
      <c r="F7" s="633"/>
    </row>
    <row r="8" spans="1:6">
      <c r="A8" s="320" t="s">
        <v>119</v>
      </c>
    </row>
    <row r="9" spans="1:6">
      <c r="A9" s="628" t="s">
        <v>575</v>
      </c>
      <c r="B9" s="629"/>
      <c r="C9" s="629"/>
      <c r="D9" s="629"/>
      <c r="E9" s="629"/>
      <c r="F9" s="629"/>
    </row>
    <row r="10" spans="1:6">
      <c r="A10" s="601">
        <f ca="1">TODAY()</f>
        <v>43839</v>
      </c>
      <c r="B10" s="602"/>
      <c r="C10" s="602"/>
      <c r="D10" s="602"/>
      <c r="E10" s="602"/>
      <c r="F10" s="602"/>
    </row>
    <row r="11" spans="1:6" ht="15" customHeight="1"/>
    <row r="12" spans="1:6" ht="22.5">
      <c r="A12" s="603" t="s">
        <v>576</v>
      </c>
      <c r="B12" s="604"/>
      <c r="C12" s="604"/>
      <c r="D12" s="604"/>
      <c r="E12" s="604"/>
      <c r="F12" s="604"/>
    </row>
    <row r="13" spans="1:6" ht="23.25" customHeight="1" thickBot="1">
      <c r="A13" s="321" t="s">
        <v>577</v>
      </c>
    </row>
    <row r="14" spans="1:6" ht="20.25" customHeight="1" thickBot="1">
      <c r="A14" s="322" t="s">
        <v>120</v>
      </c>
      <c r="B14" s="323" t="s">
        <v>578</v>
      </c>
      <c r="C14" s="605"/>
      <c r="D14" s="323" t="s">
        <v>121</v>
      </c>
      <c r="E14" s="608"/>
      <c r="F14" s="609"/>
    </row>
    <row r="15" spans="1:6" ht="20.25" customHeight="1" thickBot="1">
      <c r="A15" s="324" t="s">
        <v>122</v>
      </c>
      <c r="B15" s="325" t="str">
        <f>报关单新1!E23</f>
        <v>十三烷二酸</v>
      </c>
      <c r="C15" s="606"/>
      <c r="D15" s="325" t="s">
        <v>123</v>
      </c>
      <c r="E15" s="610" t="s">
        <v>124</v>
      </c>
      <c r="F15" s="611"/>
    </row>
    <row r="16" spans="1:6" ht="20.25" customHeight="1" thickBot="1">
      <c r="A16" s="346" t="s">
        <v>125</v>
      </c>
      <c r="B16" s="327">
        <f>报关单新1!C23</f>
        <v>2917190090</v>
      </c>
      <c r="C16" s="606"/>
      <c r="D16" s="328" t="s">
        <v>126</v>
      </c>
      <c r="E16" s="610" t="s">
        <v>127</v>
      </c>
      <c r="F16" s="611"/>
    </row>
    <row r="17" spans="1:6" ht="20.25" customHeight="1" thickBot="1">
      <c r="A17" s="324" t="s">
        <v>130</v>
      </c>
      <c r="B17" s="329">
        <f ca="1">'Commercial Invoice3'!G15</f>
        <v>43839</v>
      </c>
      <c r="C17" s="606"/>
      <c r="D17" s="330"/>
      <c r="E17" s="328" t="s">
        <v>128</v>
      </c>
      <c r="F17" s="328" t="s">
        <v>129</v>
      </c>
    </row>
    <row r="18" spans="1:6" ht="20.25" customHeight="1" thickBot="1">
      <c r="A18" s="324" t="s">
        <v>579</v>
      </c>
      <c r="B18" s="331" t="str">
        <f>'Commercial Invoice3'!G33</f>
        <v>2786337676</v>
      </c>
      <c r="C18" s="606"/>
      <c r="D18" s="332" t="s">
        <v>131</v>
      </c>
      <c r="E18" s="328" t="s">
        <v>132</v>
      </c>
      <c r="F18" s="328" t="s">
        <v>133</v>
      </c>
    </row>
    <row r="19" spans="1:6" ht="20.25" customHeight="1" thickBot="1">
      <c r="A19" s="324" t="s">
        <v>136</v>
      </c>
      <c r="B19" s="328" t="s">
        <v>580</v>
      </c>
      <c r="C19" s="606"/>
      <c r="D19" s="612"/>
      <c r="E19" s="328" t="s">
        <v>134</v>
      </c>
      <c r="F19" s="328" t="s">
        <v>135</v>
      </c>
    </row>
    <row r="20" spans="1:6" ht="20.25" customHeight="1" thickBot="1">
      <c r="A20" s="324" t="s">
        <v>581</v>
      </c>
      <c r="B20" s="328" t="str">
        <f>发货清单!Z2&amp;"件"&amp;"(共"&amp;发货清单!Y2&amp;"kg)"</f>
        <v>1件(共10kg)</v>
      </c>
      <c r="C20" s="606"/>
      <c r="D20" s="612"/>
      <c r="E20" s="614" t="s">
        <v>137</v>
      </c>
      <c r="F20" s="615"/>
    </row>
    <row r="21" spans="1:6" ht="20.25" customHeight="1" thickBot="1">
      <c r="A21" s="324" t="s">
        <v>582</v>
      </c>
      <c r="B21" s="328" t="s">
        <v>592</v>
      </c>
      <c r="C21" s="606"/>
      <c r="D21" s="612"/>
      <c r="E21" s="616"/>
      <c r="F21" s="617"/>
    </row>
    <row r="22" spans="1:6" ht="20.25" customHeight="1" thickBot="1">
      <c r="A22" s="324" t="s">
        <v>138</v>
      </c>
      <c r="B22" s="328" t="s">
        <v>583</v>
      </c>
      <c r="C22" s="606"/>
      <c r="D22" s="613"/>
      <c r="E22" s="618"/>
      <c r="F22" s="619"/>
    </row>
    <row r="23" spans="1:6" ht="20.25" customHeight="1" thickBot="1">
      <c r="A23" s="333"/>
      <c r="B23" s="328"/>
      <c r="C23" s="606"/>
      <c r="D23" s="328" t="s">
        <v>139</v>
      </c>
      <c r="E23" s="620" t="s">
        <v>140</v>
      </c>
      <c r="F23" s="621"/>
    </row>
    <row r="24" spans="1:6" ht="78.75" customHeight="1" thickBot="1">
      <c r="A24" s="622" t="s">
        <v>141</v>
      </c>
      <c r="B24" s="623"/>
      <c r="C24" s="606"/>
      <c r="D24" s="622" t="s">
        <v>142</v>
      </c>
      <c r="E24" s="624"/>
      <c r="F24" s="623"/>
    </row>
    <row r="25" spans="1:6">
      <c r="A25" s="625" t="s">
        <v>143</v>
      </c>
      <c r="B25" s="626"/>
      <c r="C25" s="606"/>
      <c r="D25" s="625" t="s">
        <v>143</v>
      </c>
      <c r="E25" s="627"/>
      <c r="F25" s="626"/>
    </row>
    <row r="26" spans="1:6" ht="24" customHeight="1" thickBot="1">
      <c r="A26" s="595"/>
      <c r="B26" s="597"/>
      <c r="C26" s="606"/>
      <c r="D26" s="595"/>
      <c r="E26" s="596"/>
      <c r="F26" s="597"/>
    </row>
    <row r="27" spans="1:6">
      <c r="A27" s="625" t="s">
        <v>584</v>
      </c>
      <c r="B27" s="626"/>
      <c r="C27" s="606"/>
      <c r="D27" s="625" t="s">
        <v>585</v>
      </c>
      <c r="E27" s="627"/>
      <c r="F27" s="626"/>
    </row>
    <row r="28" spans="1:6" ht="10.5" customHeight="1">
      <c r="A28" s="590"/>
      <c r="B28" s="591"/>
      <c r="C28" s="606"/>
      <c r="D28" s="590"/>
      <c r="E28" s="592"/>
      <c r="F28" s="591"/>
    </row>
    <row r="29" spans="1:6" ht="10.5" customHeight="1">
      <c r="A29" s="590"/>
      <c r="B29" s="591"/>
      <c r="C29" s="606"/>
      <c r="D29" s="590"/>
      <c r="E29" s="592"/>
      <c r="F29" s="591"/>
    </row>
    <row r="30" spans="1:6" ht="10.5" customHeight="1">
      <c r="A30" s="590"/>
      <c r="B30" s="591"/>
      <c r="C30" s="606"/>
      <c r="D30" s="590"/>
      <c r="E30" s="592"/>
      <c r="F30" s="591"/>
    </row>
    <row r="31" spans="1:6" ht="10.5" customHeight="1">
      <c r="A31" s="590"/>
      <c r="B31" s="591"/>
      <c r="C31" s="606"/>
      <c r="D31" s="590"/>
      <c r="E31" s="592"/>
      <c r="F31" s="591"/>
    </row>
    <row r="32" spans="1:6" ht="10.5" customHeight="1">
      <c r="A32" s="590"/>
      <c r="B32" s="591"/>
      <c r="C32" s="606"/>
      <c r="D32" s="590"/>
      <c r="E32" s="592"/>
      <c r="F32" s="591"/>
    </row>
    <row r="33" spans="1:6" ht="10.5" customHeight="1">
      <c r="A33" s="590"/>
      <c r="B33" s="591"/>
      <c r="C33" s="606"/>
      <c r="D33" s="590"/>
      <c r="E33" s="592"/>
      <c r="F33" s="591"/>
    </row>
    <row r="34" spans="1:6">
      <c r="A34" s="598" t="s">
        <v>586</v>
      </c>
      <c r="B34" s="599"/>
      <c r="C34" s="606"/>
      <c r="D34" s="598" t="s">
        <v>587</v>
      </c>
      <c r="E34" s="600"/>
      <c r="F34" s="599"/>
    </row>
    <row r="35" spans="1:6">
      <c r="A35" s="334" t="s">
        <v>588</v>
      </c>
      <c r="B35" s="348"/>
      <c r="C35" s="606"/>
      <c r="D35" s="347"/>
      <c r="E35" s="349"/>
      <c r="F35" s="348"/>
    </row>
    <row r="36" spans="1:6" ht="24" customHeight="1" thickBot="1">
      <c r="A36" s="593">
        <v>43619</v>
      </c>
      <c r="B36" s="594"/>
      <c r="C36" s="607"/>
      <c r="D36" s="595" t="s">
        <v>589</v>
      </c>
      <c r="E36" s="596"/>
      <c r="F36" s="597"/>
    </row>
    <row r="37" spans="1:6" ht="15">
      <c r="A37" s="344" t="s">
        <v>590</v>
      </c>
    </row>
    <row r="38" spans="1:6">
      <c r="A38" s="339"/>
    </row>
    <row r="39" spans="1:6" s="334" customFormat="1" ht="17.25" customHeight="1">
      <c r="A39" s="340" t="s">
        <v>144</v>
      </c>
    </row>
    <row r="40" spans="1:6" s="334" customFormat="1" ht="17.25" customHeight="1">
      <c r="A40" s="320"/>
    </row>
    <row r="41" spans="1:6" s="334" customFormat="1" ht="17.25" customHeight="1">
      <c r="A41" s="334" t="s">
        <v>591</v>
      </c>
    </row>
    <row r="42" spans="1:6" s="334" customFormat="1" ht="17.25" customHeight="1">
      <c r="A42" s="334" t="s">
        <v>145</v>
      </c>
    </row>
    <row r="43" spans="1:6" s="334" customFormat="1" ht="17.25" customHeight="1">
      <c r="A43" s="334" t="s">
        <v>146</v>
      </c>
    </row>
    <row r="44" spans="1:6" s="334" customFormat="1" ht="17.25" customHeight="1">
      <c r="A44" s="334" t="s">
        <v>147</v>
      </c>
    </row>
    <row r="45" spans="1:6" s="334" customFormat="1" ht="17.25" customHeight="1">
      <c r="A45" s="334" t="s">
        <v>148</v>
      </c>
    </row>
    <row r="46" spans="1:6" s="334" customFormat="1" ht="17.25" customHeight="1"/>
    <row r="47" spans="1:6" s="334" customFormat="1" ht="17.25" customHeight="1">
      <c r="A47" s="334" t="s">
        <v>149</v>
      </c>
    </row>
    <row r="48" spans="1:6" s="334" customFormat="1" ht="17.25" customHeight="1">
      <c r="A48" s="334" t="s">
        <v>150</v>
      </c>
    </row>
    <row r="49" spans="1:1" s="334" customFormat="1" ht="17.25" customHeight="1">
      <c r="A49" s="334" t="s">
        <v>151</v>
      </c>
    </row>
    <row r="50" spans="1:1" s="334" customFormat="1" ht="17.25" customHeight="1">
      <c r="A50" s="334" t="s">
        <v>152</v>
      </c>
    </row>
    <row r="51" spans="1:1" s="334" customFormat="1" ht="17.25" customHeight="1">
      <c r="A51" s="334" t="s">
        <v>153</v>
      </c>
    </row>
    <row r="52" spans="1:1" s="334" customFormat="1" ht="17.25" customHeight="1">
      <c r="A52" s="334" t="s">
        <v>154</v>
      </c>
    </row>
    <row r="53" spans="1:1" s="334" customFormat="1" ht="17.25" customHeight="1">
      <c r="A53" s="334" t="s">
        <v>155</v>
      </c>
    </row>
    <row r="54" spans="1:1" s="334" customFormat="1" ht="17.25" customHeight="1">
      <c r="A54" s="334" t="s">
        <v>156</v>
      </c>
    </row>
    <row r="55" spans="1:1" s="334" customFormat="1" ht="17.25" customHeight="1"/>
    <row r="56" spans="1:1" s="334" customFormat="1" ht="17.25" customHeight="1">
      <c r="A56" s="334" t="s">
        <v>157</v>
      </c>
    </row>
    <row r="57" spans="1:1" s="334" customFormat="1" ht="17.25" customHeight="1"/>
    <row r="58" spans="1:1" s="334" customFormat="1" ht="17.25" customHeight="1">
      <c r="A58" s="334" t="s">
        <v>158</v>
      </c>
    </row>
    <row r="59" spans="1:1" s="334" customFormat="1" ht="17.25" customHeight="1"/>
    <row r="60" spans="1:1" s="334" customFormat="1" ht="17.25" customHeight="1">
      <c r="A60" s="334" t="s">
        <v>159</v>
      </c>
    </row>
    <row r="61" spans="1:1" s="334" customFormat="1" ht="17.25" customHeight="1"/>
    <row r="62" spans="1:1" s="334" customFormat="1" ht="17.25" customHeight="1">
      <c r="A62" s="334" t="s">
        <v>160</v>
      </c>
    </row>
    <row r="63" spans="1:1" s="334" customFormat="1" ht="17.25" customHeight="1"/>
    <row r="64" spans="1:1" s="334" customFormat="1" ht="17.25" customHeight="1">
      <c r="A64" s="334" t="s">
        <v>161</v>
      </c>
    </row>
    <row r="65" spans="1:1" s="334" customFormat="1" ht="17.25" customHeight="1">
      <c r="A65" s="320"/>
    </row>
  </sheetData>
  <mergeCells count="37">
    <mergeCell ref="A9:F9"/>
    <mergeCell ref="A1:F1"/>
    <mergeCell ref="A2:F2"/>
    <mergeCell ref="A3:F3"/>
    <mergeCell ref="A4:F4"/>
    <mergeCell ref="A7:F7"/>
    <mergeCell ref="A10:F10"/>
    <mergeCell ref="A12:F12"/>
    <mergeCell ref="C14:C36"/>
    <mergeCell ref="E14:F14"/>
    <mergeCell ref="E15:F15"/>
    <mergeCell ref="E16:F16"/>
    <mergeCell ref="D19:D22"/>
    <mergeCell ref="E20:F22"/>
    <mergeCell ref="E23:F23"/>
    <mergeCell ref="A24:B24"/>
    <mergeCell ref="D24:F24"/>
    <mergeCell ref="A25:B26"/>
    <mergeCell ref="D25:F26"/>
    <mergeCell ref="A27:B27"/>
    <mergeCell ref="D27:F27"/>
    <mergeCell ref="A29:B29"/>
    <mergeCell ref="D29:F29"/>
    <mergeCell ref="A30:B30"/>
    <mergeCell ref="D30:F30"/>
    <mergeCell ref="A28:B28"/>
    <mergeCell ref="D28:F28"/>
    <mergeCell ref="A31:B31"/>
    <mergeCell ref="D31:F31"/>
    <mergeCell ref="A36:B36"/>
    <mergeCell ref="D36:F36"/>
    <mergeCell ref="A32:B32"/>
    <mergeCell ref="D32:F32"/>
    <mergeCell ref="A33:B33"/>
    <mergeCell ref="D33:F33"/>
    <mergeCell ref="A34:B34"/>
    <mergeCell ref="D34:F34"/>
  </mergeCells>
  <phoneticPr fontId="1" type="noConversion"/>
  <pageMargins left="0.7" right="0.7" top="0.75" bottom="0.75" header="0.3" footer="0.3"/>
  <pageSetup paperSize="9" scale="98"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106"/>
  <sheetViews>
    <sheetView topLeftCell="A49" workbookViewId="0">
      <selection activeCell="A106" sqref="A106:C108"/>
    </sheetView>
  </sheetViews>
  <sheetFormatPr defaultRowHeight="14.25"/>
  <cols>
    <col min="1" max="1" width="5.25" customWidth="1"/>
    <col min="2" max="2" width="6.5" customWidth="1"/>
    <col min="3" max="3" width="26.125" customWidth="1"/>
    <col min="4" max="4" width="8.625" customWidth="1"/>
    <col min="5" max="5" width="8.5" customWidth="1"/>
    <col min="6" max="6" width="6" customWidth="1"/>
    <col min="7" max="7" width="6.875" customWidth="1"/>
    <col min="8" max="8" width="10.875" customWidth="1"/>
    <col min="9" max="9" width="13.5" customWidth="1"/>
  </cols>
  <sheetData>
    <row r="1" spans="1:14" ht="4.5" customHeight="1">
      <c r="A1" s="17"/>
      <c r="B1" s="17"/>
      <c r="C1" s="17"/>
      <c r="D1" s="17"/>
      <c r="E1" s="17"/>
      <c r="F1" s="17"/>
      <c r="G1" s="17"/>
      <c r="H1" s="17"/>
      <c r="I1" s="17"/>
    </row>
    <row r="2" spans="1:14" ht="22.5">
      <c r="A2" s="470" t="s">
        <v>44</v>
      </c>
      <c r="B2" s="470"/>
      <c r="C2" s="470"/>
      <c r="D2" s="470"/>
      <c r="E2" s="470"/>
      <c r="F2" s="470"/>
      <c r="G2" s="470"/>
      <c r="H2" s="470"/>
      <c r="I2" s="470"/>
    </row>
    <row r="3" spans="1:14" ht="3.75" customHeight="1">
      <c r="A3" s="17"/>
      <c r="B3" s="17"/>
      <c r="C3" s="17"/>
      <c r="D3" s="17"/>
      <c r="E3" s="17"/>
      <c r="F3" s="17"/>
      <c r="G3" s="17"/>
      <c r="H3" s="34"/>
      <c r="I3" s="48"/>
    </row>
    <row r="4" spans="1:14" ht="3.75" customHeight="1">
      <c r="A4" s="17"/>
      <c r="B4" s="17"/>
      <c r="C4" s="17"/>
      <c r="D4" s="17"/>
      <c r="E4" s="17"/>
      <c r="F4" s="17"/>
      <c r="G4" s="17"/>
      <c r="H4" s="17"/>
      <c r="I4" s="17"/>
    </row>
    <row r="5" spans="1:14" ht="15.75">
      <c r="A5" s="35" t="s">
        <v>43</v>
      </c>
      <c r="B5" s="36"/>
      <c r="C5" s="36"/>
      <c r="D5" s="37"/>
      <c r="E5" s="61"/>
      <c r="F5" s="77" t="s">
        <v>42</v>
      </c>
      <c r="G5" s="71"/>
      <c r="H5" s="36"/>
      <c r="I5" s="37"/>
    </row>
    <row r="6" spans="1:14" ht="15.75">
      <c r="A6" s="103" t="s">
        <v>229</v>
      </c>
      <c r="B6" s="58"/>
      <c r="C6" s="58"/>
      <c r="D6" s="59"/>
      <c r="E6" s="58"/>
      <c r="F6" s="57" t="str">
        <f>'Commercial Invoice3'!F6</f>
        <v xml:space="preserve"> Fluorochem Limited</v>
      </c>
      <c r="G6" s="192"/>
      <c r="H6" s="15"/>
      <c r="I6" s="38"/>
    </row>
    <row r="7" spans="1:14" ht="15" customHeight="1">
      <c r="A7" s="104" t="s">
        <v>527</v>
      </c>
      <c r="B7" s="60"/>
      <c r="C7" s="60"/>
      <c r="D7" s="59"/>
      <c r="E7" s="61"/>
      <c r="F7" s="53" t="str">
        <f>'Commercial Invoice3'!F7</f>
        <v>Unit 14 Graphite Way</v>
      </c>
      <c r="G7" s="7"/>
      <c r="H7" s="39"/>
      <c r="I7" s="38"/>
      <c r="J7" s="16"/>
    </row>
    <row r="8" spans="1:14" ht="15" customHeight="1">
      <c r="A8" s="104" t="s">
        <v>529</v>
      </c>
      <c r="B8" s="60"/>
      <c r="C8" s="60"/>
      <c r="D8" s="59"/>
      <c r="E8" s="61"/>
      <c r="F8" s="53" t="str">
        <f>'Commercial Invoice3'!F8</f>
        <v>Hadfield  Derbyshire</v>
      </c>
      <c r="G8" s="7"/>
      <c r="H8" s="39"/>
      <c r="I8" s="38"/>
      <c r="J8" s="16"/>
    </row>
    <row r="9" spans="1:14" ht="15" customHeight="1">
      <c r="A9" s="105" t="s">
        <v>232</v>
      </c>
      <c r="B9" s="60"/>
      <c r="C9" s="60"/>
      <c r="D9" s="59"/>
      <c r="E9" s="61"/>
      <c r="F9" s="53" t="str">
        <f>'Commercial Invoice3'!F9</f>
        <v>SK13 1QH UK</v>
      </c>
      <c r="G9" s="193"/>
      <c r="H9" s="39"/>
      <c r="I9" s="38"/>
      <c r="J9" s="14"/>
    </row>
    <row r="10" spans="1:14" ht="15">
      <c r="A10" s="106" t="s">
        <v>233</v>
      </c>
      <c r="B10" s="62"/>
      <c r="C10" s="62"/>
      <c r="D10" s="63"/>
      <c r="E10" s="61"/>
      <c r="F10" s="53" t="str">
        <f>'Commercial Invoice3'!F10</f>
        <v>TEL:4401457860111</v>
      </c>
      <c r="G10" s="6"/>
      <c r="H10" s="18"/>
      <c r="I10" s="40"/>
      <c r="J10" s="14"/>
    </row>
    <row r="11" spans="1:14" ht="5.25" customHeight="1">
      <c r="A11" s="17"/>
      <c r="B11" s="17"/>
      <c r="C11" s="17"/>
      <c r="D11" s="17"/>
      <c r="E11" s="17"/>
      <c r="F11" s="17"/>
      <c r="G11" s="17"/>
      <c r="H11" s="17"/>
      <c r="I11" s="17"/>
      <c r="J11" s="14"/>
    </row>
    <row r="12" spans="1:14" s="68" customFormat="1">
      <c r="A12" s="471" t="s">
        <v>17</v>
      </c>
      <c r="B12" s="472"/>
      <c r="C12" s="235" t="str">
        <f>'Commercial Invoice3'!C12</f>
        <v>Order  No.</v>
      </c>
      <c r="D12" s="67" t="s">
        <v>369</v>
      </c>
      <c r="E12" s="67" t="s">
        <v>21</v>
      </c>
      <c r="F12" s="276" t="s">
        <v>19</v>
      </c>
      <c r="G12" s="276" t="s">
        <v>20</v>
      </c>
      <c r="H12" s="471" t="s">
        <v>30</v>
      </c>
      <c r="I12" s="472"/>
    </row>
    <row r="13" spans="1:14" s="68" customFormat="1" ht="12.75">
      <c r="A13" s="471"/>
      <c r="B13" s="472"/>
      <c r="C13" s="67" t="str">
        <f>'Commercial Invoice3'!C13</f>
        <v>P100426</v>
      </c>
      <c r="D13" s="67"/>
      <c r="E13" s="67"/>
      <c r="F13" s="29" t="s">
        <v>38</v>
      </c>
      <c r="G13" s="67"/>
      <c r="H13" s="471" t="s">
        <v>386</v>
      </c>
      <c r="I13" s="472"/>
      <c r="J13" s="30"/>
    </row>
    <row r="14" spans="1:14" s="68" customFormat="1" ht="12.75">
      <c r="A14" s="471" t="s">
        <v>22</v>
      </c>
      <c r="B14" s="473"/>
      <c r="C14" s="472"/>
      <c r="D14" s="263" t="s">
        <v>70</v>
      </c>
      <c r="E14" s="471" t="s">
        <v>23</v>
      </c>
      <c r="F14" s="472"/>
      <c r="G14" s="277" t="s">
        <v>29</v>
      </c>
      <c r="H14" s="471" t="s">
        <v>18</v>
      </c>
      <c r="I14" s="472"/>
      <c r="J14" s="30"/>
    </row>
    <row r="15" spans="1:14" s="28" customFormat="1" ht="15.75">
      <c r="A15" s="476" t="s">
        <v>39</v>
      </c>
      <c r="B15" s="477"/>
      <c r="C15" s="478"/>
      <c r="D15" s="27"/>
      <c r="E15" s="476" t="str">
        <f>'Commercial Invoice3'!E15</f>
        <v>UK</v>
      </c>
      <c r="F15" s="478"/>
      <c r="G15" s="79">
        <f ca="1">TODAY()</f>
        <v>43839</v>
      </c>
      <c r="H15" s="479" t="str">
        <f>发货清单!$AA$2</f>
        <v>20200109-607</v>
      </c>
      <c r="I15" s="480"/>
      <c r="J15" s="30"/>
    </row>
    <row r="16" spans="1:14" s="26" customFormat="1" ht="23.25" customHeight="1">
      <c r="A16" s="66" t="s">
        <v>24</v>
      </c>
      <c r="B16" s="481" t="s">
        <v>25</v>
      </c>
      <c r="C16" s="482"/>
      <c r="D16" s="483"/>
      <c r="E16" s="55" t="s">
        <v>28</v>
      </c>
      <c r="F16" s="482" t="str">
        <f>'Commercial Invoice3'!F16</f>
        <v>HS code</v>
      </c>
      <c r="G16" s="483"/>
      <c r="H16" s="311" t="s">
        <v>26</v>
      </c>
      <c r="I16" s="311" t="s">
        <v>27</v>
      </c>
      <c r="N16" s="47"/>
    </row>
    <row r="17" spans="1:9" s="44" customFormat="1" ht="30" customHeight="1">
      <c r="A17" s="176">
        <f>辅助!N2</f>
        <v>600</v>
      </c>
      <c r="B17" s="474" t="str">
        <f>IFERROR(辅助!P2&amp;CHAR(10)&amp;VLOOKUP(辅助!P2,数据库!C:G,5,0),"")</f>
        <v>Carboxylic acid compound category (AB-04)1
White powder</v>
      </c>
      <c r="C17" s="474"/>
      <c r="D17" s="474"/>
      <c r="E17" s="309" t="str">
        <f>IF(A17=0,"","Glass/Plastic bottle")</f>
        <v>Glass/Plastic bottle</v>
      </c>
      <c r="F17" s="475">
        <f>'Commercial Invoice3'!F17</f>
        <v>2917190090</v>
      </c>
      <c r="G17" s="475"/>
      <c r="H17" s="275">
        <f>I17/A17</f>
        <v>0.36399999999999999</v>
      </c>
      <c r="I17" s="177">
        <f>辅助!O2</f>
        <v>218.4</v>
      </c>
    </row>
    <row r="18" spans="1:9" s="44" customFormat="1" ht="30" customHeight="1">
      <c r="A18" s="176">
        <f>辅助!N3</f>
        <v>10</v>
      </c>
      <c r="B18" s="474" t="str">
        <f>IFERROR(辅助!P3&amp;CHAR(10)&amp;VLOOKUP(辅助!P3,数据库!C:G,5,0),"")</f>
        <v>Carboxylic acid compound category (AB-04)6
White Solid</v>
      </c>
      <c r="C18" s="474"/>
      <c r="D18" s="474"/>
      <c r="E18" s="309" t="str">
        <f t="shared" ref="E18:E28" si="0">IF(A18=0,"","Glass/Plastic bottle")</f>
        <v>Glass/Plastic bottle</v>
      </c>
      <c r="F18" s="475">
        <f>'Commercial Invoice3'!F18</f>
        <v>2917190090</v>
      </c>
      <c r="G18" s="475"/>
      <c r="H18" s="275">
        <f>IF(A18=0,0,I18/A18)</f>
        <v>15.680000000000001</v>
      </c>
      <c r="I18" s="177">
        <f>辅助!O3</f>
        <v>156.80000000000001</v>
      </c>
    </row>
    <row r="19" spans="1:9" s="44" customFormat="1" ht="30" customHeight="1">
      <c r="A19" s="176">
        <f>辅助!N4</f>
        <v>1000</v>
      </c>
      <c r="B19" s="474" t="str">
        <f>IFERROR(辅助!P4&amp;CHAR(10)&amp;VLOOKUP(辅助!P4,数据库!C:G,5,0),"")</f>
        <v>Sulfonamide compound category(AB-08)1
White Solid</v>
      </c>
      <c r="C19" s="474"/>
      <c r="D19" s="474"/>
      <c r="E19" s="309" t="str">
        <f t="shared" si="0"/>
        <v>Glass/Plastic bottle</v>
      </c>
      <c r="F19" s="475">
        <f>'Commercial Invoice3'!F19</f>
        <v>2935900090</v>
      </c>
      <c r="G19" s="475"/>
      <c r="H19" s="275">
        <f t="shared" ref="H19:H28" si="1">IF(A19=0,0,I19/A19)</f>
        <v>5.5299999999999995E-2</v>
      </c>
      <c r="I19" s="177">
        <f>辅助!O4</f>
        <v>55.3</v>
      </c>
    </row>
    <row r="20" spans="1:9" s="44" customFormat="1" ht="30" customHeight="1">
      <c r="A20" s="176">
        <f>辅助!N5</f>
        <v>205</v>
      </c>
      <c r="B20" s="474" t="str">
        <f>IFERROR(辅助!P5&amp;CHAR(10)&amp;VLOOKUP(辅助!P5,数据库!C:G,5,0),"")</f>
        <v>Heterocyclic with single or more oxygen atoms compound category （AB-15）4
White crystal</v>
      </c>
      <c r="C20" s="474"/>
      <c r="D20" s="474"/>
      <c r="E20" s="309" t="str">
        <f t="shared" si="0"/>
        <v>Glass/Plastic bottle</v>
      </c>
      <c r="F20" s="475">
        <f>'Commercial Invoice3'!F20</f>
        <v>2932999099</v>
      </c>
      <c r="G20" s="475"/>
      <c r="H20" s="275">
        <f t="shared" si="1"/>
        <v>0.48829268292682926</v>
      </c>
      <c r="I20" s="177">
        <f>辅助!O5</f>
        <v>100.1</v>
      </c>
    </row>
    <row r="21" spans="1:9" s="44" customFormat="1" ht="30" customHeight="1">
      <c r="A21" s="176">
        <f>辅助!N6</f>
        <v>500</v>
      </c>
      <c r="B21" s="474" t="str">
        <f>IFERROR(辅助!P6&amp;CHAR(10)&amp;VLOOKUP(辅助!P6,数据库!C:G,5,0),"")</f>
        <v>Acyclic hydrocarbon compound category （AB-02）11
Colorless Transparent Liquid</v>
      </c>
      <c r="C21" s="474"/>
      <c r="D21" s="474"/>
      <c r="E21" s="309" t="str">
        <f t="shared" si="0"/>
        <v>Glass/Plastic bottle</v>
      </c>
      <c r="F21" s="475">
        <f>'Commercial Invoice3'!F21</f>
        <v>2903399090</v>
      </c>
      <c r="G21" s="475"/>
      <c r="H21" s="275">
        <f t="shared" si="1"/>
        <v>0.2044</v>
      </c>
      <c r="I21" s="177">
        <f>辅助!O6</f>
        <v>102.2</v>
      </c>
    </row>
    <row r="22" spans="1:9" s="44" customFormat="1" ht="30" customHeight="1">
      <c r="A22" s="176">
        <f>辅助!N7</f>
        <v>26</v>
      </c>
      <c r="B22" s="474" t="str">
        <f>IFERROR(辅助!P7&amp;CHAR(10)&amp;VLOOKUP(辅助!P7,数据库!C:G,5,0),"")</f>
        <v>Acyclic hydrocarbon compound category （AB-02）13
brown liquid</v>
      </c>
      <c r="C22" s="474"/>
      <c r="D22" s="474"/>
      <c r="E22" s="309" t="str">
        <f t="shared" si="0"/>
        <v>Glass/Plastic bottle</v>
      </c>
      <c r="F22" s="475">
        <f>'Commercial Invoice3'!F22</f>
        <v>2903399090</v>
      </c>
      <c r="G22" s="475"/>
      <c r="H22" s="275">
        <f t="shared" si="1"/>
        <v>5.3307692307692314</v>
      </c>
      <c r="I22" s="177">
        <f>辅助!O7</f>
        <v>138.60000000000002</v>
      </c>
    </row>
    <row r="23" spans="1:9" s="44" customFormat="1" ht="30" customHeight="1">
      <c r="A23" s="176">
        <f>辅助!N8</f>
        <v>25</v>
      </c>
      <c r="B23" s="474" t="str">
        <f>IFERROR(辅助!P8&amp;CHAR(10)&amp;VLOOKUP(辅助!P8,数据库!C:G,5,0),"")</f>
        <v>Heterocyclic with nitrogen compound category (AB-06)46
Yellow powder</v>
      </c>
      <c r="C23" s="474"/>
      <c r="D23" s="474"/>
      <c r="E23" s="309" t="str">
        <f t="shared" si="0"/>
        <v>Glass/Plastic bottle</v>
      </c>
      <c r="F23" s="475">
        <f>'Commercial Invoice3'!F23</f>
        <v>2933990099</v>
      </c>
      <c r="G23" s="475"/>
      <c r="H23" s="275">
        <f t="shared" si="1"/>
        <v>2.4079999999999999</v>
      </c>
      <c r="I23" s="177">
        <f>辅助!O8</f>
        <v>60.2</v>
      </c>
    </row>
    <row r="24" spans="1:9" s="44" customFormat="1" ht="30" customHeight="1">
      <c r="A24" s="176">
        <f>辅助!N9</f>
        <v>50</v>
      </c>
      <c r="B24" s="474" t="str">
        <f>IFERROR(辅助!P9&amp;CHAR(10)&amp;VLOOKUP(辅助!P9,数据库!C:G,5,0),"")</f>
        <v>Heterocyclic with nitrogen compound category (AB-06)53
Brown solid</v>
      </c>
      <c r="C24" s="474"/>
      <c r="D24" s="474"/>
      <c r="E24" s="309" t="str">
        <f t="shared" si="0"/>
        <v>Glass/Plastic bottle</v>
      </c>
      <c r="F24" s="475">
        <f>'Commercial Invoice3'!F24</f>
        <v>2933990099</v>
      </c>
      <c r="G24" s="475"/>
      <c r="H24" s="275">
        <f t="shared" si="1"/>
        <v>42.798000000000002</v>
      </c>
      <c r="I24" s="177">
        <f>辅助!O9</f>
        <v>2139.9</v>
      </c>
    </row>
    <row r="25" spans="1:9" s="44" customFormat="1" ht="30" customHeight="1">
      <c r="A25" s="176">
        <f>辅助!N10</f>
        <v>700</v>
      </c>
      <c r="B25" s="474" t="str">
        <f>IFERROR(辅助!P10&amp;CHAR(10)&amp;VLOOKUP(辅助!P10,数据库!C:G,5,0),"")</f>
        <v>Aromatic ring products without heteroatoms category （AB-16）33
Light yellow-green granular crystals</v>
      </c>
      <c r="C25" s="474"/>
      <c r="D25" s="474"/>
      <c r="E25" s="309" t="str">
        <f t="shared" si="0"/>
        <v>Glass/Plastic bottle</v>
      </c>
      <c r="F25" s="475">
        <f>'Commercial Invoice3'!F25</f>
        <v>2903999090</v>
      </c>
      <c r="G25" s="475"/>
      <c r="H25" s="275">
        <f t="shared" si="1"/>
        <v>0.39799999999999996</v>
      </c>
      <c r="I25" s="177">
        <f>辅助!O10</f>
        <v>278.59999999999997</v>
      </c>
    </row>
    <row r="26" spans="1:9" s="44" customFormat="1" ht="30" customHeight="1">
      <c r="A26" s="176">
        <f>辅助!N11</f>
        <v>150</v>
      </c>
      <c r="B26" s="474" t="str">
        <f>IFERROR(辅助!P11&amp;CHAR(10)&amp;VLOOKUP(辅助!P11,数据库!C:G,5,0),"")</f>
        <v>Aromatic ring products without heteroatoms category （AB-16）36
White powder</v>
      </c>
      <c r="C26" s="474"/>
      <c r="D26" s="474"/>
      <c r="E26" s="309" t="str">
        <f t="shared" si="0"/>
        <v>Glass/Plastic bottle</v>
      </c>
      <c r="F26" s="475">
        <f>'Commercial Invoice3'!F26</f>
        <v>2916399090</v>
      </c>
      <c r="G26" s="475"/>
      <c r="H26" s="275">
        <f t="shared" si="1"/>
        <v>1.8853333333333333</v>
      </c>
      <c r="I26" s="177">
        <f>辅助!O11</f>
        <v>282.8</v>
      </c>
    </row>
    <row r="27" spans="1:9" s="44" customFormat="1" ht="30" customHeight="1">
      <c r="A27" s="176">
        <f>辅助!N12</f>
        <v>0</v>
      </c>
      <c r="B27" s="474" t="str">
        <f>IFERROR(辅助!P12&amp;CHAR(10)&amp;VLOOKUP(辅助!P12,数据库!C:G,5,0),"")</f>
        <v/>
      </c>
      <c r="C27" s="474"/>
      <c r="D27" s="474"/>
      <c r="E27" s="309" t="str">
        <f t="shared" si="0"/>
        <v/>
      </c>
      <c r="F27" s="475" t="str">
        <f>'Commercial Invoice3'!F27</f>
        <v/>
      </c>
      <c r="G27" s="475"/>
      <c r="H27" s="275">
        <f t="shared" si="1"/>
        <v>0</v>
      </c>
      <c r="I27" s="177">
        <f>辅助!O12</f>
        <v>0</v>
      </c>
    </row>
    <row r="28" spans="1:9" s="44" customFormat="1" ht="30" customHeight="1">
      <c r="A28" s="176">
        <f>辅助!N13</f>
        <v>0</v>
      </c>
      <c r="B28" s="474" t="str">
        <f>IFERROR(辅助!P13&amp;CHAR(10)&amp;VLOOKUP(辅助!P13,数据库!C:G,5,0),"")</f>
        <v/>
      </c>
      <c r="C28" s="474"/>
      <c r="D28" s="474"/>
      <c r="E28" s="309" t="str">
        <f t="shared" si="0"/>
        <v/>
      </c>
      <c r="F28" s="475" t="str">
        <f>'Commercial Invoice3'!F28</f>
        <v/>
      </c>
      <c r="G28" s="475"/>
      <c r="H28" s="275">
        <f t="shared" si="1"/>
        <v>0</v>
      </c>
      <c r="I28" s="177">
        <f>辅助!O13</f>
        <v>0</v>
      </c>
    </row>
    <row r="29" spans="1:9" s="44" customFormat="1" ht="33.75" customHeight="1" thickBot="1">
      <c r="A29" s="176"/>
      <c r="B29" s="510" t="str">
        <f>IF(COUNTIF(辅助!N:N,"&gt;0")&lt;=12,"Total Net Weight（g）:   "&amp;SUM(辅助!N:N)," ")&amp;CHAR(10)&amp;IF(COUNTIF(辅助!N:N,"&gt;0")&lt;=12,"Gross Weight(kg):   "&amp;发货清单!Y2," ")</f>
        <v>Total Net Weight（g）:   3266
Gross Weight(kg):   10</v>
      </c>
      <c r="C29" s="511"/>
      <c r="D29" s="512"/>
      <c r="E29" s="66"/>
      <c r="F29" s="475"/>
      <c r="G29" s="475"/>
      <c r="H29" s="278" t="str">
        <f>IF(COUNTIF(辅助!O:O,"&gt;0")&lt;=12,"TOTAL:"," ")</f>
        <v>TOTAL:</v>
      </c>
      <c r="I29" s="274">
        <f>IF(COUNTIF(辅助!O:O,"&gt;0")&lt;=12,SUM(辅助!O:O)," ")</f>
        <v>3532.9</v>
      </c>
    </row>
    <row r="30" spans="1:9" ht="15.75">
      <c r="A30" s="169" t="s">
        <v>31</v>
      </c>
      <c r="B30" s="170"/>
      <c r="C30" s="170"/>
      <c r="D30" s="171"/>
      <c r="E30" s="41"/>
      <c r="F30" s="484"/>
      <c r="G30" s="484"/>
      <c r="H30" s="484"/>
      <c r="I30" s="485"/>
    </row>
    <row r="31" spans="1:9" ht="15" customHeight="1">
      <c r="A31" s="486" t="str">
        <f>'Commercial Invoice3'!A31</f>
        <v>I certify that all chemicals in this shipment are not subject to TSCA.</v>
      </c>
      <c r="B31" s="487"/>
      <c r="C31" s="488"/>
      <c r="D31" s="39"/>
      <c r="E31" s="492" t="s">
        <v>73</v>
      </c>
      <c r="F31" s="493"/>
      <c r="G31" s="493"/>
      <c r="H31" s="493"/>
      <c r="I31" s="494"/>
    </row>
    <row r="32" spans="1:9" ht="11.25" customHeight="1" thickBot="1">
      <c r="A32" s="489"/>
      <c r="B32" s="490"/>
      <c r="C32" s="491"/>
      <c r="D32" s="39"/>
      <c r="E32" s="495"/>
      <c r="F32" s="496"/>
      <c r="G32" s="496"/>
      <c r="H32" s="496"/>
      <c r="I32" s="497"/>
    </row>
    <row r="33" spans="1:10" ht="16.5" customHeight="1" thickBot="1">
      <c r="A33" s="498" t="s">
        <v>525</v>
      </c>
      <c r="B33" s="499"/>
      <c r="C33" s="500"/>
      <c r="D33" s="39"/>
      <c r="E33" s="42" t="s">
        <v>71</v>
      </c>
      <c r="F33" s="39"/>
      <c r="G33" s="507" t="str">
        <f>发货清单!F2</f>
        <v>2786337676</v>
      </c>
      <c r="H33" s="508"/>
      <c r="I33" s="509"/>
    </row>
    <row r="34" spans="1:10" ht="32.25" customHeight="1" thickBot="1">
      <c r="A34" s="501"/>
      <c r="B34" s="502"/>
      <c r="C34" s="503"/>
      <c r="D34" s="39"/>
      <c r="E34" s="42" t="s">
        <v>34</v>
      </c>
      <c r="F34" s="39"/>
      <c r="G34" s="43"/>
      <c r="H34" s="43"/>
      <c r="I34" s="172"/>
    </row>
    <row r="35" spans="1:10" ht="15" thickBot="1">
      <c r="A35" s="504"/>
      <c r="B35" s="505"/>
      <c r="C35" s="506"/>
      <c r="D35" s="43"/>
      <c r="E35" s="43"/>
      <c r="F35" s="43"/>
      <c r="G35" s="43"/>
      <c r="H35" s="43"/>
      <c r="I35" s="172"/>
    </row>
    <row r="36" spans="1:10" ht="21.75" customHeight="1">
      <c r="A36" s="17"/>
      <c r="B36" s="17"/>
      <c r="C36" s="17"/>
      <c r="D36" s="17"/>
      <c r="E36" s="310" t="str">
        <f>"page 1/"&amp;IF(COUNTIF(辅助!K:K,"&gt;0")&lt;13,1,IF(COUNTIF(辅助!K:K,"&gt;0")&lt;25,2,3))</f>
        <v>page 1/1</v>
      </c>
      <c r="F36" s="17"/>
      <c r="G36" s="17"/>
      <c r="H36" s="17"/>
      <c r="I36" s="17"/>
    </row>
    <row r="37" spans="1:10" ht="22.5">
      <c r="A37" s="470" t="s">
        <v>44</v>
      </c>
      <c r="B37" s="470"/>
      <c r="C37" s="470"/>
      <c r="D37" s="470"/>
      <c r="E37" s="470"/>
      <c r="F37" s="470"/>
      <c r="G37" s="470"/>
      <c r="H37" s="470"/>
      <c r="I37" s="470"/>
    </row>
    <row r="38" spans="1:10" ht="3.75" customHeight="1">
      <c r="A38" s="17"/>
      <c r="B38" s="17"/>
      <c r="C38" s="17"/>
      <c r="D38" s="17"/>
      <c r="E38" s="17"/>
      <c r="F38" s="17"/>
      <c r="G38" s="17"/>
      <c r="H38" s="34"/>
      <c r="I38" s="48"/>
    </row>
    <row r="39" spans="1:10" ht="3.75" customHeight="1">
      <c r="A39" s="17"/>
      <c r="B39" s="17"/>
      <c r="C39" s="17"/>
      <c r="D39" s="17"/>
      <c r="E39" s="17"/>
      <c r="F39" s="17"/>
      <c r="G39" s="17"/>
      <c r="H39" s="17"/>
      <c r="I39" s="17"/>
    </row>
    <row r="40" spans="1:10" ht="15.75">
      <c r="A40" s="35" t="s">
        <v>43</v>
      </c>
      <c r="B40" s="36"/>
      <c r="C40" s="36"/>
      <c r="D40" s="37"/>
      <c r="E40" s="61"/>
      <c r="F40" s="77" t="s">
        <v>42</v>
      </c>
      <c r="G40" s="71"/>
      <c r="H40" s="36"/>
      <c r="I40" s="37"/>
    </row>
    <row r="41" spans="1:10" ht="15.75">
      <c r="A41" s="103" t="s">
        <v>75</v>
      </c>
      <c r="B41" s="58"/>
      <c r="C41" s="58"/>
      <c r="D41" s="59"/>
      <c r="E41" s="58"/>
      <c r="F41" s="57" t="str">
        <f>F6</f>
        <v xml:space="preserve"> Fluorochem Limited</v>
      </c>
      <c r="G41" s="192"/>
      <c r="H41" s="15"/>
      <c r="I41" s="38"/>
    </row>
    <row r="42" spans="1:10" ht="15" customHeight="1">
      <c r="A42" s="104" t="s">
        <v>527</v>
      </c>
      <c r="B42" s="60"/>
      <c r="C42" s="60"/>
      <c r="D42" s="59"/>
      <c r="E42" s="61"/>
      <c r="F42" s="53" t="str">
        <f>F7</f>
        <v>Unit 14 Graphite Way</v>
      </c>
      <c r="G42" s="7"/>
      <c r="H42" s="39"/>
      <c r="I42" s="38"/>
      <c r="J42" s="16"/>
    </row>
    <row r="43" spans="1:10" ht="15" customHeight="1">
      <c r="A43" s="104" t="s">
        <v>529</v>
      </c>
      <c r="B43" s="60"/>
      <c r="C43" s="60"/>
      <c r="D43" s="59"/>
      <c r="E43" s="61"/>
      <c r="F43" s="53" t="str">
        <f t="shared" ref="F43:F45" si="2">F8</f>
        <v>Hadfield  Derbyshire</v>
      </c>
      <c r="G43" s="7"/>
      <c r="H43" s="39"/>
      <c r="I43" s="38"/>
      <c r="J43" s="16"/>
    </row>
    <row r="44" spans="1:10" ht="15" customHeight="1">
      <c r="A44" s="105" t="s">
        <v>232</v>
      </c>
      <c r="B44" s="60"/>
      <c r="C44" s="60"/>
      <c r="D44" s="59"/>
      <c r="E44" s="61"/>
      <c r="F44" s="53" t="str">
        <f t="shared" si="2"/>
        <v>SK13 1QH UK</v>
      </c>
      <c r="G44" s="193"/>
      <c r="H44" s="39"/>
      <c r="I44" s="38"/>
      <c r="J44" s="14"/>
    </row>
    <row r="45" spans="1:10" ht="15">
      <c r="A45" s="106" t="s">
        <v>233</v>
      </c>
      <c r="B45" s="62"/>
      <c r="C45" s="62"/>
      <c r="D45" s="63"/>
      <c r="E45" s="61"/>
      <c r="F45" s="53" t="str">
        <f t="shared" si="2"/>
        <v>TEL:4401457860111</v>
      </c>
      <c r="G45" s="6"/>
      <c r="H45" s="18"/>
      <c r="I45" s="40"/>
      <c r="J45" s="14"/>
    </row>
    <row r="46" spans="1:10" ht="5.25" customHeight="1">
      <c r="A46" s="17"/>
      <c r="B46" s="17"/>
      <c r="C46" s="17"/>
      <c r="D46" s="17"/>
      <c r="E46" s="17"/>
      <c r="F46" s="17"/>
      <c r="G46" s="17"/>
      <c r="H46" s="17"/>
      <c r="I46" s="17"/>
      <c r="J46" s="14"/>
    </row>
    <row r="47" spans="1:10" s="68" customFormat="1">
      <c r="A47" s="471" t="s">
        <v>17</v>
      </c>
      <c r="B47" s="472"/>
      <c r="C47" s="235" t="str">
        <f>C12</f>
        <v>Order  No.</v>
      </c>
      <c r="D47" s="263" t="s">
        <v>369</v>
      </c>
      <c r="E47" s="67" t="s">
        <v>21</v>
      </c>
      <c r="F47" s="276" t="s">
        <v>19</v>
      </c>
      <c r="G47" s="276" t="s">
        <v>20</v>
      </c>
      <c r="H47" s="471" t="s">
        <v>30</v>
      </c>
      <c r="I47" s="472"/>
    </row>
    <row r="48" spans="1:10" s="68" customFormat="1" ht="12.75">
      <c r="A48" s="471"/>
      <c r="B48" s="472"/>
      <c r="C48" s="67" t="str">
        <f>C13</f>
        <v>P100426</v>
      </c>
      <c r="D48" s="67"/>
      <c r="E48" s="67"/>
      <c r="F48" s="29" t="s">
        <v>38</v>
      </c>
      <c r="G48" s="67"/>
      <c r="H48" s="471" t="s">
        <v>386</v>
      </c>
      <c r="I48" s="472"/>
      <c r="J48" s="30"/>
    </row>
    <row r="49" spans="1:14" s="68" customFormat="1" ht="12.75">
      <c r="A49" s="471" t="s">
        <v>22</v>
      </c>
      <c r="B49" s="473"/>
      <c r="C49" s="472"/>
      <c r="D49" s="263" t="s">
        <v>70</v>
      </c>
      <c r="E49" s="471" t="s">
        <v>23</v>
      </c>
      <c r="F49" s="472"/>
      <c r="G49" s="277" t="s">
        <v>29</v>
      </c>
      <c r="H49" s="471" t="s">
        <v>18</v>
      </c>
      <c r="I49" s="472"/>
      <c r="J49" s="30"/>
    </row>
    <row r="50" spans="1:14" s="28" customFormat="1" ht="15.75">
      <c r="A50" s="476" t="s">
        <v>39</v>
      </c>
      <c r="B50" s="477"/>
      <c r="C50" s="478"/>
      <c r="D50" s="27"/>
      <c r="E50" s="476" t="str">
        <f>E15</f>
        <v>UK</v>
      </c>
      <c r="F50" s="478"/>
      <c r="G50" s="79">
        <f ca="1">TODAY()</f>
        <v>43839</v>
      </c>
      <c r="H50" s="479" t="str">
        <f>发货清单!$AA$2</f>
        <v>20200109-607</v>
      </c>
      <c r="I50" s="480"/>
      <c r="J50" s="30"/>
    </row>
    <row r="51" spans="1:14" s="26" customFormat="1" ht="23.25" customHeight="1">
      <c r="A51" s="66" t="s">
        <v>24</v>
      </c>
      <c r="B51" s="481" t="s">
        <v>25</v>
      </c>
      <c r="C51" s="482"/>
      <c r="D51" s="483"/>
      <c r="E51" s="55" t="s">
        <v>28</v>
      </c>
      <c r="F51" s="482" t="str">
        <f>F16</f>
        <v>HS code</v>
      </c>
      <c r="G51" s="483"/>
      <c r="H51" s="311" t="s">
        <v>26</v>
      </c>
      <c r="I51" s="311" t="s">
        <v>27</v>
      </c>
      <c r="N51" s="47"/>
    </row>
    <row r="52" spans="1:14" s="44" customFormat="1" ht="30" customHeight="1">
      <c r="A52" s="176">
        <f>辅助!N14</f>
        <v>0</v>
      </c>
      <c r="B52" s="474" t="str">
        <f>IFERROR(辅助!P14&amp;CHAR(10)&amp;VLOOKUP(辅助!P14,数据库!C:G,5,0),"")</f>
        <v/>
      </c>
      <c r="C52" s="474"/>
      <c r="D52" s="474"/>
      <c r="E52" s="309" t="str">
        <f t="shared" ref="E52:E63" si="3">IF(A52=0,"","Glass/Plastic bottle")</f>
        <v/>
      </c>
      <c r="F52" s="475" t="str">
        <f>'Commercial Invoice3'!F52</f>
        <v/>
      </c>
      <c r="G52" s="475"/>
      <c r="H52" s="275">
        <f>IF(A52=0,0,I52/A52)</f>
        <v>0</v>
      </c>
      <c r="I52" s="177">
        <f>辅助!O14</f>
        <v>0</v>
      </c>
    </row>
    <row r="53" spans="1:14" s="44" customFormat="1" ht="30" customHeight="1">
      <c r="A53" s="176">
        <f>辅助!N15</f>
        <v>0</v>
      </c>
      <c r="B53" s="474" t="str">
        <f>IFERROR(辅助!P15&amp;CHAR(10)&amp;VLOOKUP(辅助!P15,数据库!C:G,5,0),"")</f>
        <v/>
      </c>
      <c r="C53" s="474"/>
      <c r="D53" s="474"/>
      <c r="E53" s="309" t="str">
        <f t="shared" si="3"/>
        <v/>
      </c>
      <c r="F53" s="475" t="str">
        <f>'Commercial Invoice3'!F53</f>
        <v/>
      </c>
      <c r="G53" s="475"/>
      <c r="H53" s="275">
        <f>IF(A53=0,0,I53/A53)</f>
        <v>0</v>
      </c>
      <c r="I53" s="177">
        <f>辅助!O15</f>
        <v>0</v>
      </c>
    </row>
    <row r="54" spans="1:14" s="44" customFormat="1" ht="30" customHeight="1">
      <c r="A54" s="176">
        <f>辅助!N16</f>
        <v>0</v>
      </c>
      <c r="B54" s="474" t="str">
        <f>IFERROR(辅助!P16&amp;CHAR(10)&amp;VLOOKUP(辅助!P16,数据库!C:G,5,0),"")</f>
        <v/>
      </c>
      <c r="C54" s="474"/>
      <c r="D54" s="474"/>
      <c r="E54" s="309" t="str">
        <f t="shared" si="3"/>
        <v/>
      </c>
      <c r="F54" s="475" t="str">
        <f>'Commercial Invoice3'!F54</f>
        <v/>
      </c>
      <c r="G54" s="475"/>
      <c r="H54" s="275">
        <f t="shared" ref="H54:H63" si="4">IF(A54=0,0,I54/A54)</f>
        <v>0</v>
      </c>
      <c r="I54" s="177">
        <f>辅助!O16</f>
        <v>0</v>
      </c>
    </row>
    <row r="55" spans="1:14" s="44" customFormat="1" ht="30" customHeight="1">
      <c r="A55" s="176">
        <f>辅助!N17</f>
        <v>0</v>
      </c>
      <c r="B55" s="474" t="str">
        <f>IFERROR(辅助!P17&amp;CHAR(10)&amp;VLOOKUP(辅助!P17,数据库!C:G,5,0),"")</f>
        <v/>
      </c>
      <c r="C55" s="474"/>
      <c r="D55" s="474"/>
      <c r="E55" s="309" t="str">
        <f t="shared" si="3"/>
        <v/>
      </c>
      <c r="F55" s="475" t="str">
        <f>'Commercial Invoice3'!F55</f>
        <v/>
      </c>
      <c r="G55" s="475"/>
      <c r="H55" s="275">
        <f t="shared" si="4"/>
        <v>0</v>
      </c>
      <c r="I55" s="177">
        <f>辅助!O17</f>
        <v>0</v>
      </c>
    </row>
    <row r="56" spans="1:14" s="44" customFormat="1" ht="30" customHeight="1">
      <c r="A56" s="176">
        <f>辅助!N18</f>
        <v>0</v>
      </c>
      <c r="B56" s="474" t="str">
        <f>IFERROR(辅助!P18&amp;CHAR(10)&amp;VLOOKUP(辅助!P18,数据库!C:G,5,0),"")</f>
        <v/>
      </c>
      <c r="C56" s="474"/>
      <c r="D56" s="474"/>
      <c r="E56" s="309" t="str">
        <f t="shared" si="3"/>
        <v/>
      </c>
      <c r="F56" s="475" t="str">
        <f>'Commercial Invoice3'!F56</f>
        <v/>
      </c>
      <c r="G56" s="475"/>
      <c r="H56" s="275">
        <f t="shared" si="4"/>
        <v>0</v>
      </c>
      <c r="I56" s="177">
        <f>辅助!O18</f>
        <v>0</v>
      </c>
    </row>
    <row r="57" spans="1:14" s="44" customFormat="1" ht="30" customHeight="1">
      <c r="A57" s="176">
        <f>辅助!N19</f>
        <v>0</v>
      </c>
      <c r="B57" s="474" t="str">
        <f>IFERROR(辅助!P19&amp;CHAR(10)&amp;VLOOKUP(辅助!P19,数据库!C:G,5,0),"")</f>
        <v/>
      </c>
      <c r="C57" s="474"/>
      <c r="D57" s="474"/>
      <c r="E57" s="309" t="str">
        <f t="shared" si="3"/>
        <v/>
      </c>
      <c r="F57" s="475" t="str">
        <f>'Commercial Invoice3'!F57</f>
        <v/>
      </c>
      <c r="G57" s="475"/>
      <c r="H57" s="275">
        <f t="shared" si="4"/>
        <v>0</v>
      </c>
      <c r="I57" s="177">
        <f>辅助!O19</f>
        <v>0</v>
      </c>
    </row>
    <row r="58" spans="1:14" s="44" customFormat="1" ht="30" customHeight="1">
      <c r="A58" s="176">
        <f>辅助!N20</f>
        <v>0</v>
      </c>
      <c r="B58" s="474" t="str">
        <f>IFERROR(辅助!P20&amp;CHAR(10)&amp;VLOOKUP(辅助!P20,数据库!C:G,5,0),"")</f>
        <v/>
      </c>
      <c r="C58" s="474"/>
      <c r="D58" s="474"/>
      <c r="E58" s="309" t="str">
        <f t="shared" si="3"/>
        <v/>
      </c>
      <c r="F58" s="475" t="str">
        <f>'Commercial Invoice3'!F58</f>
        <v/>
      </c>
      <c r="G58" s="475"/>
      <c r="H58" s="275">
        <f t="shared" si="4"/>
        <v>0</v>
      </c>
      <c r="I58" s="177">
        <f>辅助!O20</f>
        <v>0</v>
      </c>
    </row>
    <row r="59" spans="1:14" s="44" customFormat="1" ht="30" customHeight="1">
      <c r="A59" s="176">
        <f>辅助!N21</f>
        <v>0</v>
      </c>
      <c r="B59" s="474" t="str">
        <f>IFERROR(辅助!P21&amp;CHAR(10)&amp;VLOOKUP(辅助!P21,数据库!C:G,5,0),"")</f>
        <v/>
      </c>
      <c r="C59" s="474"/>
      <c r="D59" s="474"/>
      <c r="E59" s="309" t="str">
        <f t="shared" si="3"/>
        <v/>
      </c>
      <c r="F59" s="475" t="str">
        <f>'Commercial Invoice3'!F59</f>
        <v/>
      </c>
      <c r="G59" s="475"/>
      <c r="H59" s="275">
        <f t="shared" si="4"/>
        <v>0</v>
      </c>
      <c r="I59" s="177">
        <f>辅助!O21</f>
        <v>0</v>
      </c>
    </row>
    <row r="60" spans="1:14" s="44" customFormat="1" ht="30" customHeight="1">
      <c r="A60" s="176">
        <f>辅助!N22</f>
        <v>0</v>
      </c>
      <c r="B60" s="474" t="str">
        <f>IFERROR(辅助!P22&amp;CHAR(10)&amp;VLOOKUP(辅助!P22,数据库!C:G,5,0),"")</f>
        <v/>
      </c>
      <c r="C60" s="474"/>
      <c r="D60" s="474"/>
      <c r="E60" s="309" t="str">
        <f t="shared" si="3"/>
        <v/>
      </c>
      <c r="F60" s="475" t="str">
        <f>'Commercial Invoice3'!F60</f>
        <v/>
      </c>
      <c r="G60" s="475"/>
      <c r="H60" s="275">
        <f t="shared" si="4"/>
        <v>0</v>
      </c>
      <c r="I60" s="177">
        <f>辅助!O22</f>
        <v>0</v>
      </c>
    </row>
    <row r="61" spans="1:14" s="44" customFormat="1" ht="30" customHeight="1">
      <c r="A61" s="176">
        <f>辅助!N23</f>
        <v>0</v>
      </c>
      <c r="B61" s="474" t="str">
        <f>IFERROR(辅助!P23&amp;CHAR(10)&amp;VLOOKUP(辅助!P23,数据库!C:G,5,0),"")</f>
        <v/>
      </c>
      <c r="C61" s="474"/>
      <c r="D61" s="474"/>
      <c r="E61" s="309" t="str">
        <f t="shared" si="3"/>
        <v/>
      </c>
      <c r="F61" s="475" t="str">
        <f>'Commercial Invoice3'!F61</f>
        <v/>
      </c>
      <c r="G61" s="475"/>
      <c r="H61" s="275">
        <f t="shared" si="4"/>
        <v>0</v>
      </c>
      <c r="I61" s="177">
        <f>辅助!O23</f>
        <v>0</v>
      </c>
    </row>
    <row r="62" spans="1:14" s="44" customFormat="1" ht="30" customHeight="1">
      <c r="A62" s="176">
        <f>辅助!N24</f>
        <v>0</v>
      </c>
      <c r="B62" s="474" t="str">
        <f>IFERROR(辅助!P24&amp;CHAR(10)&amp;VLOOKUP(辅助!P24,数据库!C:G,5,0),"")</f>
        <v/>
      </c>
      <c r="C62" s="474"/>
      <c r="D62" s="474"/>
      <c r="E62" s="309" t="str">
        <f t="shared" si="3"/>
        <v/>
      </c>
      <c r="F62" s="475" t="str">
        <f>'Commercial Invoice3'!F62</f>
        <v/>
      </c>
      <c r="G62" s="475"/>
      <c r="H62" s="275">
        <f t="shared" si="4"/>
        <v>0</v>
      </c>
      <c r="I62" s="177">
        <f>辅助!O24</f>
        <v>0</v>
      </c>
    </row>
    <row r="63" spans="1:14" s="44" customFormat="1" ht="30" customHeight="1">
      <c r="A63" s="176">
        <f>辅助!N25</f>
        <v>0</v>
      </c>
      <c r="B63" s="474" t="str">
        <f>IFERROR(辅助!P25&amp;CHAR(10)&amp;VLOOKUP(辅助!P25,数据库!C:G,5,0),"")</f>
        <v/>
      </c>
      <c r="C63" s="474"/>
      <c r="D63" s="474"/>
      <c r="E63" s="309" t="str">
        <f t="shared" si="3"/>
        <v/>
      </c>
      <c r="F63" s="475" t="str">
        <f>'Commercial Invoice3'!F63</f>
        <v/>
      </c>
      <c r="G63" s="475"/>
      <c r="H63" s="275">
        <f t="shared" si="4"/>
        <v>0</v>
      </c>
      <c r="I63" s="177">
        <f>辅助!O25</f>
        <v>0</v>
      </c>
    </row>
    <row r="64" spans="1:14" s="44" customFormat="1" ht="37.5" customHeight="1" thickBot="1">
      <c r="A64" s="176"/>
      <c r="B64" s="510" t="str">
        <f>IF(COUNTIF(辅助!N:N,"&gt;0")&lt;=24,"Total Net Weight（g）:   "&amp;SUM(辅助!N:N)," ")&amp;CHAR(10)&amp;IF(COUNTIF(辅助!N:N,"&gt;0")&lt;=24,"Gross Weight(kg):   "&amp;发货清单!Y2," ")</f>
        <v>Total Net Weight（g）:   3266
Gross Weight(kg):   10</v>
      </c>
      <c r="C64" s="511"/>
      <c r="D64" s="512"/>
      <c r="E64" s="66"/>
      <c r="F64" s="475"/>
      <c r="G64" s="475"/>
      <c r="H64" s="278" t="str">
        <f>IF(COUNTIF(辅助!O:O,"&gt;0")&lt;=24,"TOTAL:"," ")</f>
        <v>TOTAL:</v>
      </c>
      <c r="I64" s="274">
        <f>IF(COUNTIF(辅助!O:O,"&gt;0")&lt;=24,SUM(辅助!O:O)," ")</f>
        <v>3532.9</v>
      </c>
    </row>
    <row r="65" spans="1:10" ht="15.75">
      <c r="A65" s="169" t="s">
        <v>31</v>
      </c>
      <c r="B65" s="170"/>
      <c r="C65" s="170"/>
      <c r="D65" s="171"/>
      <c r="E65" s="41"/>
      <c r="F65" s="484"/>
      <c r="G65" s="484"/>
      <c r="H65" s="484"/>
      <c r="I65" s="485"/>
    </row>
    <row r="66" spans="1:10" ht="15" customHeight="1">
      <c r="A66" s="486" t="str">
        <f>A31</f>
        <v>I certify that all chemicals in this shipment are not subject to TSCA.</v>
      </c>
      <c r="B66" s="487"/>
      <c r="C66" s="488"/>
      <c r="D66" s="39"/>
      <c r="E66" s="492" t="s">
        <v>73</v>
      </c>
      <c r="F66" s="493"/>
      <c r="G66" s="493"/>
      <c r="H66" s="493"/>
      <c r="I66" s="494"/>
    </row>
    <row r="67" spans="1:10" ht="12.75" customHeight="1" thickBot="1">
      <c r="A67" s="489"/>
      <c r="B67" s="490"/>
      <c r="C67" s="491"/>
      <c r="D67" s="39"/>
      <c r="E67" s="495"/>
      <c r="F67" s="496"/>
      <c r="G67" s="496"/>
      <c r="H67" s="496"/>
      <c r="I67" s="497"/>
    </row>
    <row r="68" spans="1:10" ht="16.5" customHeight="1" thickBot="1">
      <c r="A68" s="498" t="s">
        <v>525</v>
      </c>
      <c r="B68" s="499"/>
      <c r="C68" s="500"/>
      <c r="D68" s="39"/>
      <c r="E68" s="42" t="s">
        <v>71</v>
      </c>
      <c r="F68" s="39"/>
      <c r="G68" s="507" t="str">
        <f>G33</f>
        <v>2786337676</v>
      </c>
      <c r="H68" s="508"/>
      <c r="I68" s="509"/>
    </row>
    <row r="69" spans="1:10" ht="32.25" customHeight="1" thickBot="1">
      <c r="A69" s="501"/>
      <c r="B69" s="502"/>
      <c r="C69" s="503"/>
      <c r="D69" s="39"/>
      <c r="E69" s="42" t="s">
        <v>34</v>
      </c>
      <c r="F69" s="39"/>
      <c r="G69" s="43"/>
      <c r="H69" s="43"/>
      <c r="I69" s="172"/>
    </row>
    <row r="70" spans="1:10" ht="15" thickBot="1">
      <c r="A70" s="504"/>
      <c r="B70" s="505"/>
      <c r="C70" s="506"/>
      <c r="D70" s="43"/>
      <c r="E70" s="43"/>
      <c r="F70" s="43"/>
      <c r="G70" s="43"/>
      <c r="H70" s="43"/>
      <c r="I70" s="172"/>
    </row>
    <row r="71" spans="1:10" ht="17.25" customHeight="1">
      <c r="A71" s="17"/>
      <c r="B71" s="17"/>
      <c r="C71" s="17"/>
      <c r="D71" s="17"/>
      <c r="E71" s="310" t="str">
        <f>"page 2/"&amp;IF(COUNTIF(辅助!K:K,"&gt;0")&lt;25,2,3)</f>
        <v>page 2/2</v>
      </c>
      <c r="F71" s="17"/>
      <c r="G71" s="17"/>
      <c r="H71" s="17"/>
      <c r="I71" s="17"/>
    </row>
    <row r="72" spans="1:10" ht="22.5">
      <c r="A72" s="470" t="s">
        <v>44</v>
      </c>
      <c r="B72" s="470"/>
      <c r="C72" s="470"/>
      <c r="D72" s="470"/>
      <c r="E72" s="470"/>
      <c r="F72" s="470"/>
      <c r="G72" s="470"/>
      <c r="H72" s="470"/>
      <c r="I72" s="470"/>
    </row>
    <row r="73" spans="1:10" ht="3.75" customHeight="1">
      <c r="A73" s="17"/>
      <c r="B73" s="17"/>
      <c r="C73" s="17"/>
      <c r="D73" s="17"/>
      <c r="E73" s="17"/>
      <c r="F73" s="17"/>
      <c r="G73" s="17"/>
      <c r="H73" s="34"/>
      <c r="I73" s="48"/>
    </row>
    <row r="74" spans="1:10" ht="3.75" customHeight="1">
      <c r="A74" s="17"/>
      <c r="B74" s="17"/>
      <c r="C74" s="17"/>
      <c r="D74" s="17"/>
      <c r="E74" s="17"/>
      <c r="F74" s="17"/>
      <c r="G74" s="17"/>
      <c r="H74" s="17"/>
      <c r="I74" s="17"/>
    </row>
    <row r="75" spans="1:10" ht="15.75">
      <c r="A75" s="35" t="s">
        <v>43</v>
      </c>
      <c r="B75" s="36"/>
      <c r="C75" s="36"/>
      <c r="D75" s="37"/>
      <c r="E75" s="61"/>
      <c r="F75" s="77" t="s">
        <v>42</v>
      </c>
      <c r="G75" s="71"/>
      <c r="H75" s="36"/>
      <c r="I75" s="37"/>
    </row>
    <row r="76" spans="1:10" ht="15.75">
      <c r="A76" s="103" t="s">
        <v>75</v>
      </c>
      <c r="B76" s="58"/>
      <c r="C76" s="58"/>
      <c r="D76" s="59"/>
      <c r="E76" s="58"/>
      <c r="F76" s="57" t="str">
        <f>F6</f>
        <v xml:space="preserve"> Fluorochem Limited</v>
      </c>
      <c r="G76" s="192"/>
      <c r="H76" s="15"/>
      <c r="I76" s="38"/>
    </row>
    <row r="77" spans="1:10" ht="15" customHeight="1">
      <c r="A77" s="104" t="s">
        <v>527</v>
      </c>
      <c r="B77" s="60"/>
      <c r="C77" s="60"/>
      <c r="D77" s="59"/>
      <c r="E77" s="61"/>
      <c r="F77" s="53" t="str">
        <f>F7</f>
        <v>Unit 14 Graphite Way</v>
      </c>
      <c r="G77" s="7"/>
      <c r="H77" s="39"/>
      <c r="I77" s="38"/>
      <c r="J77" s="16"/>
    </row>
    <row r="78" spans="1:10" ht="15" customHeight="1">
      <c r="A78" s="104" t="s">
        <v>529</v>
      </c>
      <c r="B78" s="60"/>
      <c r="C78" s="60"/>
      <c r="D78" s="59"/>
      <c r="E78" s="61"/>
      <c r="F78" s="53" t="str">
        <f t="shared" ref="F78:F80" si="5">F8</f>
        <v>Hadfield  Derbyshire</v>
      </c>
      <c r="G78" s="7"/>
      <c r="H78" s="39"/>
      <c r="I78" s="38"/>
      <c r="J78" s="16"/>
    </row>
    <row r="79" spans="1:10" ht="15" customHeight="1">
      <c r="A79" s="105" t="s">
        <v>232</v>
      </c>
      <c r="B79" s="60"/>
      <c r="C79" s="60"/>
      <c r="D79" s="59"/>
      <c r="E79" s="61"/>
      <c r="F79" s="53" t="str">
        <f t="shared" si="5"/>
        <v>SK13 1QH UK</v>
      </c>
      <c r="G79" s="193"/>
      <c r="H79" s="39"/>
      <c r="I79" s="38"/>
      <c r="J79" s="14"/>
    </row>
    <row r="80" spans="1:10" ht="15">
      <c r="A80" s="106" t="s">
        <v>233</v>
      </c>
      <c r="B80" s="62"/>
      <c r="C80" s="62"/>
      <c r="D80" s="63"/>
      <c r="E80" s="61"/>
      <c r="F80" s="53" t="str">
        <f t="shared" si="5"/>
        <v>TEL:4401457860111</v>
      </c>
      <c r="G80" s="6"/>
      <c r="H80" s="18"/>
      <c r="I80" s="40"/>
      <c r="J80" s="14"/>
    </row>
    <row r="81" spans="1:14" ht="3.75" customHeight="1">
      <c r="A81" s="17"/>
      <c r="B81" s="17"/>
      <c r="C81" s="17"/>
      <c r="D81" s="17"/>
      <c r="E81" s="17"/>
      <c r="F81" s="17"/>
      <c r="G81" s="17"/>
      <c r="H81" s="17"/>
      <c r="I81" s="17"/>
      <c r="J81" s="14"/>
    </row>
    <row r="82" spans="1:14" s="68" customFormat="1">
      <c r="A82" s="471" t="s">
        <v>17</v>
      </c>
      <c r="B82" s="472"/>
      <c r="C82" s="235" t="str">
        <f>C47</f>
        <v>Order  No.</v>
      </c>
      <c r="D82" s="263" t="s">
        <v>369</v>
      </c>
      <c r="E82" s="67" t="s">
        <v>21</v>
      </c>
      <c r="F82" s="276" t="s">
        <v>19</v>
      </c>
      <c r="G82" s="276" t="s">
        <v>20</v>
      </c>
      <c r="H82" s="471" t="s">
        <v>30</v>
      </c>
      <c r="I82" s="472"/>
    </row>
    <row r="83" spans="1:14" s="68" customFormat="1" ht="12.75">
      <c r="A83" s="471"/>
      <c r="B83" s="472"/>
      <c r="C83" s="67" t="str">
        <f>C48</f>
        <v>P100426</v>
      </c>
      <c r="D83" s="67"/>
      <c r="E83" s="67"/>
      <c r="F83" s="29" t="s">
        <v>38</v>
      </c>
      <c r="G83" s="67"/>
      <c r="H83" s="471" t="s">
        <v>386</v>
      </c>
      <c r="I83" s="472"/>
      <c r="J83" s="30"/>
    </row>
    <row r="84" spans="1:14" s="68" customFormat="1" ht="12.75">
      <c r="A84" s="471" t="s">
        <v>22</v>
      </c>
      <c r="B84" s="473"/>
      <c r="C84" s="472"/>
      <c r="D84" s="263" t="s">
        <v>70</v>
      </c>
      <c r="E84" s="471" t="s">
        <v>23</v>
      </c>
      <c r="F84" s="472"/>
      <c r="G84" s="277" t="s">
        <v>29</v>
      </c>
      <c r="H84" s="471" t="s">
        <v>18</v>
      </c>
      <c r="I84" s="472"/>
      <c r="J84" s="30"/>
    </row>
    <row r="85" spans="1:14" s="28" customFormat="1" ht="15.75">
      <c r="A85" s="476" t="s">
        <v>39</v>
      </c>
      <c r="B85" s="477"/>
      <c r="C85" s="478"/>
      <c r="D85" s="27"/>
      <c r="E85" s="476" t="str">
        <f>E15</f>
        <v>UK</v>
      </c>
      <c r="F85" s="478"/>
      <c r="G85" s="79">
        <f ca="1">TODAY()</f>
        <v>43839</v>
      </c>
      <c r="H85" s="479" t="str">
        <f>发货清单!$AA$2</f>
        <v>20200109-607</v>
      </c>
      <c r="I85" s="480"/>
      <c r="J85" s="30"/>
    </row>
    <row r="86" spans="1:14" s="26" customFormat="1" ht="23.25" customHeight="1">
      <c r="A86" s="66" t="s">
        <v>24</v>
      </c>
      <c r="B86" s="481" t="s">
        <v>25</v>
      </c>
      <c r="C86" s="482"/>
      <c r="D86" s="483"/>
      <c r="E86" s="55" t="s">
        <v>28</v>
      </c>
      <c r="F86" s="482" t="str">
        <f>F51</f>
        <v>HS code</v>
      </c>
      <c r="G86" s="483"/>
      <c r="H86" s="311" t="s">
        <v>26</v>
      </c>
      <c r="I86" s="311" t="s">
        <v>27</v>
      </c>
      <c r="N86" s="47"/>
    </row>
    <row r="87" spans="1:14" s="44" customFormat="1" ht="30" customHeight="1">
      <c r="A87" s="176">
        <f>辅助!N26</f>
        <v>0</v>
      </c>
      <c r="B87" s="474" t="str">
        <f>IFERROR(辅助!P26&amp;CHAR(10)&amp;VLOOKUP(辅助!P26,数据库!C:G,5,0),"")</f>
        <v/>
      </c>
      <c r="C87" s="474"/>
      <c r="D87" s="474"/>
      <c r="E87" s="309" t="str">
        <f t="shared" ref="E87:E98" si="6">IF(A87=0,"","Glass/Plastic bottle")</f>
        <v/>
      </c>
      <c r="F87" s="475" t="str">
        <f>'Commercial Invoice3'!F87</f>
        <v/>
      </c>
      <c r="G87" s="475"/>
      <c r="H87" s="275">
        <f>IF(A87=0,0,I87/A87)</f>
        <v>0</v>
      </c>
      <c r="I87" s="177">
        <f>辅助!O26</f>
        <v>0</v>
      </c>
    </row>
    <row r="88" spans="1:14" s="44" customFormat="1" ht="30" customHeight="1">
      <c r="A88" s="176">
        <f>辅助!N27</f>
        <v>0</v>
      </c>
      <c r="B88" s="474" t="str">
        <f>IFERROR(辅助!P27&amp;CHAR(10)&amp;VLOOKUP(辅助!P27,数据库!C:G,5,0),"")</f>
        <v/>
      </c>
      <c r="C88" s="474"/>
      <c r="D88" s="474"/>
      <c r="E88" s="309" t="str">
        <f t="shared" si="6"/>
        <v/>
      </c>
      <c r="F88" s="475" t="str">
        <f>'Commercial Invoice3'!F88</f>
        <v/>
      </c>
      <c r="G88" s="475"/>
      <c r="H88" s="275">
        <f>IF(A88=0,0,I88/A88)</f>
        <v>0</v>
      </c>
      <c r="I88" s="177">
        <f>辅助!O27</f>
        <v>0</v>
      </c>
    </row>
    <row r="89" spans="1:14" s="44" customFormat="1" ht="30" customHeight="1">
      <c r="A89" s="176">
        <f>辅助!N28</f>
        <v>0</v>
      </c>
      <c r="B89" s="474" t="str">
        <f>IFERROR(辅助!P28&amp;CHAR(10)&amp;VLOOKUP(辅助!P28,数据库!C:G,5,0),"")</f>
        <v/>
      </c>
      <c r="C89" s="474"/>
      <c r="D89" s="474"/>
      <c r="E89" s="309" t="str">
        <f t="shared" si="6"/>
        <v/>
      </c>
      <c r="F89" s="475" t="str">
        <f>'Commercial Invoice3'!F89</f>
        <v/>
      </c>
      <c r="G89" s="475"/>
      <c r="H89" s="275">
        <f t="shared" ref="H89:H98" si="7">IF(A89=0,0,I89/A89)</f>
        <v>0</v>
      </c>
      <c r="I89" s="177">
        <f>辅助!O28</f>
        <v>0</v>
      </c>
    </row>
    <row r="90" spans="1:14" s="44" customFormat="1" ht="30" customHeight="1">
      <c r="A90" s="176">
        <f>辅助!N29</f>
        <v>0</v>
      </c>
      <c r="B90" s="474" t="str">
        <f>IFERROR(辅助!P29&amp;CHAR(10)&amp;VLOOKUP(辅助!P29,数据库!C:G,5,0),"")</f>
        <v/>
      </c>
      <c r="C90" s="474"/>
      <c r="D90" s="474"/>
      <c r="E90" s="309" t="str">
        <f t="shared" si="6"/>
        <v/>
      </c>
      <c r="F90" s="475" t="str">
        <f>'Commercial Invoice3'!F90</f>
        <v/>
      </c>
      <c r="G90" s="475"/>
      <c r="H90" s="275">
        <f t="shared" si="7"/>
        <v>0</v>
      </c>
      <c r="I90" s="177">
        <f>辅助!O29</f>
        <v>0</v>
      </c>
    </row>
    <row r="91" spans="1:14" s="44" customFormat="1" ht="30" customHeight="1">
      <c r="A91" s="176">
        <f>辅助!N30</f>
        <v>0</v>
      </c>
      <c r="B91" s="474" t="str">
        <f>IFERROR(辅助!P30&amp;CHAR(10)&amp;VLOOKUP(辅助!P30,数据库!C:G,5,0),"")</f>
        <v/>
      </c>
      <c r="C91" s="474"/>
      <c r="D91" s="474"/>
      <c r="E91" s="309" t="str">
        <f t="shared" si="6"/>
        <v/>
      </c>
      <c r="F91" s="475" t="str">
        <f>'Commercial Invoice3'!F91</f>
        <v/>
      </c>
      <c r="G91" s="475"/>
      <c r="H91" s="275">
        <f t="shared" si="7"/>
        <v>0</v>
      </c>
      <c r="I91" s="177">
        <f>辅助!O30</f>
        <v>0</v>
      </c>
    </row>
    <row r="92" spans="1:14" s="44" customFormat="1" ht="30" customHeight="1">
      <c r="A92" s="176">
        <f>辅助!N31</f>
        <v>0</v>
      </c>
      <c r="B92" s="474" t="str">
        <f>IFERROR(辅助!P31&amp;CHAR(10)&amp;VLOOKUP(辅助!P31,数据库!C:G,5,0),"")</f>
        <v/>
      </c>
      <c r="C92" s="474"/>
      <c r="D92" s="474"/>
      <c r="E92" s="309" t="str">
        <f t="shared" si="6"/>
        <v/>
      </c>
      <c r="F92" s="475" t="str">
        <f>'Commercial Invoice3'!F92</f>
        <v/>
      </c>
      <c r="G92" s="475"/>
      <c r="H92" s="275">
        <f t="shared" si="7"/>
        <v>0</v>
      </c>
      <c r="I92" s="177">
        <f>辅助!O31</f>
        <v>0</v>
      </c>
    </row>
    <row r="93" spans="1:14" s="44" customFormat="1" ht="30" customHeight="1">
      <c r="A93" s="176">
        <f>辅助!N32</f>
        <v>0</v>
      </c>
      <c r="B93" s="474" t="str">
        <f>IFERROR(辅助!P32&amp;CHAR(10)&amp;VLOOKUP(辅助!P32,数据库!C:G,5,0),"")</f>
        <v/>
      </c>
      <c r="C93" s="474"/>
      <c r="D93" s="474"/>
      <c r="E93" s="309" t="str">
        <f t="shared" si="6"/>
        <v/>
      </c>
      <c r="F93" s="475" t="str">
        <f>'Commercial Invoice3'!F93</f>
        <v/>
      </c>
      <c r="G93" s="475"/>
      <c r="H93" s="275">
        <f t="shared" si="7"/>
        <v>0</v>
      </c>
      <c r="I93" s="177">
        <f>辅助!O32</f>
        <v>0</v>
      </c>
    </row>
    <row r="94" spans="1:14" s="44" customFormat="1" ht="30" customHeight="1">
      <c r="A94" s="176">
        <f>辅助!N33</f>
        <v>0</v>
      </c>
      <c r="B94" s="474" t="str">
        <f>IFERROR(辅助!P33&amp;CHAR(10)&amp;VLOOKUP(辅助!P33,数据库!C:G,5,0),"")</f>
        <v/>
      </c>
      <c r="C94" s="474"/>
      <c r="D94" s="474"/>
      <c r="E94" s="309" t="str">
        <f t="shared" si="6"/>
        <v/>
      </c>
      <c r="F94" s="475" t="str">
        <f>'Commercial Invoice3'!F94</f>
        <v/>
      </c>
      <c r="G94" s="475"/>
      <c r="H94" s="275">
        <f t="shared" si="7"/>
        <v>0</v>
      </c>
      <c r="I94" s="177">
        <f>辅助!O33</f>
        <v>0</v>
      </c>
    </row>
    <row r="95" spans="1:14" s="44" customFormat="1" ht="30" customHeight="1">
      <c r="A95" s="176">
        <f>辅助!N34</f>
        <v>0</v>
      </c>
      <c r="B95" s="474" t="str">
        <f>IFERROR(辅助!P34&amp;CHAR(10)&amp;VLOOKUP(辅助!P34,数据库!C:G,5,0),"")</f>
        <v/>
      </c>
      <c r="C95" s="474"/>
      <c r="D95" s="474"/>
      <c r="E95" s="309" t="str">
        <f t="shared" si="6"/>
        <v/>
      </c>
      <c r="F95" s="475" t="str">
        <f>'Commercial Invoice3'!F95</f>
        <v/>
      </c>
      <c r="G95" s="475"/>
      <c r="H95" s="275">
        <f t="shared" si="7"/>
        <v>0</v>
      </c>
      <c r="I95" s="177">
        <f>辅助!O34</f>
        <v>0</v>
      </c>
    </row>
    <row r="96" spans="1:14" s="44" customFormat="1" ht="30" customHeight="1">
      <c r="A96" s="176">
        <f>辅助!N35</f>
        <v>0</v>
      </c>
      <c r="B96" s="474" t="str">
        <f>IFERROR(辅助!P35&amp;CHAR(10)&amp;VLOOKUP(辅助!P35,数据库!C:G,5,0),"")</f>
        <v/>
      </c>
      <c r="C96" s="474"/>
      <c r="D96" s="474"/>
      <c r="E96" s="309" t="str">
        <f t="shared" si="6"/>
        <v/>
      </c>
      <c r="F96" s="475" t="str">
        <f>'Commercial Invoice3'!F96</f>
        <v/>
      </c>
      <c r="G96" s="475"/>
      <c r="H96" s="275">
        <f t="shared" si="7"/>
        <v>0</v>
      </c>
      <c r="I96" s="177">
        <f>辅助!O35</f>
        <v>0</v>
      </c>
    </row>
    <row r="97" spans="1:9" s="44" customFormat="1" ht="30" customHeight="1">
      <c r="A97" s="176">
        <f>辅助!N36</f>
        <v>0</v>
      </c>
      <c r="B97" s="474" t="str">
        <f>IFERROR(辅助!P36&amp;CHAR(10)&amp;VLOOKUP(辅助!P36,数据库!C:G,5,0),"")</f>
        <v/>
      </c>
      <c r="C97" s="474"/>
      <c r="D97" s="474"/>
      <c r="E97" s="309" t="str">
        <f t="shared" si="6"/>
        <v/>
      </c>
      <c r="F97" s="475" t="str">
        <f>'Commercial Invoice3'!F97</f>
        <v/>
      </c>
      <c r="G97" s="475"/>
      <c r="H97" s="275">
        <f t="shared" si="7"/>
        <v>0</v>
      </c>
      <c r="I97" s="177">
        <f>辅助!O36</f>
        <v>0</v>
      </c>
    </row>
    <row r="98" spans="1:9" s="44" customFormat="1" ht="30" customHeight="1">
      <c r="A98" s="176">
        <f>辅助!N37</f>
        <v>0</v>
      </c>
      <c r="B98" s="474" t="str">
        <f>IFERROR(辅助!P37&amp;CHAR(10)&amp;VLOOKUP(辅助!P37,数据库!C:G,5,0),"")</f>
        <v/>
      </c>
      <c r="C98" s="474"/>
      <c r="D98" s="474"/>
      <c r="E98" s="309" t="str">
        <f t="shared" si="6"/>
        <v/>
      </c>
      <c r="F98" s="475" t="str">
        <f>'Commercial Invoice3'!F98</f>
        <v/>
      </c>
      <c r="G98" s="475"/>
      <c r="H98" s="275">
        <f t="shared" si="7"/>
        <v>0</v>
      </c>
      <c r="I98" s="177">
        <f>辅助!O37</f>
        <v>0</v>
      </c>
    </row>
    <row r="99" spans="1:9" s="44" customFormat="1" ht="37.5" customHeight="1" thickBot="1">
      <c r="A99" s="176"/>
      <c r="B99" s="510" t="str">
        <f>IF(COUNTIF(辅助!N:N,"&gt;0")&lt;=36,"Total Net Weight（g）:   "&amp;SUM(辅助!N:N)," ")&amp;CHAR(10)&amp;IF(COUNTIF(辅助!N:N,"&gt;0")&lt;=36,"Gross Weight(kg):   "&amp;发货清单!Y2," ")</f>
        <v>Total Net Weight（g）:   3266
Gross Weight(kg):   10</v>
      </c>
      <c r="C99" s="511"/>
      <c r="D99" s="512"/>
      <c r="E99" s="66"/>
      <c r="F99" s="475"/>
      <c r="G99" s="475"/>
      <c r="H99" s="278" t="str">
        <f>IF(COUNTIF(辅助!O:O,"&gt;0")&lt;=36,"TOTAL:"," ")</f>
        <v>TOTAL:</v>
      </c>
      <c r="I99" s="274">
        <f>IF(COUNTIF(辅助!O:O,"&gt;0")&lt;=36,SUM(辅助!O:O)," ")</f>
        <v>3532.9</v>
      </c>
    </row>
    <row r="100" spans="1:9" ht="15.75">
      <c r="A100" s="169" t="s">
        <v>31</v>
      </c>
      <c r="B100" s="170"/>
      <c r="C100" s="170"/>
      <c r="D100" s="171"/>
      <c r="E100" s="41"/>
      <c r="F100" s="484"/>
      <c r="G100" s="484"/>
      <c r="H100" s="484"/>
      <c r="I100" s="485"/>
    </row>
    <row r="101" spans="1:9" ht="15" customHeight="1">
      <c r="A101" s="486" t="str">
        <f>A66</f>
        <v>I certify that all chemicals in this shipment are not subject to TSCA.</v>
      </c>
      <c r="B101" s="487"/>
      <c r="C101" s="488"/>
      <c r="D101" s="39"/>
      <c r="E101" s="492" t="s">
        <v>73</v>
      </c>
      <c r="F101" s="493"/>
      <c r="G101" s="493"/>
      <c r="H101" s="493"/>
      <c r="I101" s="494"/>
    </row>
    <row r="102" spans="1:9" ht="10.5" customHeight="1" thickBot="1">
      <c r="A102" s="489"/>
      <c r="B102" s="490"/>
      <c r="C102" s="491"/>
      <c r="D102" s="39"/>
      <c r="E102" s="495"/>
      <c r="F102" s="496"/>
      <c r="G102" s="496"/>
      <c r="H102" s="496"/>
      <c r="I102" s="497"/>
    </row>
    <row r="103" spans="1:9" ht="16.5" customHeight="1" thickBot="1">
      <c r="A103" s="498" t="s">
        <v>525</v>
      </c>
      <c r="B103" s="499"/>
      <c r="C103" s="500"/>
      <c r="D103" s="39"/>
      <c r="E103" s="42" t="s">
        <v>71</v>
      </c>
      <c r="F103" s="39"/>
      <c r="G103" s="507" t="str">
        <f>G33</f>
        <v>2786337676</v>
      </c>
      <c r="H103" s="508"/>
      <c r="I103" s="509"/>
    </row>
    <row r="104" spans="1:9" ht="32.25" customHeight="1" thickBot="1">
      <c r="A104" s="501"/>
      <c r="B104" s="502"/>
      <c r="C104" s="503"/>
      <c r="D104" s="39"/>
      <c r="E104" s="42" t="s">
        <v>34</v>
      </c>
      <c r="F104" s="39"/>
      <c r="G104" s="43"/>
      <c r="H104" s="43"/>
      <c r="I104" s="172"/>
    </row>
    <row r="105" spans="1:9" ht="15" thickBot="1">
      <c r="A105" s="504"/>
      <c r="B105" s="505"/>
      <c r="C105" s="506"/>
      <c r="D105" s="43"/>
      <c r="E105" s="43"/>
      <c r="F105" s="43"/>
      <c r="G105" s="43"/>
      <c r="H105" s="43"/>
      <c r="I105" s="172"/>
    </row>
    <row r="106" spans="1:9">
      <c r="E106" s="19" t="s">
        <v>568</v>
      </c>
    </row>
  </sheetData>
  <mergeCells count="135">
    <mergeCell ref="A2:I2"/>
    <mergeCell ref="A12:B12"/>
    <mergeCell ref="H12:I12"/>
    <mergeCell ref="A13:B13"/>
    <mergeCell ref="H13:I13"/>
    <mergeCell ref="A14:C14"/>
    <mergeCell ref="E14:F14"/>
    <mergeCell ref="H14:I14"/>
    <mergeCell ref="B18:D18"/>
    <mergeCell ref="F18:G18"/>
    <mergeCell ref="B19:D19"/>
    <mergeCell ref="F19:G19"/>
    <mergeCell ref="B20:D20"/>
    <mergeCell ref="F20:G20"/>
    <mergeCell ref="A15:C15"/>
    <mergeCell ref="E15:F15"/>
    <mergeCell ref="H15:I15"/>
    <mergeCell ref="B16:D16"/>
    <mergeCell ref="F16:G16"/>
    <mergeCell ref="B17:D17"/>
    <mergeCell ref="F17:G17"/>
    <mergeCell ref="B24:D24"/>
    <mergeCell ref="F24:G24"/>
    <mergeCell ref="B25:D25"/>
    <mergeCell ref="F25:G25"/>
    <mergeCell ref="B26:D26"/>
    <mergeCell ref="F26:G26"/>
    <mergeCell ref="B21:D21"/>
    <mergeCell ref="F21:G21"/>
    <mergeCell ref="B22:D22"/>
    <mergeCell ref="F22:G22"/>
    <mergeCell ref="B23:D23"/>
    <mergeCell ref="F23:G23"/>
    <mergeCell ref="F30:I30"/>
    <mergeCell ref="A31:C32"/>
    <mergeCell ref="E31:I31"/>
    <mergeCell ref="E32:I32"/>
    <mergeCell ref="A33:C35"/>
    <mergeCell ref="G33:I33"/>
    <mergeCell ref="B27:D27"/>
    <mergeCell ref="F27:G27"/>
    <mergeCell ref="B28:D28"/>
    <mergeCell ref="F28:G28"/>
    <mergeCell ref="B29:D29"/>
    <mergeCell ref="F29:G29"/>
    <mergeCell ref="A50:C50"/>
    <mergeCell ref="E50:F50"/>
    <mergeCell ref="H50:I50"/>
    <mergeCell ref="B51:D51"/>
    <mergeCell ref="F51:G51"/>
    <mergeCell ref="B52:D52"/>
    <mergeCell ref="F52:G52"/>
    <mergeCell ref="A37:I37"/>
    <mergeCell ref="A47:B47"/>
    <mergeCell ref="H47:I47"/>
    <mergeCell ref="A48:B48"/>
    <mergeCell ref="H48:I48"/>
    <mergeCell ref="A49:C49"/>
    <mergeCell ref="E49:F49"/>
    <mergeCell ref="H49:I49"/>
    <mergeCell ref="B56:D56"/>
    <mergeCell ref="F56:G56"/>
    <mergeCell ref="B57:D57"/>
    <mergeCell ref="F57:G57"/>
    <mergeCell ref="B58:D58"/>
    <mergeCell ref="F58:G58"/>
    <mergeCell ref="B53:D53"/>
    <mergeCell ref="F53:G53"/>
    <mergeCell ref="B54:D54"/>
    <mergeCell ref="F54:G54"/>
    <mergeCell ref="B55:D55"/>
    <mergeCell ref="F55:G55"/>
    <mergeCell ref="B62:D62"/>
    <mergeCell ref="F62:G62"/>
    <mergeCell ref="B63:D63"/>
    <mergeCell ref="F63:G63"/>
    <mergeCell ref="B64:D64"/>
    <mergeCell ref="F64:G64"/>
    <mergeCell ref="B59:D59"/>
    <mergeCell ref="F59:G59"/>
    <mergeCell ref="B60:D60"/>
    <mergeCell ref="F60:G60"/>
    <mergeCell ref="B61:D61"/>
    <mergeCell ref="F61:G61"/>
    <mergeCell ref="A72:I72"/>
    <mergeCell ref="A82:B82"/>
    <mergeCell ref="H82:I82"/>
    <mergeCell ref="A83:B83"/>
    <mergeCell ref="H83:I83"/>
    <mergeCell ref="A84:C84"/>
    <mergeCell ref="E84:F84"/>
    <mergeCell ref="H84:I84"/>
    <mergeCell ref="F65:I65"/>
    <mergeCell ref="A66:C67"/>
    <mergeCell ref="E66:I66"/>
    <mergeCell ref="E67:I67"/>
    <mergeCell ref="A68:C70"/>
    <mergeCell ref="G68:I68"/>
    <mergeCell ref="B88:D88"/>
    <mergeCell ref="F88:G88"/>
    <mergeCell ref="B89:D89"/>
    <mergeCell ref="F89:G89"/>
    <mergeCell ref="B90:D90"/>
    <mergeCell ref="F90:G90"/>
    <mergeCell ref="A85:C85"/>
    <mergeCell ref="E85:F85"/>
    <mergeCell ref="H85:I85"/>
    <mergeCell ref="B86:D86"/>
    <mergeCell ref="F86:G86"/>
    <mergeCell ref="B87:D87"/>
    <mergeCell ref="F87:G87"/>
    <mergeCell ref="B94:D94"/>
    <mergeCell ref="F94:G94"/>
    <mergeCell ref="B95:D95"/>
    <mergeCell ref="F95:G95"/>
    <mergeCell ref="B96:D96"/>
    <mergeCell ref="F96:G96"/>
    <mergeCell ref="B91:D91"/>
    <mergeCell ref="F91:G91"/>
    <mergeCell ref="B92:D92"/>
    <mergeCell ref="F92:G92"/>
    <mergeCell ref="B93:D93"/>
    <mergeCell ref="F93:G93"/>
    <mergeCell ref="F100:I100"/>
    <mergeCell ref="A101:C102"/>
    <mergeCell ref="E101:I101"/>
    <mergeCell ref="E102:I102"/>
    <mergeCell ref="A103:C105"/>
    <mergeCell ref="G103:I103"/>
    <mergeCell ref="B97:D97"/>
    <mergeCell ref="F97:G97"/>
    <mergeCell ref="B98:D98"/>
    <mergeCell ref="F98:G98"/>
    <mergeCell ref="B99:D99"/>
    <mergeCell ref="F99:G99"/>
  </mergeCells>
  <phoneticPr fontId="1" type="noConversion"/>
  <conditionalFormatting sqref="H17:I29 A17:B29 E17:F29">
    <cfRule type="cellIs" dxfId="103" priority="10" operator="equal">
      <formula>0</formula>
    </cfRule>
  </conditionalFormatting>
  <conditionalFormatting sqref="E64:F64 H52:I64 A52:B64 F52:F63">
    <cfRule type="cellIs" dxfId="102" priority="8" operator="equal">
      <formula>0</formula>
    </cfRule>
  </conditionalFormatting>
  <conditionalFormatting sqref="F45">
    <cfRule type="cellIs" dxfId="101" priority="7" operator="equal">
      <formula>0</formula>
    </cfRule>
  </conditionalFormatting>
  <conditionalFormatting sqref="E99:F99 A87:B99 H87:I99 F87:F98">
    <cfRule type="cellIs" dxfId="100" priority="6" operator="equal">
      <formula>0</formula>
    </cfRule>
  </conditionalFormatting>
  <conditionalFormatting sqref="F80">
    <cfRule type="cellIs" dxfId="99" priority="5" operator="equal">
      <formula>0</formula>
    </cfRule>
  </conditionalFormatting>
  <conditionalFormatting sqref="E52:E63">
    <cfRule type="cellIs" dxfId="98" priority="4" operator="equal">
      <formula>0</formula>
    </cfRule>
  </conditionalFormatting>
  <conditionalFormatting sqref="E87:E98">
    <cfRule type="cellIs" dxfId="97" priority="3" operator="equal">
      <formula>0</formula>
    </cfRule>
  </conditionalFormatting>
  <conditionalFormatting sqref="A72:XFD106">
    <cfRule type="expression" dxfId="96" priority="2">
      <formula>$A$87=0</formula>
    </cfRule>
  </conditionalFormatting>
  <conditionalFormatting sqref="A37:XFD71">
    <cfRule type="expression" dxfId="95" priority="1">
      <formula>$A$52=0</formula>
    </cfRule>
  </conditionalFormatting>
  <dataValidations count="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1 A66 A101"/>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2 E67 E102"/>
  </dataValidations>
  <hyperlinks>
    <hyperlink ref="A10" r:id="rId1"/>
    <hyperlink ref="A45" r:id="rId2"/>
    <hyperlink ref="A80" r:id="rId3"/>
  </hyperlinks>
  <pageMargins left="0.19685039370078741" right="0" top="0.51181102362204722" bottom="0.74803149606299213" header="0.31496062992125984" footer="0.31496062992125984"/>
  <pageSetup paperSize="9" orientation="portrait" horizontalDpi="4294967295" verticalDpi="4294967295"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06"/>
  <sheetViews>
    <sheetView topLeftCell="A25" workbookViewId="0">
      <selection activeCell="A106" sqref="A106:C108"/>
    </sheetView>
  </sheetViews>
  <sheetFormatPr defaultRowHeight="14.25"/>
  <cols>
    <col min="1" max="1" width="5.25" customWidth="1"/>
    <col min="2" max="2" width="6.5" customWidth="1"/>
    <col min="3" max="3" width="26.125" customWidth="1"/>
    <col min="4" max="4" width="8.625" customWidth="1"/>
    <col min="5" max="5" width="8.5" customWidth="1"/>
    <col min="6" max="6" width="6" customWidth="1"/>
    <col min="7" max="7" width="6.875" customWidth="1"/>
    <col min="8" max="8" width="10.875" customWidth="1"/>
    <col min="9" max="9" width="13.5" customWidth="1"/>
  </cols>
  <sheetData>
    <row r="1" spans="1:14" ht="4.5" customHeight="1">
      <c r="A1" s="17"/>
      <c r="B1" s="17"/>
      <c r="C1" s="17"/>
      <c r="D1" s="17"/>
      <c r="E1" s="17"/>
      <c r="F1" s="17"/>
      <c r="G1" s="17"/>
      <c r="H1" s="17"/>
      <c r="I1" s="17"/>
    </row>
    <row r="2" spans="1:14" ht="22.5">
      <c r="A2" s="470" t="s">
        <v>44</v>
      </c>
      <c r="B2" s="470"/>
      <c r="C2" s="470"/>
      <c r="D2" s="470"/>
      <c r="E2" s="470"/>
      <c r="F2" s="470"/>
      <c r="G2" s="470"/>
      <c r="H2" s="470"/>
      <c r="I2" s="470"/>
    </row>
    <row r="3" spans="1:14" ht="3.75" customHeight="1">
      <c r="A3" s="17"/>
      <c r="B3" s="17"/>
      <c r="C3" s="17"/>
      <c r="D3" s="17"/>
      <c r="E3" s="17"/>
      <c r="F3" s="17"/>
      <c r="G3" s="17"/>
      <c r="H3" s="34"/>
      <c r="I3" s="48"/>
    </row>
    <row r="4" spans="1:14" ht="3.75" customHeight="1">
      <c r="A4" s="17"/>
      <c r="B4" s="17"/>
      <c r="C4" s="17"/>
      <c r="D4" s="17"/>
      <c r="E4" s="17"/>
      <c r="F4" s="17"/>
      <c r="G4" s="17"/>
      <c r="H4" s="17"/>
      <c r="I4" s="17"/>
    </row>
    <row r="5" spans="1:14" ht="15.75">
      <c r="A5" s="35" t="s">
        <v>43</v>
      </c>
      <c r="B5" s="36"/>
      <c r="C5" s="36"/>
      <c r="D5" s="37"/>
      <c r="E5" s="61"/>
      <c r="F5" s="77" t="s">
        <v>42</v>
      </c>
      <c r="G5" s="71"/>
      <c r="H5" s="36"/>
      <c r="I5" s="37"/>
    </row>
    <row r="6" spans="1:14" ht="15.75">
      <c r="A6" s="103" t="s">
        <v>229</v>
      </c>
      <c r="B6" s="58"/>
      <c r="C6" s="58"/>
      <c r="D6" s="59"/>
      <c r="E6" s="58"/>
      <c r="F6" s="57" t="str">
        <f>'发票 (3)'!F6</f>
        <v xml:space="preserve"> Fluorochem Limited</v>
      </c>
      <c r="G6" s="192"/>
      <c r="H6" s="15"/>
      <c r="I6" s="38"/>
    </row>
    <row r="7" spans="1:14" ht="15" customHeight="1">
      <c r="A7" s="104" t="s">
        <v>527</v>
      </c>
      <c r="B7" s="60"/>
      <c r="C7" s="60"/>
      <c r="D7" s="59"/>
      <c r="E7" s="61"/>
      <c r="F7" s="53" t="str">
        <f>'发票 (3)'!F7</f>
        <v>Unit 14 Graphite Way</v>
      </c>
      <c r="G7" s="7"/>
      <c r="H7" s="39"/>
      <c r="I7" s="38"/>
      <c r="J7" s="16"/>
    </row>
    <row r="8" spans="1:14" ht="15" customHeight="1">
      <c r="A8" s="104" t="s">
        <v>529</v>
      </c>
      <c r="B8" s="60"/>
      <c r="C8" s="60"/>
      <c r="D8" s="59"/>
      <c r="E8" s="61"/>
      <c r="F8" s="53" t="str">
        <f>'发票 (3)'!F8</f>
        <v>Hadfield  Derbyshire</v>
      </c>
      <c r="G8" s="7"/>
      <c r="H8" s="39"/>
      <c r="I8" s="38"/>
      <c r="J8" s="16"/>
    </row>
    <row r="9" spans="1:14" ht="15" customHeight="1">
      <c r="A9" s="105" t="s">
        <v>232</v>
      </c>
      <c r="B9" s="60"/>
      <c r="C9" s="60"/>
      <c r="D9" s="59"/>
      <c r="E9" s="61"/>
      <c r="F9" s="53" t="str">
        <f>'发票 (3)'!F9</f>
        <v>SK13 1QH UK</v>
      </c>
      <c r="G9" s="193"/>
      <c r="H9" s="39"/>
      <c r="I9" s="38"/>
      <c r="J9" s="14"/>
    </row>
    <row r="10" spans="1:14" ht="15">
      <c r="A10" s="106" t="s">
        <v>233</v>
      </c>
      <c r="B10" s="62"/>
      <c r="C10" s="62"/>
      <c r="D10" s="63"/>
      <c r="E10" s="61"/>
      <c r="F10" s="53" t="str">
        <f>'发票 (3)'!F10</f>
        <v>TEL:4401457860111</v>
      </c>
      <c r="G10" s="6"/>
      <c r="H10" s="18"/>
      <c r="I10" s="40"/>
      <c r="J10" s="14"/>
    </row>
    <row r="11" spans="1:14" ht="5.25" customHeight="1">
      <c r="A11" s="17"/>
      <c r="B11" s="17"/>
      <c r="C11" s="17"/>
      <c r="D11" s="17"/>
      <c r="E11" s="17"/>
      <c r="F11" s="17"/>
      <c r="G11" s="17"/>
      <c r="H11" s="17"/>
      <c r="I11" s="17"/>
      <c r="J11" s="14"/>
    </row>
    <row r="12" spans="1:14" s="68" customFormat="1">
      <c r="A12" s="471" t="s">
        <v>17</v>
      </c>
      <c r="B12" s="472"/>
      <c r="C12" s="235" t="str">
        <f>'发票 (3)'!C12</f>
        <v>Order  No.</v>
      </c>
      <c r="D12" s="67" t="s">
        <v>369</v>
      </c>
      <c r="E12" s="67" t="s">
        <v>21</v>
      </c>
      <c r="F12" s="276" t="s">
        <v>19</v>
      </c>
      <c r="G12" s="276" t="s">
        <v>20</v>
      </c>
      <c r="H12" s="471" t="s">
        <v>30</v>
      </c>
      <c r="I12" s="472"/>
    </row>
    <row r="13" spans="1:14" s="68" customFormat="1" ht="12.75">
      <c r="A13" s="471"/>
      <c r="B13" s="472"/>
      <c r="C13" s="67" t="str">
        <f>'发票 (3)'!C13</f>
        <v>P100426</v>
      </c>
      <c r="D13" s="67"/>
      <c r="E13" s="67"/>
      <c r="F13" s="29" t="s">
        <v>38</v>
      </c>
      <c r="G13" s="67"/>
      <c r="H13" s="471" t="s">
        <v>386</v>
      </c>
      <c r="I13" s="472"/>
      <c r="J13" s="30"/>
    </row>
    <row r="14" spans="1:14" s="68" customFormat="1" ht="12.75">
      <c r="A14" s="471" t="s">
        <v>22</v>
      </c>
      <c r="B14" s="473"/>
      <c r="C14" s="472"/>
      <c r="D14" s="263" t="s">
        <v>70</v>
      </c>
      <c r="E14" s="471" t="s">
        <v>23</v>
      </c>
      <c r="F14" s="472"/>
      <c r="G14" s="277" t="s">
        <v>29</v>
      </c>
      <c r="H14" s="471" t="s">
        <v>18</v>
      </c>
      <c r="I14" s="472"/>
      <c r="J14" s="30"/>
    </row>
    <row r="15" spans="1:14" s="28" customFormat="1" ht="15.75">
      <c r="A15" s="476" t="s">
        <v>39</v>
      </c>
      <c r="B15" s="477"/>
      <c r="C15" s="478"/>
      <c r="D15" s="27"/>
      <c r="E15" s="476" t="str">
        <f>'发票 (3)'!E15:F15</f>
        <v>UK</v>
      </c>
      <c r="F15" s="478"/>
      <c r="G15" s="79">
        <f ca="1">TODAY()</f>
        <v>43839</v>
      </c>
      <c r="H15" s="479" t="str">
        <f>发货清单!$AA$2</f>
        <v>20200109-607</v>
      </c>
      <c r="I15" s="480"/>
      <c r="J15" s="30"/>
    </row>
    <row r="16" spans="1:14" s="26" customFormat="1" ht="23.25" customHeight="1">
      <c r="A16" s="66" t="s">
        <v>24</v>
      </c>
      <c r="B16" s="481" t="s">
        <v>25</v>
      </c>
      <c r="C16" s="482"/>
      <c r="D16" s="483"/>
      <c r="E16" s="55" t="s">
        <v>28</v>
      </c>
      <c r="F16" s="482" t="str">
        <f>'发票 (3)'!F16:G16</f>
        <v>HS code</v>
      </c>
      <c r="G16" s="483"/>
      <c r="H16" s="311" t="s">
        <v>26</v>
      </c>
      <c r="I16" s="311" t="s">
        <v>27</v>
      </c>
      <c r="N16" s="47"/>
    </row>
    <row r="17" spans="1:9" s="44" customFormat="1" ht="30" customHeight="1">
      <c r="A17" s="176">
        <f>辅助!N2</f>
        <v>600</v>
      </c>
      <c r="B17" s="474" t="str">
        <f>IFERROR(辅助!P2&amp;CHAR(10)&amp;VLOOKUP(辅助!P2,数据库!C:G,5,0),"")</f>
        <v>Carboxylic acid compound category (AB-04)1
White powder</v>
      </c>
      <c r="C17" s="474"/>
      <c r="D17" s="474"/>
      <c r="E17" s="309" t="str">
        <f>IF(A17=0,"","Glass/Plastic bottle")</f>
        <v>Glass/Plastic bottle</v>
      </c>
      <c r="F17" s="475">
        <f>'发票 (3)'!F17:G17</f>
        <v>2917190090</v>
      </c>
      <c r="G17" s="475"/>
      <c r="H17" s="275">
        <f>I17/A17</f>
        <v>0.36399999999999999</v>
      </c>
      <c r="I17" s="177">
        <f>辅助!O2</f>
        <v>218.4</v>
      </c>
    </row>
    <row r="18" spans="1:9" s="44" customFormat="1" ht="30" customHeight="1">
      <c r="A18" s="176">
        <f>辅助!N3</f>
        <v>10</v>
      </c>
      <c r="B18" s="474" t="str">
        <f>IFERROR(辅助!P3&amp;CHAR(10)&amp;VLOOKUP(辅助!P3,数据库!C:G,5,0),"")</f>
        <v>Carboxylic acid compound category (AB-04)6
White Solid</v>
      </c>
      <c r="C18" s="474"/>
      <c r="D18" s="474"/>
      <c r="E18" s="309" t="str">
        <f t="shared" ref="E18:E28" si="0">IF(A18=0,"","Glass/Plastic bottle")</f>
        <v>Glass/Plastic bottle</v>
      </c>
      <c r="F18" s="475">
        <f>'发票 (3)'!F18:G18</f>
        <v>2917190090</v>
      </c>
      <c r="G18" s="475"/>
      <c r="H18" s="275">
        <f>IF(A18=0,0,I18/A18)</f>
        <v>15.680000000000001</v>
      </c>
      <c r="I18" s="177">
        <f>辅助!O3</f>
        <v>156.80000000000001</v>
      </c>
    </row>
    <row r="19" spans="1:9" s="44" customFormat="1" ht="30" customHeight="1">
      <c r="A19" s="176">
        <f>辅助!N4</f>
        <v>1000</v>
      </c>
      <c r="B19" s="474" t="str">
        <f>IFERROR(辅助!P4&amp;CHAR(10)&amp;VLOOKUP(辅助!P4,数据库!C:G,5,0),"")</f>
        <v>Sulfonamide compound category(AB-08)1
White Solid</v>
      </c>
      <c r="C19" s="474"/>
      <c r="D19" s="474"/>
      <c r="E19" s="309" t="str">
        <f t="shared" si="0"/>
        <v>Glass/Plastic bottle</v>
      </c>
      <c r="F19" s="475">
        <f>'发票 (3)'!F19:G19</f>
        <v>2935900090</v>
      </c>
      <c r="G19" s="475"/>
      <c r="H19" s="275">
        <f t="shared" ref="H19:H28" si="1">IF(A19=0,0,I19/A19)</f>
        <v>5.5299999999999995E-2</v>
      </c>
      <c r="I19" s="177">
        <f>辅助!O4</f>
        <v>55.3</v>
      </c>
    </row>
    <row r="20" spans="1:9" s="44" customFormat="1" ht="30" customHeight="1">
      <c r="A20" s="176">
        <f>辅助!N5</f>
        <v>205</v>
      </c>
      <c r="B20" s="474" t="str">
        <f>IFERROR(辅助!P5&amp;CHAR(10)&amp;VLOOKUP(辅助!P5,数据库!C:G,5,0),"")</f>
        <v>Heterocyclic with single or more oxygen atoms compound category （AB-15）4
White crystal</v>
      </c>
      <c r="C20" s="474"/>
      <c r="D20" s="474"/>
      <c r="E20" s="309" t="str">
        <f t="shared" si="0"/>
        <v>Glass/Plastic bottle</v>
      </c>
      <c r="F20" s="475">
        <f>'发票 (3)'!F20:G20</f>
        <v>2932999099</v>
      </c>
      <c r="G20" s="475"/>
      <c r="H20" s="275">
        <f t="shared" si="1"/>
        <v>0.48829268292682926</v>
      </c>
      <c r="I20" s="177">
        <f>辅助!O5</f>
        <v>100.1</v>
      </c>
    </row>
    <row r="21" spans="1:9" s="44" customFormat="1" ht="30" customHeight="1">
      <c r="A21" s="176">
        <f>辅助!N6</f>
        <v>500</v>
      </c>
      <c r="B21" s="474" t="str">
        <f>IFERROR(辅助!P6&amp;CHAR(10)&amp;VLOOKUP(辅助!P6,数据库!C:G,5,0),"")</f>
        <v>Acyclic hydrocarbon compound category （AB-02）11
Colorless Transparent Liquid</v>
      </c>
      <c r="C21" s="474"/>
      <c r="D21" s="474"/>
      <c r="E21" s="309" t="str">
        <f t="shared" si="0"/>
        <v>Glass/Plastic bottle</v>
      </c>
      <c r="F21" s="475">
        <f>'发票 (3)'!F21:G21</f>
        <v>2903399090</v>
      </c>
      <c r="G21" s="475"/>
      <c r="H21" s="275">
        <f t="shared" si="1"/>
        <v>0.2044</v>
      </c>
      <c r="I21" s="177">
        <f>辅助!O6</f>
        <v>102.2</v>
      </c>
    </row>
    <row r="22" spans="1:9" s="44" customFormat="1" ht="30" customHeight="1">
      <c r="A22" s="176">
        <f>辅助!N7</f>
        <v>26</v>
      </c>
      <c r="B22" s="474" t="str">
        <f>IFERROR(辅助!P7&amp;CHAR(10)&amp;VLOOKUP(辅助!P7,数据库!C:G,5,0),"")</f>
        <v>Acyclic hydrocarbon compound category （AB-02）13
brown liquid</v>
      </c>
      <c r="C22" s="474"/>
      <c r="D22" s="474"/>
      <c r="E22" s="309" t="str">
        <f t="shared" si="0"/>
        <v>Glass/Plastic bottle</v>
      </c>
      <c r="F22" s="475">
        <f>'发票 (3)'!F22:G22</f>
        <v>2903399090</v>
      </c>
      <c r="G22" s="475"/>
      <c r="H22" s="275">
        <f t="shared" si="1"/>
        <v>5.3307692307692314</v>
      </c>
      <c r="I22" s="177">
        <f>辅助!O7</f>
        <v>138.60000000000002</v>
      </c>
    </row>
    <row r="23" spans="1:9" s="44" customFormat="1" ht="30" customHeight="1">
      <c r="A23" s="176">
        <f>辅助!N8</f>
        <v>25</v>
      </c>
      <c r="B23" s="474" t="str">
        <f>IFERROR(辅助!P8&amp;CHAR(10)&amp;VLOOKUP(辅助!P8,数据库!C:G,5,0),"")</f>
        <v>Heterocyclic with nitrogen compound category (AB-06)46
Yellow powder</v>
      </c>
      <c r="C23" s="474"/>
      <c r="D23" s="474"/>
      <c r="E23" s="309" t="str">
        <f t="shared" si="0"/>
        <v>Glass/Plastic bottle</v>
      </c>
      <c r="F23" s="475">
        <f>'发票 (3)'!F23:G23</f>
        <v>2933990099</v>
      </c>
      <c r="G23" s="475"/>
      <c r="H23" s="275">
        <f t="shared" si="1"/>
        <v>2.4079999999999999</v>
      </c>
      <c r="I23" s="177">
        <f>辅助!O8</f>
        <v>60.2</v>
      </c>
    </row>
    <row r="24" spans="1:9" s="44" customFormat="1" ht="30" customHeight="1">
      <c r="A24" s="176">
        <f>辅助!N9</f>
        <v>50</v>
      </c>
      <c r="B24" s="474" t="str">
        <f>IFERROR(辅助!P9&amp;CHAR(10)&amp;VLOOKUP(辅助!P9,数据库!C:G,5,0),"")</f>
        <v>Heterocyclic with nitrogen compound category (AB-06)53
Brown solid</v>
      </c>
      <c r="C24" s="474"/>
      <c r="D24" s="474"/>
      <c r="E24" s="309" t="str">
        <f t="shared" si="0"/>
        <v>Glass/Plastic bottle</v>
      </c>
      <c r="F24" s="475">
        <f>'发票 (3)'!F24:G24</f>
        <v>2933990099</v>
      </c>
      <c r="G24" s="475"/>
      <c r="H24" s="275">
        <f t="shared" si="1"/>
        <v>42.798000000000002</v>
      </c>
      <c r="I24" s="177">
        <f>辅助!O9</f>
        <v>2139.9</v>
      </c>
    </row>
    <row r="25" spans="1:9" s="44" customFormat="1" ht="30" customHeight="1">
      <c r="A25" s="176">
        <f>辅助!N10</f>
        <v>700</v>
      </c>
      <c r="B25" s="474" t="str">
        <f>IFERROR(辅助!P10&amp;CHAR(10)&amp;VLOOKUP(辅助!P10,数据库!C:G,5,0),"")</f>
        <v>Aromatic ring products without heteroatoms category （AB-16）33
Light yellow-green granular crystals</v>
      </c>
      <c r="C25" s="474"/>
      <c r="D25" s="474"/>
      <c r="E25" s="309" t="str">
        <f t="shared" si="0"/>
        <v>Glass/Plastic bottle</v>
      </c>
      <c r="F25" s="475">
        <f>'发票 (3)'!F25:G25</f>
        <v>2903999090</v>
      </c>
      <c r="G25" s="475"/>
      <c r="H25" s="275">
        <f t="shared" si="1"/>
        <v>0.39799999999999996</v>
      </c>
      <c r="I25" s="177">
        <f>辅助!O10</f>
        <v>278.59999999999997</v>
      </c>
    </row>
    <row r="26" spans="1:9" s="44" customFormat="1" ht="30" customHeight="1">
      <c r="A26" s="176">
        <f>辅助!N11</f>
        <v>150</v>
      </c>
      <c r="B26" s="474" t="str">
        <f>IFERROR(辅助!P11&amp;CHAR(10)&amp;VLOOKUP(辅助!P11,数据库!C:G,5,0),"")</f>
        <v>Aromatic ring products without heteroatoms category （AB-16）36
White powder</v>
      </c>
      <c r="C26" s="474"/>
      <c r="D26" s="474"/>
      <c r="E26" s="309" t="str">
        <f t="shared" si="0"/>
        <v>Glass/Plastic bottle</v>
      </c>
      <c r="F26" s="475">
        <f>'发票 (3)'!F26:G26</f>
        <v>2916399090</v>
      </c>
      <c r="G26" s="475"/>
      <c r="H26" s="275">
        <f t="shared" si="1"/>
        <v>1.8853333333333333</v>
      </c>
      <c r="I26" s="177">
        <f>辅助!O11</f>
        <v>282.8</v>
      </c>
    </row>
    <row r="27" spans="1:9" s="44" customFormat="1" ht="30" customHeight="1">
      <c r="A27" s="176">
        <f>辅助!N12</f>
        <v>0</v>
      </c>
      <c r="B27" s="474" t="str">
        <f>IFERROR(辅助!P12&amp;CHAR(10)&amp;VLOOKUP(辅助!P12,数据库!C:G,5,0),"")</f>
        <v/>
      </c>
      <c r="C27" s="474"/>
      <c r="D27" s="474"/>
      <c r="E27" s="309" t="str">
        <f t="shared" si="0"/>
        <v/>
      </c>
      <c r="F27" s="475" t="str">
        <f>'发票 (3)'!F27:G27</f>
        <v/>
      </c>
      <c r="G27" s="475"/>
      <c r="H27" s="275">
        <f t="shared" si="1"/>
        <v>0</v>
      </c>
      <c r="I27" s="177">
        <f>辅助!O12</f>
        <v>0</v>
      </c>
    </row>
    <row r="28" spans="1:9" s="44" customFormat="1" ht="30" customHeight="1">
      <c r="A28" s="176">
        <f>辅助!N13</f>
        <v>0</v>
      </c>
      <c r="B28" s="474" t="str">
        <f>IFERROR(辅助!P13&amp;CHAR(10)&amp;VLOOKUP(辅助!P13,数据库!C:G,5,0),"")</f>
        <v/>
      </c>
      <c r="C28" s="474"/>
      <c r="D28" s="474"/>
      <c r="E28" s="309" t="str">
        <f t="shared" si="0"/>
        <v/>
      </c>
      <c r="F28" s="475" t="str">
        <f>'发票 (3)'!F28:G28</f>
        <v/>
      </c>
      <c r="G28" s="475"/>
      <c r="H28" s="275">
        <f t="shared" si="1"/>
        <v>0</v>
      </c>
      <c r="I28" s="177">
        <f>辅助!O13</f>
        <v>0</v>
      </c>
    </row>
    <row r="29" spans="1:9" s="44" customFormat="1" ht="33.75" customHeight="1" thickBot="1">
      <c r="A29" s="176"/>
      <c r="B29" s="510" t="str">
        <f>IF(COUNTIF(辅助!N:N,"&gt;0")&lt;=12,"Total Net Weight（g）:   "&amp;SUM(辅助!N:N)," ")&amp;CHAR(10)&amp;IF(COUNTIF(辅助!N:N,"&gt;0")&lt;=12,"Gross Weight(kg):   "&amp;发货清单!Y2," ")</f>
        <v>Total Net Weight（g）:   3266
Gross Weight(kg):   10</v>
      </c>
      <c r="C29" s="511"/>
      <c r="D29" s="512"/>
      <c r="E29" s="66"/>
      <c r="F29" s="475"/>
      <c r="G29" s="475"/>
      <c r="H29" s="278" t="str">
        <f>IF(COUNTIF(辅助!O:O,"&gt;0")&lt;=12,"TOTAL:"," ")</f>
        <v>TOTAL:</v>
      </c>
      <c r="I29" s="274">
        <f>IF(COUNTIF(辅助!O:O,"&gt;0")&lt;=12,SUM(辅助!O:O)," ")</f>
        <v>3532.9</v>
      </c>
    </row>
    <row r="30" spans="1:9" ht="15.75">
      <c r="A30" s="169" t="s">
        <v>31</v>
      </c>
      <c r="B30" s="170"/>
      <c r="C30" s="170"/>
      <c r="D30" s="171"/>
      <c r="E30" s="41"/>
      <c r="F30" s="484"/>
      <c r="G30" s="484"/>
      <c r="H30" s="484"/>
      <c r="I30" s="485"/>
    </row>
    <row r="31" spans="1:9" ht="15" customHeight="1">
      <c r="A31" s="486" t="str">
        <f>'发票 (3)'!A31:C32</f>
        <v>I certify that all chemicals in this shipment are not subject to TSCA.</v>
      </c>
      <c r="B31" s="487"/>
      <c r="C31" s="488"/>
      <c r="D31" s="39"/>
      <c r="E31" s="492" t="s">
        <v>73</v>
      </c>
      <c r="F31" s="493"/>
      <c r="G31" s="493"/>
      <c r="H31" s="493"/>
      <c r="I31" s="494"/>
    </row>
    <row r="32" spans="1:9" ht="11.25" customHeight="1" thickBot="1">
      <c r="A32" s="489"/>
      <c r="B32" s="490"/>
      <c r="C32" s="491"/>
      <c r="D32" s="39"/>
      <c r="E32" s="495"/>
      <c r="F32" s="496"/>
      <c r="G32" s="496"/>
      <c r="H32" s="496"/>
      <c r="I32" s="497"/>
    </row>
    <row r="33" spans="1:10" ht="16.5" customHeight="1" thickBot="1">
      <c r="A33" s="498" t="s">
        <v>525</v>
      </c>
      <c r="B33" s="499"/>
      <c r="C33" s="500"/>
      <c r="D33" s="39"/>
      <c r="E33" s="42" t="s">
        <v>71</v>
      </c>
      <c r="F33" s="39"/>
      <c r="G33" s="507" t="str">
        <f>发货清单!F2</f>
        <v>2786337676</v>
      </c>
      <c r="H33" s="508"/>
      <c r="I33" s="509"/>
    </row>
    <row r="34" spans="1:10" ht="32.25" customHeight="1" thickBot="1">
      <c r="A34" s="501"/>
      <c r="B34" s="502"/>
      <c r="C34" s="503"/>
      <c r="D34" s="39"/>
      <c r="E34" s="42" t="s">
        <v>34</v>
      </c>
      <c r="F34" s="39"/>
      <c r="G34" s="43"/>
      <c r="H34" s="43"/>
      <c r="I34" s="172"/>
    </row>
    <row r="35" spans="1:10" ht="15" thickBot="1">
      <c r="A35" s="504"/>
      <c r="B35" s="505"/>
      <c r="C35" s="506"/>
      <c r="D35" s="43"/>
      <c r="E35" s="43"/>
      <c r="F35" s="43"/>
      <c r="G35" s="43"/>
      <c r="H35" s="43"/>
      <c r="I35" s="172"/>
    </row>
    <row r="36" spans="1:10" ht="21.75" customHeight="1">
      <c r="A36" s="17"/>
      <c r="B36" s="17"/>
      <c r="C36" s="17"/>
      <c r="D36" s="17"/>
      <c r="E36" s="310" t="str">
        <f>"page 1/"&amp;IF(COUNTIF(辅助!K:K,"&gt;0")&lt;13,1,IF(COUNTIF(辅助!K:K,"&gt;0")&lt;25,2,3))</f>
        <v>page 1/1</v>
      </c>
      <c r="F36" s="17"/>
      <c r="G36" s="17"/>
      <c r="H36" s="17"/>
      <c r="I36" s="17"/>
    </row>
    <row r="37" spans="1:10" ht="22.5">
      <c r="A37" s="470" t="s">
        <v>44</v>
      </c>
      <c r="B37" s="470"/>
      <c r="C37" s="470"/>
      <c r="D37" s="470"/>
      <c r="E37" s="470"/>
      <c r="F37" s="470"/>
      <c r="G37" s="470"/>
      <c r="H37" s="470"/>
      <c r="I37" s="470"/>
    </row>
    <row r="38" spans="1:10" ht="3.75" customHeight="1">
      <c r="A38" s="17"/>
      <c r="B38" s="17"/>
      <c r="C38" s="17"/>
      <c r="D38" s="17"/>
      <c r="E38" s="17"/>
      <c r="F38" s="17"/>
      <c r="G38" s="17"/>
      <c r="H38" s="34"/>
      <c r="I38" s="48"/>
    </row>
    <row r="39" spans="1:10" ht="3.75" customHeight="1">
      <c r="A39" s="17"/>
      <c r="B39" s="17"/>
      <c r="C39" s="17"/>
      <c r="D39" s="17"/>
      <c r="E39" s="17"/>
      <c r="F39" s="17"/>
      <c r="G39" s="17"/>
      <c r="H39" s="17"/>
      <c r="I39" s="17"/>
    </row>
    <row r="40" spans="1:10" ht="15.75">
      <c r="A40" s="35" t="s">
        <v>43</v>
      </c>
      <c r="B40" s="36"/>
      <c r="C40" s="36"/>
      <c r="D40" s="37"/>
      <c r="E40" s="61"/>
      <c r="F40" s="77" t="s">
        <v>42</v>
      </c>
      <c r="G40" s="71"/>
      <c r="H40" s="36"/>
      <c r="I40" s="37"/>
    </row>
    <row r="41" spans="1:10" ht="15.75">
      <c r="A41" s="103" t="s">
        <v>75</v>
      </c>
      <c r="B41" s="58"/>
      <c r="C41" s="58"/>
      <c r="D41" s="59"/>
      <c r="E41" s="58"/>
      <c r="F41" s="57" t="str">
        <f>F6</f>
        <v xml:space="preserve"> Fluorochem Limited</v>
      </c>
      <c r="G41" s="192"/>
      <c r="H41" s="15"/>
      <c r="I41" s="38"/>
    </row>
    <row r="42" spans="1:10" ht="15" customHeight="1">
      <c r="A42" s="104" t="s">
        <v>527</v>
      </c>
      <c r="B42" s="60"/>
      <c r="C42" s="60"/>
      <c r="D42" s="59"/>
      <c r="E42" s="61"/>
      <c r="F42" s="53" t="str">
        <f>F7</f>
        <v>Unit 14 Graphite Way</v>
      </c>
      <c r="G42" s="7"/>
      <c r="H42" s="39"/>
      <c r="I42" s="38"/>
      <c r="J42" s="16"/>
    </row>
    <row r="43" spans="1:10" ht="15" customHeight="1">
      <c r="A43" s="104" t="s">
        <v>529</v>
      </c>
      <c r="B43" s="60"/>
      <c r="C43" s="60"/>
      <c r="D43" s="59"/>
      <c r="E43" s="61"/>
      <c r="F43" s="53" t="str">
        <f>F8</f>
        <v>Hadfield  Derbyshire</v>
      </c>
      <c r="G43" s="7"/>
      <c r="H43" s="39"/>
      <c r="I43" s="38"/>
      <c r="J43" s="16"/>
    </row>
    <row r="44" spans="1:10" ht="15" customHeight="1">
      <c r="A44" s="105" t="s">
        <v>232</v>
      </c>
      <c r="B44" s="60"/>
      <c r="C44" s="60"/>
      <c r="D44" s="59"/>
      <c r="E44" s="61"/>
      <c r="F44" s="53" t="str">
        <f>F9</f>
        <v>SK13 1QH UK</v>
      </c>
      <c r="G44" s="193"/>
      <c r="H44" s="39"/>
      <c r="I44" s="38"/>
      <c r="J44" s="14"/>
    </row>
    <row r="45" spans="1:10" ht="15">
      <c r="A45" s="106" t="s">
        <v>233</v>
      </c>
      <c r="B45" s="62"/>
      <c r="C45" s="62"/>
      <c r="D45" s="63"/>
      <c r="E45" s="61"/>
      <c r="F45" s="194" t="str">
        <f>F10</f>
        <v>TEL:4401457860111</v>
      </c>
      <c r="G45" s="6"/>
      <c r="H45" s="18"/>
      <c r="I45" s="40"/>
      <c r="J45" s="14"/>
    </row>
    <row r="46" spans="1:10" ht="5.25" customHeight="1">
      <c r="A46" s="17"/>
      <c r="B46" s="17"/>
      <c r="C46" s="17"/>
      <c r="D46" s="17"/>
      <c r="E46" s="17"/>
      <c r="F46" s="17"/>
      <c r="G46" s="17"/>
      <c r="H46" s="17"/>
      <c r="I46" s="17"/>
      <c r="J46" s="14"/>
    </row>
    <row r="47" spans="1:10" s="68" customFormat="1">
      <c r="A47" s="471" t="s">
        <v>17</v>
      </c>
      <c r="B47" s="472"/>
      <c r="C47" s="235" t="str">
        <f>C12</f>
        <v>Order  No.</v>
      </c>
      <c r="D47" s="263" t="s">
        <v>369</v>
      </c>
      <c r="E47" s="67" t="s">
        <v>21</v>
      </c>
      <c r="F47" s="276" t="s">
        <v>19</v>
      </c>
      <c r="G47" s="276" t="s">
        <v>20</v>
      </c>
      <c r="H47" s="471" t="s">
        <v>30</v>
      </c>
      <c r="I47" s="472"/>
    </row>
    <row r="48" spans="1:10" s="68" customFormat="1" ht="12.75">
      <c r="A48" s="471"/>
      <c r="B48" s="472"/>
      <c r="C48" s="67" t="str">
        <f>C13</f>
        <v>P100426</v>
      </c>
      <c r="D48" s="67"/>
      <c r="E48" s="67"/>
      <c r="F48" s="29" t="s">
        <v>38</v>
      </c>
      <c r="G48" s="67"/>
      <c r="H48" s="471" t="s">
        <v>386</v>
      </c>
      <c r="I48" s="472"/>
      <c r="J48" s="30"/>
    </row>
    <row r="49" spans="1:14" s="68" customFormat="1" ht="12.75">
      <c r="A49" s="471" t="s">
        <v>22</v>
      </c>
      <c r="B49" s="473"/>
      <c r="C49" s="472"/>
      <c r="D49" s="263" t="s">
        <v>70</v>
      </c>
      <c r="E49" s="471" t="s">
        <v>23</v>
      </c>
      <c r="F49" s="472"/>
      <c r="G49" s="277" t="s">
        <v>29</v>
      </c>
      <c r="H49" s="471" t="s">
        <v>18</v>
      </c>
      <c r="I49" s="472"/>
      <c r="J49" s="30"/>
    </row>
    <row r="50" spans="1:14" s="28" customFormat="1" ht="15.75">
      <c r="A50" s="476" t="s">
        <v>39</v>
      </c>
      <c r="B50" s="477"/>
      <c r="C50" s="478"/>
      <c r="D50" s="27"/>
      <c r="E50" s="476" t="str">
        <f>E15</f>
        <v>UK</v>
      </c>
      <c r="F50" s="478"/>
      <c r="G50" s="79">
        <f ca="1">TODAY()</f>
        <v>43839</v>
      </c>
      <c r="H50" s="479" t="str">
        <f>发货清单!$AA$2</f>
        <v>20200109-607</v>
      </c>
      <c r="I50" s="480"/>
      <c r="J50" s="30"/>
    </row>
    <row r="51" spans="1:14" s="26" customFormat="1" ht="23.25" customHeight="1">
      <c r="A51" s="66" t="s">
        <v>24</v>
      </c>
      <c r="B51" s="481" t="s">
        <v>25</v>
      </c>
      <c r="C51" s="482"/>
      <c r="D51" s="483"/>
      <c r="E51" s="55" t="s">
        <v>28</v>
      </c>
      <c r="F51" s="482" t="str">
        <f>'发票 (3)'!F51:G51</f>
        <v>HS code</v>
      </c>
      <c r="G51" s="483"/>
      <c r="H51" s="311" t="s">
        <v>26</v>
      </c>
      <c r="I51" s="311" t="s">
        <v>27</v>
      </c>
      <c r="N51" s="47"/>
    </row>
    <row r="52" spans="1:14" s="44" customFormat="1" ht="30" customHeight="1">
      <c r="A52" s="176">
        <f>辅助!N14</f>
        <v>0</v>
      </c>
      <c r="B52" s="474" t="str">
        <f>IFERROR(辅助!P14&amp;CHAR(10)&amp;VLOOKUP(辅助!P14,数据库!C:G,5,0),"")</f>
        <v/>
      </c>
      <c r="C52" s="474"/>
      <c r="D52" s="474"/>
      <c r="E52" s="309" t="str">
        <f t="shared" ref="E52:E63" si="2">IF(A52=0,"","Glass/Plastic bottle")</f>
        <v/>
      </c>
      <c r="F52" s="475" t="str">
        <f>'发票 (3)'!F52:G52</f>
        <v/>
      </c>
      <c r="G52" s="475"/>
      <c r="H52" s="275">
        <f>IF(A52=0,0,I52/A52)</f>
        <v>0</v>
      </c>
      <c r="I52" s="177">
        <f>辅助!O14</f>
        <v>0</v>
      </c>
    </row>
    <row r="53" spans="1:14" s="44" customFormat="1" ht="30" customHeight="1">
      <c r="A53" s="176">
        <f>辅助!N15</f>
        <v>0</v>
      </c>
      <c r="B53" s="474" t="str">
        <f>IFERROR(辅助!P15&amp;CHAR(10)&amp;VLOOKUP(辅助!P15,数据库!C:G,5,0),"")</f>
        <v/>
      </c>
      <c r="C53" s="474"/>
      <c r="D53" s="474"/>
      <c r="E53" s="309" t="str">
        <f t="shared" si="2"/>
        <v/>
      </c>
      <c r="F53" s="475" t="str">
        <f>'发票 (3)'!F53:G53</f>
        <v/>
      </c>
      <c r="G53" s="475"/>
      <c r="H53" s="275">
        <f>IF(A53=0,0,I53/A53)</f>
        <v>0</v>
      </c>
      <c r="I53" s="177">
        <f>辅助!O15</f>
        <v>0</v>
      </c>
    </row>
    <row r="54" spans="1:14" s="44" customFormat="1" ht="30" customHeight="1">
      <c r="A54" s="176">
        <f>辅助!N16</f>
        <v>0</v>
      </c>
      <c r="B54" s="474" t="str">
        <f>IFERROR(辅助!P16&amp;CHAR(10)&amp;VLOOKUP(辅助!P16,数据库!C:G,5,0),"")</f>
        <v/>
      </c>
      <c r="C54" s="474"/>
      <c r="D54" s="474"/>
      <c r="E54" s="309" t="str">
        <f t="shared" si="2"/>
        <v/>
      </c>
      <c r="F54" s="475" t="str">
        <f>'发票 (3)'!F54:G54</f>
        <v/>
      </c>
      <c r="G54" s="475"/>
      <c r="H54" s="275">
        <f t="shared" ref="H54:H63" si="3">IF(A54=0,0,I54/A54)</f>
        <v>0</v>
      </c>
      <c r="I54" s="177">
        <f>辅助!O16</f>
        <v>0</v>
      </c>
    </row>
    <row r="55" spans="1:14" s="44" customFormat="1" ht="30" customHeight="1">
      <c r="A55" s="176">
        <f>辅助!N17</f>
        <v>0</v>
      </c>
      <c r="B55" s="474" t="str">
        <f>IFERROR(辅助!P17&amp;CHAR(10)&amp;VLOOKUP(辅助!P17,数据库!C:G,5,0),"")</f>
        <v/>
      </c>
      <c r="C55" s="474"/>
      <c r="D55" s="474"/>
      <c r="E55" s="309" t="str">
        <f t="shared" si="2"/>
        <v/>
      </c>
      <c r="F55" s="475" t="str">
        <f>'发票 (3)'!F55:G55</f>
        <v/>
      </c>
      <c r="G55" s="475"/>
      <c r="H55" s="275">
        <f t="shared" si="3"/>
        <v>0</v>
      </c>
      <c r="I55" s="177">
        <f>辅助!O17</f>
        <v>0</v>
      </c>
    </row>
    <row r="56" spans="1:14" s="44" customFormat="1" ht="30" customHeight="1">
      <c r="A56" s="176">
        <f>辅助!N18</f>
        <v>0</v>
      </c>
      <c r="B56" s="474" t="str">
        <f>IFERROR(辅助!P18&amp;CHAR(10)&amp;VLOOKUP(辅助!P18,数据库!C:G,5,0),"")</f>
        <v/>
      </c>
      <c r="C56" s="474"/>
      <c r="D56" s="474"/>
      <c r="E56" s="309" t="str">
        <f t="shared" si="2"/>
        <v/>
      </c>
      <c r="F56" s="475" t="str">
        <f>'发票 (3)'!F56:G56</f>
        <v/>
      </c>
      <c r="G56" s="475"/>
      <c r="H56" s="275">
        <f t="shared" si="3"/>
        <v>0</v>
      </c>
      <c r="I56" s="177">
        <f>辅助!O18</f>
        <v>0</v>
      </c>
    </row>
    <row r="57" spans="1:14" s="44" customFormat="1" ht="30" customHeight="1">
      <c r="A57" s="176">
        <f>辅助!N19</f>
        <v>0</v>
      </c>
      <c r="B57" s="474" t="str">
        <f>IFERROR(辅助!P19&amp;CHAR(10)&amp;VLOOKUP(辅助!P19,数据库!C:G,5,0),"")</f>
        <v/>
      </c>
      <c r="C57" s="474"/>
      <c r="D57" s="474"/>
      <c r="E57" s="309" t="str">
        <f t="shared" si="2"/>
        <v/>
      </c>
      <c r="F57" s="475" t="str">
        <f>'发票 (3)'!F57:G57</f>
        <v/>
      </c>
      <c r="G57" s="475"/>
      <c r="H57" s="275">
        <f t="shared" si="3"/>
        <v>0</v>
      </c>
      <c r="I57" s="177">
        <f>辅助!O19</f>
        <v>0</v>
      </c>
    </row>
    <row r="58" spans="1:14" s="44" customFormat="1" ht="30" customHeight="1">
      <c r="A58" s="176">
        <f>辅助!N20</f>
        <v>0</v>
      </c>
      <c r="B58" s="474" t="str">
        <f>IFERROR(辅助!P20&amp;CHAR(10)&amp;VLOOKUP(辅助!P20,数据库!C:G,5,0),"")</f>
        <v/>
      </c>
      <c r="C58" s="474"/>
      <c r="D58" s="474"/>
      <c r="E58" s="309" t="str">
        <f t="shared" si="2"/>
        <v/>
      </c>
      <c r="F58" s="475" t="str">
        <f>'发票 (3)'!F58:G58</f>
        <v/>
      </c>
      <c r="G58" s="475"/>
      <c r="H58" s="275">
        <f t="shared" si="3"/>
        <v>0</v>
      </c>
      <c r="I58" s="177">
        <f>辅助!O20</f>
        <v>0</v>
      </c>
    </row>
    <row r="59" spans="1:14" s="44" customFormat="1" ht="30" customHeight="1">
      <c r="A59" s="176">
        <f>辅助!N21</f>
        <v>0</v>
      </c>
      <c r="B59" s="474" t="str">
        <f>IFERROR(辅助!P21&amp;CHAR(10)&amp;VLOOKUP(辅助!P21,数据库!C:G,5,0),"")</f>
        <v/>
      </c>
      <c r="C59" s="474"/>
      <c r="D59" s="474"/>
      <c r="E59" s="309" t="str">
        <f t="shared" si="2"/>
        <v/>
      </c>
      <c r="F59" s="475" t="str">
        <f>'发票 (3)'!F59:G59</f>
        <v/>
      </c>
      <c r="G59" s="475"/>
      <c r="H59" s="275">
        <f t="shared" si="3"/>
        <v>0</v>
      </c>
      <c r="I59" s="177">
        <f>辅助!O21</f>
        <v>0</v>
      </c>
    </row>
    <row r="60" spans="1:14" s="44" customFormat="1" ht="30" customHeight="1">
      <c r="A60" s="176">
        <f>辅助!N22</f>
        <v>0</v>
      </c>
      <c r="B60" s="474" t="str">
        <f>IFERROR(辅助!P22&amp;CHAR(10)&amp;VLOOKUP(辅助!P22,数据库!C:G,5,0),"")</f>
        <v/>
      </c>
      <c r="C60" s="474"/>
      <c r="D60" s="474"/>
      <c r="E60" s="309" t="str">
        <f t="shared" si="2"/>
        <v/>
      </c>
      <c r="F60" s="475" t="str">
        <f>'发票 (3)'!F60:G60</f>
        <v/>
      </c>
      <c r="G60" s="475"/>
      <c r="H60" s="275">
        <f t="shared" si="3"/>
        <v>0</v>
      </c>
      <c r="I60" s="177">
        <f>辅助!O22</f>
        <v>0</v>
      </c>
    </row>
    <row r="61" spans="1:14" s="44" customFormat="1" ht="30" customHeight="1">
      <c r="A61" s="176">
        <f>辅助!N23</f>
        <v>0</v>
      </c>
      <c r="B61" s="474" t="str">
        <f>IFERROR(辅助!P23&amp;CHAR(10)&amp;VLOOKUP(辅助!P23,数据库!C:G,5,0),"")</f>
        <v/>
      </c>
      <c r="C61" s="474"/>
      <c r="D61" s="474"/>
      <c r="E61" s="309" t="str">
        <f t="shared" si="2"/>
        <v/>
      </c>
      <c r="F61" s="475" t="str">
        <f>'发票 (3)'!F61:G61</f>
        <v/>
      </c>
      <c r="G61" s="475"/>
      <c r="H61" s="275">
        <f t="shared" si="3"/>
        <v>0</v>
      </c>
      <c r="I61" s="177">
        <f>辅助!O23</f>
        <v>0</v>
      </c>
    </row>
    <row r="62" spans="1:14" s="44" customFormat="1" ht="30" customHeight="1">
      <c r="A62" s="176">
        <f>辅助!N24</f>
        <v>0</v>
      </c>
      <c r="B62" s="474" t="str">
        <f>IFERROR(辅助!P24&amp;CHAR(10)&amp;VLOOKUP(辅助!P24,数据库!C:G,5,0),"")</f>
        <v/>
      </c>
      <c r="C62" s="474"/>
      <c r="D62" s="474"/>
      <c r="E62" s="309" t="str">
        <f t="shared" si="2"/>
        <v/>
      </c>
      <c r="F62" s="475" t="str">
        <f>'发票 (3)'!F62:G62</f>
        <v/>
      </c>
      <c r="G62" s="475"/>
      <c r="H62" s="275">
        <f t="shared" si="3"/>
        <v>0</v>
      </c>
      <c r="I62" s="177">
        <f>辅助!O24</f>
        <v>0</v>
      </c>
    </row>
    <row r="63" spans="1:14" s="44" customFormat="1" ht="30" customHeight="1">
      <c r="A63" s="176">
        <f>辅助!N25</f>
        <v>0</v>
      </c>
      <c r="B63" s="474" t="str">
        <f>IFERROR(辅助!P25&amp;CHAR(10)&amp;VLOOKUP(辅助!P25,数据库!C:G,5,0),"")</f>
        <v/>
      </c>
      <c r="C63" s="474"/>
      <c r="D63" s="474"/>
      <c r="E63" s="309" t="str">
        <f t="shared" si="2"/>
        <v/>
      </c>
      <c r="F63" s="475" t="str">
        <f>'发票 (3)'!F63:G63</f>
        <v/>
      </c>
      <c r="G63" s="475"/>
      <c r="H63" s="275">
        <f t="shared" si="3"/>
        <v>0</v>
      </c>
      <c r="I63" s="177">
        <f>辅助!O25</f>
        <v>0</v>
      </c>
    </row>
    <row r="64" spans="1:14" s="44" customFormat="1" ht="37.5" customHeight="1" thickBot="1">
      <c r="A64" s="176"/>
      <c r="B64" s="510" t="str">
        <f>IF(COUNTIF(辅助!N:N,"&gt;0")&lt;=24,"Total Net Weight（g）:   "&amp;SUM(辅助!N:N)," ")&amp;CHAR(10)&amp;IF(COUNTIF(辅助!N:N,"&gt;0")&lt;=24,"Gross Weight(kg):   "&amp;发货清单!Y2," ")</f>
        <v>Total Net Weight（g）:   3266
Gross Weight(kg):   10</v>
      </c>
      <c r="C64" s="511"/>
      <c r="D64" s="512"/>
      <c r="E64" s="66"/>
      <c r="F64" s="475"/>
      <c r="G64" s="475"/>
      <c r="H64" s="278" t="str">
        <f>IF(COUNTIF(辅助!O:O,"&gt;0")&lt;=24,"TOTAL:"," ")</f>
        <v>TOTAL:</v>
      </c>
      <c r="I64" s="274">
        <f>IF(COUNTIF(辅助!O:O,"&gt;0")&lt;=24,SUM(辅助!O:O)," ")</f>
        <v>3532.9</v>
      </c>
    </row>
    <row r="65" spans="1:10" ht="15.75">
      <c r="A65" s="169" t="s">
        <v>31</v>
      </c>
      <c r="B65" s="170"/>
      <c r="C65" s="170"/>
      <c r="D65" s="171"/>
      <c r="E65" s="41"/>
      <c r="F65" s="484"/>
      <c r="G65" s="484"/>
      <c r="H65" s="484"/>
      <c r="I65" s="485"/>
    </row>
    <row r="66" spans="1:10" ht="15" customHeight="1">
      <c r="A66" s="486" t="str">
        <f>A31</f>
        <v>I certify that all chemicals in this shipment are not subject to TSCA.</v>
      </c>
      <c r="B66" s="487"/>
      <c r="C66" s="488"/>
      <c r="D66" s="39"/>
      <c r="E66" s="492" t="s">
        <v>73</v>
      </c>
      <c r="F66" s="493"/>
      <c r="G66" s="493"/>
      <c r="H66" s="493"/>
      <c r="I66" s="494"/>
    </row>
    <row r="67" spans="1:10" ht="12.75" customHeight="1" thickBot="1">
      <c r="A67" s="489"/>
      <c r="B67" s="490"/>
      <c r="C67" s="491"/>
      <c r="D67" s="39"/>
      <c r="E67" s="495"/>
      <c r="F67" s="496"/>
      <c r="G67" s="496"/>
      <c r="H67" s="496"/>
      <c r="I67" s="497"/>
    </row>
    <row r="68" spans="1:10" ht="16.5" customHeight="1" thickBot="1">
      <c r="A68" s="498" t="s">
        <v>525</v>
      </c>
      <c r="B68" s="499"/>
      <c r="C68" s="500"/>
      <c r="D68" s="39"/>
      <c r="E68" s="42" t="s">
        <v>71</v>
      </c>
      <c r="F68" s="39"/>
      <c r="G68" s="507" t="str">
        <f>G33</f>
        <v>2786337676</v>
      </c>
      <c r="H68" s="508"/>
      <c r="I68" s="509"/>
    </row>
    <row r="69" spans="1:10" ht="32.25" customHeight="1" thickBot="1">
      <c r="A69" s="501"/>
      <c r="B69" s="502"/>
      <c r="C69" s="503"/>
      <c r="D69" s="39"/>
      <c r="E69" s="42" t="s">
        <v>34</v>
      </c>
      <c r="F69" s="39"/>
      <c r="G69" s="43"/>
      <c r="H69" s="43"/>
      <c r="I69" s="172"/>
    </row>
    <row r="70" spans="1:10" ht="15" thickBot="1">
      <c r="A70" s="504"/>
      <c r="B70" s="505"/>
      <c r="C70" s="506"/>
      <c r="D70" s="43"/>
      <c r="E70" s="43"/>
      <c r="F70" s="43"/>
      <c r="G70" s="43"/>
      <c r="H70" s="43"/>
      <c r="I70" s="172"/>
    </row>
    <row r="71" spans="1:10" ht="17.25" customHeight="1">
      <c r="A71" s="17"/>
      <c r="B71" s="17"/>
      <c r="C71" s="17"/>
      <c r="D71" s="17"/>
      <c r="E71" s="310" t="str">
        <f>"page 2/"&amp;IF(COUNTIF(辅助!K:K,"&gt;0")&lt;25,2,3)</f>
        <v>page 2/2</v>
      </c>
      <c r="F71" s="17"/>
      <c r="G71" s="17"/>
      <c r="H71" s="17"/>
      <c r="I71" s="17"/>
    </row>
    <row r="72" spans="1:10" ht="22.5">
      <c r="A72" s="470" t="s">
        <v>44</v>
      </c>
      <c r="B72" s="470"/>
      <c r="C72" s="470"/>
      <c r="D72" s="470"/>
      <c r="E72" s="470"/>
      <c r="F72" s="470"/>
      <c r="G72" s="470"/>
      <c r="H72" s="470"/>
      <c r="I72" s="470"/>
    </row>
    <row r="73" spans="1:10" ht="3.75" customHeight="1">
      <c r="A73" s="17"/>
      <c r="B73" s="17"/>
      <c r="C73" s="17"/>
      <c r="D73" s="17"/>
      <c r="E73" s="17"/>
      <c r="F73" s="17"/>
      <c r="G73" s="17"/>
      <c r="H73" s="34"/>
      <c r="I73" s="48"/>
    </row>
    <row r="74" spans="1:10" ht="3.75" customHeight="1">
      <c r="A74" s="17"/>
      <c r="B74" s="17"/>
      <c r="C74" s="17"/>
      <c r="D74" s="17"/>
      <c r="E74" s="17"/>
      <c r="F74" s="17"/>
      <c r="G74" s="17"/>
      <c r="H74" s="17"/>
      <c r="I74" s="17"/>
    </row>
    <row r="75" spans="1:10" ht="15.75">
      <c r="A75" s="35" t="s">
        <v>43</v>
      </c>
      <c r="B75" s="36"/>
      <c r="C75" s="36"/>
      <c r="D75" s="37"/>
      <c r="E75" s="61"/>
      <c r="F75" s="77" t="s">
        <v>42</v>
      </c>
      <c r="G75" s="71"/>
      <c r="H75" s="36"/>
      <c r="I75" s="37"/>
    </row>
    <row r="76" spans="1:10" ht="15.75">
      <c r="A76" s="103" t="s">
        <v>75</v>
      </c>
      <c r="B76" s="58"/>
      <c r="C76" s="58"/>
      <c r="D76" s="59"/>
      <c r="E76" s="58"/>
      <c r="F76" s="57" t="str">
        <f>F6</f>
        <v xml:space="preserve"> Fluorochem Limited</v>
      </c>
      <c r="G76" s="192"/>
      <c r="H76" s="15"/>
      <c r="I76" s="38"/>
    </row>
    <row r="77" spans="1:10" ht="15" customHeight="1">
      <c r="A77" s="104" t="s">
        <v>527</v>
      </c>
      <c r="B77" s="60"/>
      <c r="C77" s="60"/>
      <c r="D77" s="59"/>
      <c r="E77" s="61"/>
      <c r="F77" s="53" t="str">
        <f>F42</f>
        <v>Unit 14 Graphite Way</v>
      </c>
      <c r="G77" s="7"/>
      <c r="H77" s="39"/>
      <c r="I77" s="38"/>
      <c r="J77" s="16"/>
    </row>
    <row r="78" spans="1:10" ht="15" customHeight="1">
      <c r="A78" s="104" t="s">
        <v>529</v>
      </c>
      <c r="B78" s="60"/>
      <c r="C78" s="60"/>
      <c r="D78" s="59"/>
      <c r="E78" s="61"/>
      <c r="F78" s="53" t="str">
        <f t="shared" ref="F78:F80" si="4">F43</f>
        <v>Hadfield  Derbyshire</v>
      </c>
      <c r="G78" s="7"/>
      <c r="H78" s="39"/>
      <c r="I78" s="38"/>
      <c r="J78" s="16"/>
    </row>
    <row r="79" spans="1:10" ht="15" customHeight="1">
      <c r="A79" s="105" t="s">
        <v>232</v>
      </c>
      <c r="B79" s="60"/>
      <c r="C79" s="60"/>
      <c r="D79" s="59"/>
      <c r="E79" s="61"/>
      <c r="F79" s="53" t="str">
        <f t="shared" si="4"/>
        <v>SK13 1QH UK</v>
      </c>
      <c r="G79" s="193"/>
      <c r="H79" s="39"/>
      <c r="I79" s="38"/>
      <c r="J79" s="14"/>
    </row>
    <row r="80" spans="1:10" ht="15">
      <c r="A80" s="106" t="s">
        <v>233</v>
      </c>
      <c r="B80" s="62"/>
      <c r="C80" s="62"/>
      <c r="D80" s="63"/>
      <c r="E80" s="61"/>
      <c r="F80" s="53" t="str">
        <f t="shared" si="4"/>
        <v>TEL:4401457860111</v>
      </c>
      <c r="G80" s="6"/>
      <c r="H80" s="18"/>
      <c r="I80" s="40"/>
      <c r="J80" s="14"/>
    </row>
    <row r="81" spans="1:14" ht="3.75" customHeight="1">
      <c r="A81" s="17"/>
      <c r="B81" s="17"/>
      <c r="C81" s="17"/>
      <c r="D81" s="17"/>
      <c r="E81" s="17"/>
      <c r="F81" s="17"/>
      <c r="G81" s="17"/>
      <c r="H81" s="17"/>
      <c r="I81" s="17"/>
      <c r="J81" s="14"/>
    </row>
    <row r="82" spans="1:14" s="68" customFormat="1">
      <c r="A82" s="471" t="s">
        <v>17</v>
      </c>
      <c r="B82" s="472"/>
      <c r="C82" s="235" t="str">
        <f>C47</f>
        <v>Order  No.</v>
      </c>
      <c r="D82" s="263" t="s">
        <v>369</v>
      </c>
      <c r="E82" s="67" t="s">
        <v>21</v>
      </c>
      <c r="F82" s="276" t="s">
        <v>19</v>
      </c>
      <c r="G82" s="276" t="s">
        <v>20</v>
      </c>
      <c r="H82" s="471" t="s">
        <v>30</v>
      </c>
      <c r="I82" s="472"/>
    </row>
    <row r="83" spans="1:14" s="68" customFormat="1" ht="12.75">
      <c r="A83" s="471"/>
      <c r="B83" s="472"/>
      <c r="C83" s="67" t="str">
        <f>C48</f>
        <v>P100426</v>
      </c>
      <c r="D83" s="67"/>
      <c r="E83" s="67"/>
      <c r="F83" s="29" t="s">
        <v>38</v>
      </c>
      <c r="G83" s="67"/>
      <c r="H83" s="471" t="s">
        <v>386</v>
      </c>
      <c r="I83" s="472"/>
      <c r="J83" s="30"/>
    </row>
    <row r="84" spans="1:14" s="68" customFormat="1" ht="12.75">
      <c r="A84" s="471" t="s">
        <v>22</v>
      </c>
      <c r="B84" s="473"/>
      <c r="C84" s="472"/>
      <c r="D84" s="263" t="s">
        <v>70</v>
      </c>
      <c r="E84" s="471" t="s">
        <v>23</v>
      </c>
      <c r="F84" s="472"/>
      <c r="G84" s="277" t="s">
        <v>29</v>
      </c>
      <c r="H84" s="471" t="s">
        <v>18</v>
      </c>
      <c r="I84" s="472"/>
      <c r="J84" s="30"/>
    </row>
    <row r="85" spans="1:14" s="28" customFormat="1" ht="15.75">
      <c r="A85" s="476" t="s">
        <v>39</v>
      </c>
      <c r="B85" s="477"/>
      <c r="C85" s="478"/>
      <c r="D85" s="27"/>
      <c r="E85" s="476" t="str">
        <f>E50</f>
        <v>UK</v>
      </c>
      <c r="F85" s="478"/>
      <c r="G85" s="79">
        <f ca="1">TODAY()</f>
        <v>43839</v>
      </c>
      <c r="H85" s="479" t="str">
        <f>发货清单!$AA$2</f>
        <v>20200109-607</v>
      </c>
      <c r="I85" s="480"/>
      <c r="J85" s="30"/>
    </row>
    <row r="86" spans="1:14" s="26" customFormat="1" ht="23.25" customHeight="1">
      <c r="A86" s="66" t="s">
        <v>24</v>
      </c>
      <c r="B86" s="481" t="s">
        <v>25</v>
      </c>
      <c r="C86" s="482"/>
      <c r="D86" s="483"/>
      <c r="E86" s="55" t="s">
        <v>28</v>
      </c>
      <c r="F86" s="482" t="str">
        <f>'发票 (3)'!F86:G86</f>
        <v>HS code</v>
      </c>
      <c r="G86" s="483"/>
      <c r="H86" s="311" t="s">
        <v>26</v>
      </c>
      <c r="I86" s="311" t="s">
        <v>27</v>
      </c>
      <c r="N86" s="47"/>
    </row>
    <row r="87" spans="1:14" s="44" customFormat="1" ht="30" customHeight="1">
      <c r="A87" s="176">
        <f>辅助!N26</f>
        <v>0</v>
      </c>
      <c r="B87" s="474" t="str">
        <f>IFERROR(辅助!P26&amp;CHAR(10)&amp;VLOOKUP(辅助!P26,数据库!C:G,5,0),"")</f>
        <v/>
      </c>
      <c r="C87" s="474"/>
      <c r="D87" s="474"/>
      <c r="E87" s="309" t="str">
        <f t="shared" ref="E87:E98" si="5">IF(A87=0,"","Glass/Plastic bottle")</f>
        <v/>
      </c>
      <c r="F87" s="475" t="str">
        <f>'发票 (3)'!F87:G87</f>
        <v/>
      </c>
      <c r="G87" s="475"/>
      <c r="H87" s="275">
        <f>IF(A87=0,0,I87/A87)</f>
        <v>0</v>
      </c>
      <c r="I87" s="177">
        <f>辅助!O26</f>
        <v>0</v>
      </c>
    </row>
    <row r="88" spans="1:14" s="44" customFormat="1" ht="30" customHeight="1">
      <c r="A88" s="176">
        <f>辅助!N27</f>
        <v>0</v>
      </c>
      <c r="B88" s="474" t="str">
        <f>IFERROR(辅助!P27&amp;CHAR(10)&amp;VLOOKUP(辅助!P27,数据库!C:G,5,0),"")</f>
        <v/>
      </c>
      <c r="C88" s="474"/>
      <c r="D88" s="474"/>
      <c r="E88" s="309" t="str">
        <f t="shared" si="5"/>
        <v/>
      </c>
      <c r="F88" s="475" t="str">
        <f>'发票 (3)'!F88:G88</f>
        <v/>
      </c>
      <c r="G88" s="475"/>
      <c r="H88" s="275">
        <f>IF(A88=0,0,I88/A88)</f>
        <v>0</v>
      </c>
      <c r="I88" s="177">
        <f>辅助!O27</f>
        <v>0</v>
      </c>
    </row>
    <row r="89" spans="1:14" s="44" customFormat="1" ht="30" customHeight="1">
      <c r="A89" s="176">
        <f>辅助!N28</f>
        <v>0</v>
      </c>
      <c r="B89" s="474" t="str">
        <f>IFERROR(辅助!P28&amp;CHAR(10)&amp;VLOOKUP(辅助!P28,数据库!C:G,5,0),"")</f>
        <v/>
      </c>
      <c r="C89" s="474"/>
      <c r="D89" s="474"/>
      <c r="E89" s="309" t="str">
        <f t="shared" si="5"/>
        <v/>
      </c>
      <c r="F89" s="475" t="str">
        <f>'发票 (3)'!F89:G89</f>
        <v/>
      </c>
      <c r="G89" s="475"/>
      <c r="H89" s="275">
        <f t="shared" ref="H89:H98" si="6">IF(A89=0,0,I89/A89)</f>
        <v>0</v>
      </c>
      <c r="I89" s="177">
        <f>辅助!O28</f>
        <v>0</v>
      </c>
    </row>
    <row r="90" spans="1:14" s="44" customFormat="1" ht="30" customHeight="1">
      <c r="A90" s="176">
        <f>辅助!N29</f>
        <v>0</v>
      </c>
      <c r="B90" s="474" t="str">
        <f>IFERROR(辅助!P29&amp;CHAR(10)&amp;VLOOKUP(辅助!P29,数据库!C:G,5,0),"")</f>
        <v/>
      </c>
      <c r="C90" s="474"/>
      <c r="D90" s="474"/>
      <c r="E90" s="309" t="str">
        <f t="shared" si="5"/>
        <v/>
      </c>
      <c r="F90" s="475" t="str">
        <f>'发票 (3)'!F90:G90</f>
        <v/>
      </c>
      <c r="G90" s="475"/>
      <c r="H90" s="275">
        <f t="shared" si="6"/>
        <v>0</v>
      </c>
      <c r="I90" s="177">
        <f>辅助!O29</f>
        <v>0</v>
      </c>
    </row>
    <row r="91" spans="1:14" s="44" customFormat="1" ht="30" customHeight="1">
      <c r="A91" s="176">
        <f>辅助!N30</f>
        <v>0</v>
      </c>
      <c r="B91" s="474" t="str">
        <f>IFERROR(辅助!P30&amp;CHAR(10)&amp;VLOOKUP(辅助!P30,数据库!C:G,5,0),"")</f>
        <v/>
      </c>
      <c r="C91" s="474"/>
      <c r="D91" s="474"/>
      <c r="E91" s="309" t="str">
        <f t="shared" si="5"/>
        <v/>
      </c>
      <c r="F91" s="475" t="str">
        <f>'发票 (3)'!F91:G91</f>
        <v/>
      </c>
      <c r="G91" s="475"/>
      <c r="H91" s="275">
        <f t="shared" si="6"/>
        <v>0</v>
      </c>
      <c r="I91" s="177">
        <f>辅助!O30</f>
        <v>0</v>
      </c>
    </row>
    <row r="92" spans="1:14" s="44" customFormat="1" ht="30" customHeight="1">
      <c r="A92" s="176">
        <f>辅助!N31</f>
        <v>0</v>
      </c>
      <c r="B92" s="474" t="str">
        <f>IFERROR(辅助!P31&amp;CHAR(10)&amp;VLOOKUP(辅助!P31,数据库!C:G,5,0),"")</f>
        <v/>
      </c>
      <c r="C92" s="474"/>
      <c r="D92" s="474"/>
      <c r="E92" s="309" t="str">
        <f t="shared" si="5"/>
        <v/>
      </c>
      <c r="F92" s="475" t="str">
        <f>'发票 (3)'!F92:G92</f>
        <v/>
      </c>
      <c r="G92" s="475"/>
      <c r="H92" s="275">
        <f t="shared" si="6"/>
        <v>0</v>
      </c>
      <c r="I92" s="177">
        <f>辅助!O31</f>
        <v>0</v>
      </c>
    </row>
    <row r="93" spans="1:14" s="44" customFormat="1" ht="30" customHeight="1">
      <c r="A93" s="176">
        <f>辅助!N32</f>
        <v>0</v>
      </c>
      <c r="B93" s="474" t="str">
        <f>IFERROR(辅助!P32&amp;CHAR(10)&amp;VLOOKUP(辅助!P32,数据库!C:G,5,0),"")</f>
        <v/>
      </c>
      <c r="C93" s="474"/>
      <c r="D93" s="474"/>
      <c r="E93" s="309" t="str">
        <f t="shared" si="5"/>
        <v/>
      </c>
      <c r="F93" s="475" t="str">
        <f>'发票 (3)'!F93:G93</f>
        <v/>
      </c>
      <c r="G93" s="475"/>
      <c r="H93" s="275">
        <f t="shared" si="6"/>
        <v>0</v>
      </c>
      <c r="I93" s="177">
        <f>辅助!O32</f>
        <v>0</v>
      </c>
    </row>
    <row r="94" spans="1:14" s="44" customFormat="1" ht="30" customHeight="1">
      <c r="A94" s="176">
        <f>辅助!N33</f>
        <v>0</v>
      </c>
      <c r="B94" s="474" t="str">
        <f>IFERROR(辅助!P33&amp;CHAR(10)&amp;VLOOKUP(辅助!P33,数据库!C:G,5,0),"")</f>
        <v/>
      </c>
      <c r="C94" s="474"/>
      <c r="D94" s="474"/>
      <c r="E94" s="309" t="str">
        <f t="shared" si="5"/>
        <v/>
      </c>
      <c r="F94" s="475" t="str">
        <f>'发票 (3)'!F94:G94</f>
        <v/>
      </c>
      <c r="G94" s="475"/>
      <c r="H94" s="275">
        <f t="shared" si="6"/>
        <v>0</v>
      </c>
      <c r="I94" s="177">
        <f>辅助!O33</f>
        <v>0</v>
      </c>
    </row>
    <row r="95" spans="1:14" s="44" customFormat="1" ht="30" customHeight="1">
      <c r="A95" s="176">
        <f>辅助!N34</f>
        <v>0</v>
      </c>
      <c r="B95" s="474" t="str">
        <f>IFERROR(辅助!P34&amp;CHAR(10)&amp;VLOOKUP(辅助!P34,数据库!C:G,5,0),"")</f>
        <v/>
      </c>
      <c r="C95" s="474"/>
      <c r="D95" s="474"/>
      <c r="E95" s="309" t="str">
        <f t="shared" si="5"/>
        <v/>
      </c>
      <c r="F95" s="475" t="str">
        <f>'发票 (3)'!F95:G95</f>
        <v/>
      </c>
      <c r="G95" s="475"/>
      <c r="H95" s="275">
        <f t="shared" si="6"/>
        <v>0</v>
      </c>
      <c r="I95" s="177">
        <f>辅助!O34</f>
        <v>0</v>
      </c>
    </row>
    <row r="96" spans="1:14" s="44" customFormat="1" ht="30" customHeight="1">
      <c r="A96" s="176">
        <f>辅助!N35</f>
        <v>0</v>
      </c>
      <c r="B96" s="474" t="str">
        <f>IFERROR(辅助!P35&amp;CHAR(10)&amp;VLOOKUP(辅助!P35,数据库!C:G,5,0),"")</f>
        <v/>
      </c>
      <c r="C96" s="474"/>
      <c r="D96" s="474"/>
      <c r="E96" s="309" t="str">
        <f t="shared" si="5"/>
        <v/>
      </c>
      <c r="F96" s="475" t="str">
        <f>'发票 (3)'!F96:G96</f>
        <v/>
      </c>
      <c r="G96" s="475"/>
      <c r="H96" s="275">
        <f t="shared" si="6"/>
        <v>0</v>
      </c>
      <c r="I96" s="177">
        <f>辅助!O35</f>
        <v>0</v>
      </c>
    </row>
    <row r="97" spans="1:9" s="44" customFormat="1" ht="30" customHeight="1">
      <c r="A97" s="176">
        <f>辅助!N36</f>
        <v>0</v>
      </c>
      <c r="B97" s="474" t="str">
        <f>IFERROR(辅助!P36&amp;CHAR(10)&amp;VLOOKUP(辅助!P36,数据库!C:G,5,0),"")</f>
        <v/>
      </c>
      <c r="C97" s="474"/>
      <c r="D97" s="474"/>
      <c r="E97" s="309" t="str">
        <f t="shared" si="5"/>
        <v/>
      </c>
      <c r="F97" s="475" t="str">
        <f>'发票 (3)'!F97:G97</f>
        <v/>
      </c>
      <c r="G97" s="475"/>
      <c r="H97" s="275">
        <f t="shared" si="6"/>
        <v>0</v>
      </c>
      <c r="I97" s="177">
        <f>辅助!O36</f>
        <v>0</v>
      </c>
    </row>
    <row r="98" spans="1:9" s="44" customFormat="1" ht="30" customHeight="1">
      <c r="A98" s="176">
        <f>辅助!N37</f>
        <v>0</v>
      </c>
      <c r="B98" s="474" t="str">
        <f>IFERROR(辅助!P37&amp;CHAR(10)&amp;VLOOKUP(辅助!P37,数据库!C:G,5,0),"")</f>
        <v/>
      </c>
      <c r="C98" s="474"/>
      <c r="D98" s="474"/>
      <c r="E98" s="309" t="str">
        <f t="shared" si="5"/>
        <v/>
      </c>
      <c r="F98" s="475" t="str">
        <f>'发票 (3)'!F98:G98</f>
        <v/>
      </c>
      <c r="G98" s="475"/>
      <c r="H98" s="275">
        <f t="shared" si="6"/>
        <v>0</v>
      </c>
      <c r="I98" s="177">
        <f>辅助!O37</f>
        <v>0</v>
      </c>
    </row>
    <row r="99" spans="1:9" s="44" customFormat="1" ht="37.5" customHeight="1" thickBot="1">
      <c r="A99" s="176"/>
      <c r="B99" s="510" t="str">
        <f>IF(COUNTIF(辅助!N:N,"&gt;0")&lt;=36,"Total Net Weight（g）:   "&amp;SUM(辅助!N:N)," ")&amp;CHAR(10)&amp;IF(COUNTIF(辅助!N:N,"&gt;0")&lt;=36,"Gross Weight(kg):   "&amp;发货清单!Y2," ")</f>
        <v>Total Net Weight（g）:   3266
Gross Weight(kg):   10</v>
      </c>
      <c r="C99" s="511"/>
      <c r="D99" s="512"/>
      <c r="E99" s="66"/>
      <c r="F99" s="475"/>
      <c r="G99" s="475"/>
      <c r="H99" s="278" t="str">
        <f>IF(COUNTIF(辅助!O:O,"&gt;0")&lt;=36,"TOTAL:"," ")</f>
        <v>TOTAL:</v>
      </c>
      <c r="I99" s="274">
        <f>IF(COUNTIF(辅助!O:O,"&gt;0")&lt;=36,SUM(辅助!O:O)," ")</f>
        <v>3532.9</v>
      </c>
    </row>
    <row r="100" spans="1:9" ht="15.75">
      <c r="A100" s="169" t="s">
        <v>31</v>
      </c>
      <c r="B100" s="170"/>
      <c r="C100" s="170"/>
      <c r="D100" s="171"/>
      <c r="E100" s="41"/>
      <c r="F100" s="484"/>
      <c r="G100" s="484"/>
      <c r="H100" s="484"/>
      <c r="I100" s="485"/>
    </row>
    <row r="101" spans="1:9" ht="15" customHeight="1">
      <c r="A101" s="486" t="str">
        <f>A66</f>
        <v>I certify that all chemicals in this shipment are not subject to TSCA.</v>
      </c>
      <c r="B101" s="487"/>
      <c r="C101" s="488"/>
      <c r="D101" s="39"/>
      <c r="E101" s="492" t="s">
        <v>73</v>
      </c>
      <c r="F101" s="493"/>
      <c r="G101" s="493"/>
      <c r="H101" s="493"/>
      <c r="I101" s="494"/>
    </row>
    <row r="102" spans="1:9" ht="10.5" customHeight="1" thickBot="1">
      <c r="A102" s="489"/>
      <c r="B102" s="490"/>
      <c r="C102" s="491"/>
      <c r="D102" s="39"/>
      <c r="E102" s="495"/>
      <c r="F102" s="496"/>
      <c r="G102" s="496"/>
      <c r="H102" s="496"/>
      <c r="I102" s="497"/>
    </row>
    <row r="103" spans="1:9" ht="16.5" customHeight="1" thickBot="1">
      <c r="A103" s="498" t="s">
        <v>525</v>
      </c>
      <c r="B103" s="499"/>
      <c r="C103" s="500"/>
      <c r="D103" s="39"/>
      <c r="E103" s="42" t="s">
        <v>71</v>
      </c>
      <c r="F103" s="39"/>
      <c r="G103" s="507" t="str">
        <f>G33</f>
        <v>2786337676</v>
      </c>
      <c r="H103" s="508"/>
      <c r="I103" s="509"/>
    </row>
    <row r="104" spans="1:9" ht="32.25" customHeight="1" thickBot="1">
      <c r="A104" s="501"/>
      <c r="B104" s="502"/>
      <c r="C104" s="503"/>
      <c r="D104" s="39"/>
      <c r="E104" s="42" t="s">
        <v>34</v>
      </c>
      <c r="F104" s="39"/>
      <c r="G104" s="43"/>
      <c r="H104" s="43"/>
      <c r="I104" s="172"/>
    </row>
    <row r="105" spans="1:9" ht="15" thickBot="1">
      <c r="A105" s="504"/>
      <c r="B105" s="505"/>
      <c r="C105" s="506"/>
      <c r="D105" s="43"/>
      <c r="E105" s="43"/>
      <c r="F105" s="43"/>
      <c r="G105" s="43"/>
      <c r="H105" s="43"/>
      <c r="I105" s="172"/>
    </row>
    <row r="106" spans="1:9">
      <c r="E106" s="19" t="s">
        <v>568</v>
      </c>
    </row>
  </sheetData>
  <mergeCells count="135">
    <mergeCell ref="A2:I2"/>
    <mergeCell ref="A12:B12"/>
    <mergeCell ref="H12:I12"/>
    <mergeCell ref="A13:B13"/>
    <mergeCell ref="H13:I13"/>
    <mergeCell ref="A14:C14"/>
    <mergeCell ref="E14:F14"/>
    <mergeCell ref="H14:I14"/>
    <mergeCell ref="B18:D18"/>
    <mergeCell ref="F18:G18"/>
    <mergeCell ref="B19:D19"/>
    <mergeCell ref="F19:G19"/>
    <mergeCell ref="B20:D20"/>
    <mergeCell ref="F20:G20"/>
    <mergeCell ref="A15:C15"/>
    <mergeCell ref="E15:F15"/>
    <mergeCell ref="H15:I15"/>
    <mergeCell ref="B16:D16"/>
    <mergeCell ref="F16:G16"/>
    <mergeCell ref="B17:D17"/>
    <mergeCell ref="F17:G17"/>
    <mergeCell ref="B24:D24"/>
    <mergeCell ref="F24:G24"/>
    <mergeCell ref="B25:D25"/>
    <mergeCell ref="F25:G25"/>
    <mergeCell ref="B26:D26"/>
    <mergeCell ref="F26:G26"/>
    <mergeCell ref="B21:D21"/>
    <mergeCell ref="F21:G21"/>
    <mergeCell ref="B22:D22"/>
    <mergeCell ref="F22:G22"/>
    <mergeCell ref="B23:D23"/>
    <mergeCell ref="F23:G23"/>
    <mergeCell ref="F30:I30"/>
    <mergeCell ref="A31:C32"/>
    <mergeCell ref="E31:I31"/>
    <mergeCell ref="E32:I32"/>
    <mergeCell ref="A33:C35"/>
    <mergeCell ref="G33:I33"/>
    <mergeCell ref="B27:D27"/>
    <mergeCell ref="F27:G27"/>
    <mergeCell ref="B28:D28"/>
    <mergeCell ref="F28:G28"/>
    <mergeCell ref="B29:D29"/>
    <mergeCell ref="F29:G29"/>
    <mergeCell ref="A50:C50"/>
    <mergeCell ref="E50:F50"/>
    <mergeCell ref="H50:I50"/>
    <mergeCell ref="B51:D51"/>
    <mergeCell ref="F51:G51"/>
    <mergeCell ref="B52:D52"/>
    <mergeCell ref="F52:G52"/>
    <mergeCell ref="A37:I37"/>
    <mergeCell ref="A47:B47"/>
    <mergeCell ref="H47:I47"/>
    <mergeCell ref="A48:B48"/>
    <mergeCell ref="H48:I48"/>
    <mergeCell ref="A49:C49"/>
    <mergeCell ref="E49:F49"/>
    <mergeCell ref="H49:I49"/>
    <mergeCell ref="B56:D56"/>
    <mergeCell ref="F56:G56"/>
    <mergeCell ref="B57:D57"/>
    <mergeCell ref="F57:G57"/>
    <mergeCell ref="B58:D58"/>
    <mergeCell ref="F58:G58"/>
    <mergeCell ref="B53:D53"/>
    <mergeCell ref="F53:G53"/>
    <mergeCell ref="B54:D54"/>
    <mergeCell ref="F54:G54"/>
    <mergeCell ref="B55:D55"/>
    <mergeCell ref="F55:G55"/>
    <mergeCell ref="B62:D62"/>
    <mergeCell ref="F62:G62"/>
    <mergeCell ref="B63:D63"/>
    <mergeCell ref="F63:G63"/>
    <mergeCell ref="B64:D64"/>
    <mergeCell ref="F64:G64"/>
    <mergeCell ref="B59:D59"/>
    <mergeCell ref="F59:G59"/>
    <mergeCell ref="B60:D60"/>
    <mergeCell ref="F60:G60"/>
    <mergeCell ref="B61:D61"/>
    <mergeCell ref="F61:G61"/>
    <mergeCell ref="A72:I72"/>
    <mergeCell ref="A82:B82"/>
    <mergeCell ref="H82:I82"/>
    <mergeCell ref="A83:B83"/>
    <mergeCell ref="H83:I83"/>
    <mergeCell ref="A84:C84"/>
    <mergeCell ref="E84:F84"/>
    <mergeCell ref="H84:I84"/>
    <mergeCell ref="F65:I65"/>
    <mergeCell ref="A66:C67"/>
    <mergeCell ref="E66:I66"/>
    <mergeCell ref="E67:I67"/>
    <mergeCell ref="A68:C70"/>
    <mergeCell ref="G68:I68"/>
    <mergeCell ref="B88:D88"/>
    <mergeCell ref="F88:G88"/>
    <mergeCell ref="B89:D89"/>
    <mergeCell ref="F89:G89"/>
    <mergeCell ref="B90:D90"/>
    <mergeCell ref="F90:G90"/>
    <mergeCell ref="A85:C85"/>
    <mergeCell ref="E85:F85"/>
    <mergeCell ref="H85:I85"/>
    <mergeCell ref="B86:D86"/>
    <mergeCell ref="F86:G86"/>
    <mergeCell ref="B87:D87"/>
    <mergeCell ref="F87:G87"/>
    <mergeCell ref="B94:D94"/>
    <mergeCell ref="F94:G94"/>
    <mergeCell ref="B95:D95"/>
    <mergeCell ref="F95:G95"/>
    <mergeCell ref="B96:D96"/>
    <mergeCell ref="F96:G96"/>
    <mergeCell ref="B91:D91"/>
    <mergeCell ref="F91:G91"/>
    <mergeCell ref="B92:D92"/>
    <mergeCell ref="F92:G92"/>
    <mergeCell ref="B93:D93"/>
    <mergeCell ref="F93:G93"/>
    <mergeCell ref="F100:I100"/>
    <mergeCell ref="A101:C102"/>
    <mergeCell ref="E101:I101"/>
    <mergeCell ref="E102:I102"/>
    <mergeCell ref="A103:C105"/>
    <mergeCell ref="G103:I103"/>
    <mergeCell ref="B97:D97"/>
    <mergeCell ref="F97:G97"/>
    <mergeCell ref="B98:D98"/>
    <mergeCell ref="F98:G98"/>
    <mergeCell ref="B99:D99"/>
    <mergeCell ref="F99:G99"/>
  </mergeCells>
  <phoneticPr fontId="1" type="noConversion"/>
  <conditionalFormatting sqref="H17:I29 A17:B29 E17:F29">
    <cfRule type="cellIs" dxfId="94" priority="10" operator="equal">
      <formula>0</formula>
    </cfRule>
  </conditionalFormatting>
  <conditionalFormatting sqref="E64:F64 H52:I64 A52:B64 F52:F63">
    <cfRule type="cellIs" dxfId="93" priority="8" operator="equal">
      <formula>0</formula>
    </cfRule>
  </conditionalFormatting>
  <conditionalFormatting sqref="F45">
    <cfRule type="cellIs" dxfId="92" priority="7" operator="equal">
      <formula>0</formula>
    </cfRule>
  </conditionalFormatting>
  <conditionalFormatting sqref="E99:F99 A87:B99 H87:I99 F87:F98">
    <cfRule type="cellIs" dxfId="91" priority="6" operator="equal">
      <formula>0</formula>
    </cfRule>
  </conditionalFormatting>
  <conditionalFormatting sqref="F80">
    <cfRule type="cellIs" dxfId="90" priority="5" operator="equal">
      <formula>0</formula>
    </cfRule>
  </conditionalFormatting>
  <conditionalFormatting sqref="E52:E63">
    <cfRule type="cellIs" dxfId="89" priority="4" operator="equal">
      <formula>0</formula>
    </cfRule>
  </conditionalFormatting>
  <conditionalFormatting sqref="E87:E98">
    <cfRule type="cellIs" dxfId="88" priority="3" operator="equal">
      <formula>0</formula>
    </cfRule>
  </conditionalFormatting>
  <conditionalFormatting sqref="A72:XFD106">
    <cfRule type="expression" dxfId="87" priority="2">
      <formula>$A$87=0</formula>
    </cfRule>
  </conditionalFormatting>
  <conditionalFormatting sqref="A37:XFD71">
    <cfRule type="expression" dxfId="86" priority="1">
      <formula>$A$52=0</formula>
    </cfRule>
  </conditionalFormatting>
  <dataValidations count="2">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2 E67 E10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1 A66 A101"/>
  </dataValidations>
  <hyperlinks>
    <hyperlink ref="A10" r:id="rId1"/>
    <hyperlink ref="A45" r:id="rId2"/>
    <hyperlink ref="A80" r:id="rId3"/>
  </hyperlinks>
  <pageMargins left="0.19685039370078741" right="0" top="0.51181102362204722" bottom="0.74803149606299213" header="0.31496062992125984" footer="0.31496062992125984"/>
  <pageSetup paperSize="9" orientation="portrait" horizontalDpi="4294967295" verticalDpi="4294967295" r:id="rId4"/>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109"/>
  <sheetViews>
    <sheetView topLeftCell="A74" workbookViewId="0">
      <selection activeCell="J88" sqref="J88:K88"/>
    </sheetView>
  </sheetViews>
  <sheetFormatPr defaultRowHeight="14.25"/>
  <cols>
    <col min="1" max="1" width="5.25" customWidth="1"/>
    <col min="2" max="2" width="6.5" customWidth="1"/>
    <col min="3" max="3" width="26.125" customWidth="1"/>
    <col min="4" max="4" width="9.75" customWidth="1"/>
    <col min="5" max="5" width="9.375" customWidth="1"/>
    <col min="6" max="6" width="5.625" customWidth="1"/>
    <col min="7" max="7" width="8" customWidth="1"/>
    <col min="8" max="8" width="10.875" customWidth="1"/>
    <col min="9" max="9" width="13" customWidth="1"/>
  </cols>
  <sheetData>
    <row r="1" spans="1:14" ht="8.25" customHeight="1">
      <c r="A1" s="17"/>
      <c r="B1" s="17"/>
      <c r="C1" s="17"/>
      <c r="D1" s="17"/>
      <c r="E1" s="17"/>
      <c r="F1" s="17"/>
      <c r="G1" s="17"/>
      <c r="H1" s="17"/>
      <c r="I1" s="17"/>
    </row>
    <row r="2" spans="1:14" ht="22.5">
      <c r="A2" s="470" t="s">
        <v>370</v>
      </c>
      <c r="B2" s="470"/>
      <c r="C2" s="470"/>
      <c r="D2" s="470"/>
      <c r="E2" s="470"/>
      <c r="F2" s="470"/>
      <c r="G2" s="470"/>
      <c r="H2" s="470"/>
      <c r="I2" s="470"/>
    </row>
    <row r="3" spans="1:14" ht="5.25" hidden="1" customHeight="1">
      <c r="A3" s="17"/>
      <c r="B3" s="17"/>
      <c r="C3" s="17"/>
      <c r="D3" s="17"/>
      <c r="E3" s="17"/>
      <c r="F3" s="17"/>
      <c r="G3" s="17"/>
      <c r="H3" s="34"/>
      <c r="I3" s="48"/>
    </row>
    <row r="4" spans="1:14" ht="5.25" hidden="1" customHeight="1">
      <c r="A4" s="17"/>
      <c r="B4" s="17"/>
      <c r="C4" s="17"/>
      <c r="D4" s="17"/>
      <c r="E4" s="17"/>
      <c r="F4" s="17"/>
      <c r="G4" s="17"/>
      <c r="H4" s="17"/>
      <c r="I4" s="17"/>
    </row>
    <row r="5" spans="1:14" ht="15.75">
      <c r="A5" s="35" t="s">
        <v>43</v>
      </c>
      <c r="B5" s="36"/>
      <c r="C5" s="36"/>
      <c r="D5" s="37"/>
      <c r="E5" s="61"/>
      <c r="F5" s="77" t="s">
        <v>42</v>
      </c>
      <c r="G5" s="71"/>
      <c r="H5" s="36"/>
      <c r="I5" s="37"/>
    </row>
    <row r="6" spans="1:14" ht="15.75">
      <c r="A6" s="103" t="s">
        <v>75</v>
      </c>
      <c r="B6" s="58"/>
      <c r="C6" s="58"/>
      <c r="D6" s="59"/>
      <c r="E6" s="58"/>
      <c r="F6" s="57" t="str">
        <f>'Commercial Invoice3'!F6</f>
        <v xml:space="preserve"> Fluorochem Limited</v>
      </c>
      <c r="G6" s="192"/>
      <c r="H6" s="15"/>
      <c r="I6" s="38"/>
    </row>
    <row r="7" spans="1:14" ht="15" customHeight="1">
      <c r="A7" s="104" t="s">
        <v>230</v>
      </c>
      <c r="B7" s="60"/>
      <c r="C7" s="60"/>
      <c r="D7" s="59"/>
      <c r="E7" s="61"/>
      <c r="F7" s="53" t="str">
        <f>'Commercial Invoice3'!F7</f>
        <v>Unit 14 Graphite Way</v>
      </c>
      <c r="G7" s="7"/>
      <c r="H7" s="39"/>
      <c r="I7" s="38"/>
      <c r="J7" s="16"/>
    </row>
    <row r="8" spans="1:14" ht="15" customHeight="1">
      <c r="A8" s="104" t="s">
        <v>231</v>
      </c>
      <c r="B8" s="60"/>
      <c r="C8" s="60"/>
      <c r="D8" s="59"/>
      <c r="E8" s="61"/>
      <c r="F8" s="53" t="str">
        <f>'Commercial Invoice3'!F8</f>
        <v>Hadfield  Derbyshire</v>
      </c>
      <c r="G8" s="7"/>
      <c r="H8" s="39"/>
      <c r="I8" s="38"/>
      <c r="J8" s="16"/>
    </row>
    <row r="9" spans="1:14" ht="15" customHeight="1">
      <c r="A9" s="105" t="s">
        <v>232</v>
      </c>
      <c r="B9" s="60"/>
      <c r="C9" s="60"/>
      <c r="D9" s="59"/>
      <c r="E9" s="61"/>
      <c r="F9" s="53" t="str">
        <f>'Commercial Invoice3'!F9</f>
        <v>SK13 1QH UK</v>
      </c>
      <c r="G9" s="193"/>
      <c r="H9" s="39"/>
      <c r="I9" s="38"/>
      <c r="J9" s="14"/>
    </row>
    <row r="10" spans="1:14" ht="15">
      <c r="A10" s="106" t="s">
        <v>233</v>
      </c>
      <c r="B10" s="62"/>
      <c r="C10" s="62"/>
      <c r="D10" s="63"/>
      <c r="E10" s="61"/>
      <c r="F10" s="53" t="str">
        <f>'Commercial Invoice3'!F10</f>
        <v>TEL:4401457860111</v>
      </c>
      <c r="G10" s="6"/>
      <c r="H10" s="18"/>
      <c r="I10" s="40"/>
      <c r="J10" s="14"/>
    </row>
    <row r="11" spans="1:14" ht="6" customHeight="1">
      <c r="A11" s="17"/>
      <c r="B11" s="17"/>
      <c r="C11" s="17"/>
      <c r="D11" s="17"/>
      <c r="E11" s="17"/>
      <c r="F11" s="17"/>
      <c r="G11" s="17"/>
      <c r="H11" s="17"/>
      <c r="I11" s="17"/>
      <c r="J11" s="14"/>
    </row>
    <row r="12" spans="1:14" s="68" customFormat="1">
      <c r="A12" s="471" t="s">
        <v>17</v>
      </c>
      <c r="B12" s="472"/>
      <c r="C12" s="235" t="str">
        <f>'Commercial Invoice3'!C12</f>
        <v>Order  No.</v>
      </c>
      <c r="D12" s="67" t="s">
        <v>369</v>
      </c>
      <c r="E12" s="67" t="s">
        <v>21</v>
      </c>
      <c r="F12" s="263" t="s">
        <v>19</v>
      </c>
      <c r="G12" s="67" t="s">
        <v>20</v>
      </c>
      <c r="H12" s="471" t="s">
        <v>30</v>
      </c>
      <c r="I12" s="472"/>
    </row>
    <row r="13" spans="1:14" s="68" customFormat="1" ht="12.75">
      <c r="A13" s="471"/>
      <c r="B13" s="472"/>
      <c r="C13" s="67" t="str">
        <f>'Commercial Invoice3'!C13</f>
        <v>P100426</v>
      </c>
      <c r="D13" s="67"/>
      <c r="E13" s="67"/>
      <c r="F13" s="29" t="s">
        <v>38</v>
      </c>
      <c r="G13" s="67"/>
      <c r="H13" s="471" t="s">
        <v>386</v>
      </c>
      <c r="I13" s="472"/>
      <c r="J13" s="30"/>
    </row>
    <row r="14" spans="1:14" s="68" customFormat="1" ht="12.75">
      <c r="A14" s="471" t="s">
        <v>22</v>
      </c>
      <c r="B14" s="473"/>
      <c r="C14" s="472"/>
      <c r="D14" s="67" t="s">
        <v>70</v>
      </c>
      <c r="E14" s="471" t="s">
        <v>23</v>
      </c>
      <c r="F14" s="472"/>
      <c r="G14" s="356" t="s">
        <v>29</v>
      </c>
      <c r="H14" s="471" t="s">
        <v>18</v>
      </c>
      <c r="I14" s="472"/>
      <c r="J14" s="30"/>
    </row>
    <row r="15" spans="1:14" s="28" customFormat="1" ht="15.75">
      <c r="A15" s="476" t="s">
        <v>39</v>
      </c>
      <c r="B15" s="477"/>
      <c r="C15" s="478"/>
      <c r="D15" s="27"/>
      <c r="E15" s="513" t="str">
        <f>'Commercial Invoice3'!E15</f>
        <v>UK</v>
      </c>
      <c r="F15" s="478"/>
      <c r="G15" s="79">
        <f ca="1">'Commercial Invoice3'!G15</f>
        <v>43839</v>
      </c>
      <c r="H15" s="479" t="str">
        <f>'Commercial Invoice3'!H15</f>
        <v>20200109-607</v>
      </c>
      <c r="I15" s="480"/>
      <c r="J15" s="30"/>
    </row>
    <row r="16" spans="1:14" s="26" customFormat="1" ht="23.25" customHeight="1">
      <c r="A16" s="66" t="s">
        <v>24</v>
      </c>
      <c r="B16" s="481" t="s">
        <v>25</v>
      </c>
      <c r="C16" s="482"/>
      <c r="D16" s="483"/>
      <c r="E16" s="55" t="s">
        <v>28</v>
      </c>
      <c r="F16" s="514" t="s">
        <v>109</v>
      </c>
      <c r="G16" s="514"/>
      <c r="H16" s="514"/>
      <c r="I16" s="514"/>
      <c r="N16" s="47"/>
    </row>
    <row r="17" spans="1:9" s="44" customFormat="1" ht="30.75" customHeight="1">
      <c r="A17" s="176">
        <f>'Commercial Invoice3'!A17</f>
        <v>600</v>
      </c>
      <c r="B17" s="474" t="str">
        <f>'Commercial Invoice3'!B17</f>
        <v>Carboxylic acid compound category (AB-04)1
White powder</v>
      </c>
      <c r="C17" s="474"/>
      <c r="D17" s="474"/>
      <c r="E17" s="355" t="str">
        <f>'Commercial Invoice3'!E17</f>
        <v>Glass/Plastic bottle</v>
      </c>
      <c r="F17" s="514"/>
      <c r="G17" s="514"/>
      <c r="H17" s="514"/>
      <c r="I17" s="514"/>
    </row>
    <row r="18" spans="1:9" s="44" customFormat="1" ht="30.75" customHeight="1">
      <c r="A18" s="176">
        <f>'Commercial Invoice3'!A18</f>
        <v>10</v>
      </c>
      <c r="B18" s="474" t="str">
        <f>'Commercial Invoice3'!B18</f>
        <v>Carboxylic acid compound category (AB-04)6
White Solid</v>
      </c>
      <c r="C18" s="474"/>
      <c r="D18" s="474"/>
      <c r="E18" s="355" t="str">
        <f>'Commercial Invoice3'!E18</f>
        <v>Glass/Plastic bottle</v>
      </c>
      <c r="F18" s="514"/>
      <c r="G18" s="514"/>
      <c r="H18" s="514"/>
      <c r="I18" s="514"/>
    </row>
    <row r="19" spans="1:9" s="44" customFormat="1" ht="30.75" customHeight="1">
      <c r="A19" s="176">
        <f>'Commercial Invoice3'!A19</f>
        <v>1000</v>
      </c>
      <c r="B19" s="474" t="str">
        <f>'Commercial Invoice3'!B19</f>
        <v>Sulfonamide compound category(AB-08)1
White Solid</v>
      </c>
      <c r="C19" s="474"/>
      <c r="D19" s="474"/>
      <c r="E19" s="355" t="str">
        <f>'Commercial Invoice3'!E19</f>
        <v>Glass/Plastic bottle</v>
      </c>
      <c r="F19" s="514"/>
      <c r="G19" s="514"/>
      <c r="H19" s="514"/>
      <c r="I19" s="514"/>
    </row>
    <row r="20" spans="1:9" s="44" customFormat="1" ht="30.75" customHeight="1">
      <c r="A20" s="176">
        <f>'Commercial Invoice3'!A20</f>
        <v>205</v>
      </c>
      <c r="B20" s="474" t="str">
        <f>'Commercial Invoice3'!B20</f>
        <v>Heterocyclic with single or more oxygen atoms compound category （AB-15）4
White crystal</v>
      </c>
      <c r="C20" s="474"/>
      <c r="D20" s="474"/>
      <c r="E20" s="355" t="str">
        <f>'Commercial Invoice3'!E20</f>
        <v>Glass/Plastic bottle</v>
      </c>
      <c r="F20" s="514"/>
      <c r="G20" s="514"/>
      <c r="H20" s="514"/>
      <c r="I20" s="514"/>
    </row>
    <row r="21" spans="1:9" s="44" customFormat="1" ht="30.75" customHeight="1">
      <c r="A21" s="176">
        <f>'Commercial Invoice3'!A21</f>
        <v>500</v>
      </c>
      <c r="B21" s="474" t="str">
        <f>'Commercial Invoice3'!B21</f>
        <v>Acyclic hydrocarbon compound category （AB-02）11
Colorless Transparent Liquid</v>
      </c>
      <c r="C21" s="474"/>
      <c r="D21" s="474"/>
      <c r="E21" s="355" t="str">
        <f>'Commercial Invoice3'!E21</f>
        <v>Glass/Plastic bottle</v>
      </c>
      <c r="F21" s="514"/>
      <c r="G21" s="514"/>
      <c r="H21" s="514"/>
      <c r="I21" s="514"/>
    </row>
    <row r="22" spans="1:9" s="44" customFormat="1" ht="30.75" customHeight="1">
      <c r="A22" s="176">
        <f>'Commercial Invoice3'!A22</f>
        <v>26</v>
      </c>
      <c r="B22" s="474" t="str">
        <f>'Commercial Invoice3'!B22</f>
        <v>Acyclic hydrocarbon compound category （AB-02）13
brown liquid</v>
      </c>
      <c r="C22" s="474"/>
      <c r="D22" s="474"/>
      <c r="E22" s="355" t="str">
        <f>'Commercial Invoice3'!E22</f>
        <v>Glass/Plastic bottle</v>
      </c>
      <c r="F22" s="514"/>
      <c r="G22" s="514"/>
      <c r="H22" s="514"/>
      <c r="I22" s="514"/>
    </row>
    <row r="23" spans="1:9" s="44" customFormat="1" ht="30.75" customHeight="1">
      <c r="A23" s="176">
        <f>'Commercial Invoice3'!A23</f>
        <v>25</v>
      </c>
      <c r="B23" s="474" t="str">
        <f>'Commercial Invoice3'!B23</f>
        <v>Heterocyclic with nitrogen compound category (AB-06)46
Yellow powder</v>
      </c>
      <c r="C23" s="474"/>
      <c r="D23" s="474"/>
      <c r="E23" s="355" t="str">
        <f>'Commercial Invoice3'!E23</f>
        <v>Glass/Plastic bottle</v>
      </c>
      <c r="F23" s="514"/>
      <c r="G23" s="514"/>
      <c r="H23" s="514"/>
      <c r="I23" s="514"/>
    </row>
    <row r="24" spans="1:9" s="44" customFormat="1" ht="30.75" customHeight="1">
      <c r="A24" s="176">
        <f>'Commercial Invoice3'!A24</f>
        <v>50</v>
      </c>
      <c r="B24" s="474" t="str">
        <f>'Commercial Invoice3'!B24</f>
        <v>Heterocyclic with nitrogen compound category (AB-06)53
Brown solid</v>
      </c>
      <c r="C24" s="474"/>
      <c r="D24" s="474"/>
      <c r="E24" s="355" t="str">
        <f>'Commercial Invoice3'!E24</f>
        <v>Glass/Plastic bottle</v>
      </c>
      <c r="F24" s="514"/>
      <c r="G24" s="514"/>
      <c r="H24" s="514"/>
      <c r="I24" s="514"/>
    </row>
    <row r="25" spans="1:9" s="44" customFormat="1" ht="30.75" customHeight="1">
      <c r="A25" s="176">
        <f>'Commercial Invoice3'!A25</f>
        <v>700</v>
      </c>
      <c r="B25" s="474" t="str">
        <f>'Commercial Invoice3'!B25</f>
        <v>Aromatic ring products without heteroatoms category （AB-16）33
Light yellow-green granular crystals</v>
      </c>
      <c r="C25" s="474"/>
      <c r="D25" s="474"/>
      <c r="E25" s="355" t="str">
        <f>'Commercial Invoice3'!E25</f>
        <v>Glass/Plastic bottle</v>
      </c>
      <c r="F25" s="514"/>
      <c r="G25" s="514"/>
      <c r="H25" s="514"/>
      <c r="I25" s="514"/>
    </row>
    <row r="26" spans="1:9" s="44" customFormat="1" ht="30.75" customHeight="1">
      <c r="A26" s="176">
        <f>'Commercial Invoice3'!A26</f>
        <v>150</v>
      </c>
      <c r="B26" s="474" t="str">
        <f>'Commercial Invoice3'!B26</f>
        <v>Aromatic ring products without heteroatoms category （AB-16）36
White powder</v>
      </c>
      <c r="C26" s="474"/>
      <c r="D26" s="474"/>
      <c r="E26" s="355" t="str">
        <f>'Commercial Invoice3'!E26</f>
        <v>Glass/Plastic bottle</v>
      </c>
      <c r="F26" s="514"/>
      <c r="G26" s="514"/>
      <c r="H26" s="514"/>
      <c r="I26" s="514"/>
    </row>
    <row r="27" spans="1:9" s="44" customFormat="1" ht="30.75" customHeight="1">
      <c r="A27" s="176">
        <f>'Commercial Invoice3'!A27</f>
        <v>0</v>
      </c>
      <c r="B27" s="474" t="str">
        <f>'Commercial Invoice3'!B27</f>
        <v/>
      </c>
      <c r="C27" s="474"/>
      <c r="D27" s="474"/>
      <c r="E27" s="355" t="str">
        <f>'Commercial Invoice3'!E27</f>
        <v/>
      </c>
      <c r="F27" s="514"/>
      <c r="G27" s="514"/>
      <c r="H27" s="514"/>
      <c r="I27" s="514"/>
    </row>
    <row r="28" spans="1:9" s="44" customFormat="1" ht="30.75" customHeight="1">
      <c r="A28" s="176">
        <f>'Commercial Invoice3'!A28</f>
        <v>0</v>
      </c>
      <c r="B28" s="474" t="str">
        <f>'Commercial Invoice3'!B28</f>
        <v/>
      </c>
      <c r="C28" s="474"/>
      <c r="D28" s="474"/>
      <c r="E28" s="355" t="str">
        <f>'Commercial Invoice3'!E28</f>
        <v/>
      </c>
      <c r="F28" s="514"/>
      <c r="G28" s="514"/>
      <c r="H28" s="514"/>
      <c r="I28" s="514"/>
    </row>
    <row r="29" spans="1:9" s="44" customFormat="1" ht="18.75" customHeight="1">
      <c r="A29" s="178"/>
      <c r="B29" s="515" t="str">
        <f>IF(COUNTIF(辅助!N:N,"&gt;0")&lt;=12,"Total Net Weight（g）:   "&amp;SUM(辅助!N:N)," ")</f>
        <v>Total Net Weight（g）:   3266</v>
      </c>
      <c r="C29" s="515"/>
      <c r="D29" s="515"/>
      <c r="E29" s="179"/>
      <c r="F29" s="516" t="s">
        <v>371</v>
      </c>
      <c r="G29" s="516"/>
      <c r="H29" s="516"/>
      <c r="I29" s="516"/>
    </row>
    <row r="30" spans="1:9" s="44" customFormat="1" ht="7.5" customHeight="1" thickBot="1">
      <c r="A30" s="178"/>
      <c r="B30" s="517" t="str">
        <f>IF(COUNTIF(辅助!N:N,"&gt;0")&lt;=12,"Gross Weight(kg):   "&amp;发货清单!Y2," ")</f>
        <v>Gross Weight(kg):   10</v>
      </c>
      <c r="C30" s="517"/>
      <c r="D30" s="517"/>
      <c r="E30" s="179"/>
      <c r="F30" s="518"/>
      <c r="G30" s="518"/>
      <c r="H30" s="518"/>
      <c r="I30" s="518"/>
    </row>
    <row r="31" spans="1:9" ht="15.75">
      <c r="A31" s="169" t="s">
        <v>31</v>
      </c>
      <c r="B31" s="170"/>
      <c r="C31" s="170"/>
      <c r="D31" s="171"/>
      <c r="E31" s="41"/>
      <c r="F31" s="484"/>
      <c r="G31" s="484"/>
      <c r="H31" s="484"/>
      <c r="I31" s="485"/>
    </row>
    <row r="32" spans="1:9" ht="15" customHeight="1">
      <c r="A32" s="486" t="e">
        <f>#REF!</f>
        <v>#REF!</v>
      </c>
      <c r="B32" s="487"/>
      <c r="C32" s="488"/>
      <c r="D32" s="39"/>
      <c r="E32" s="492" t="s">
        <v>73</v>
      </c>
      <c r="F32" s="493"/>
      <c r="G32" s="493"/>
      <c r="H32" s="493"/>
      <c r="I32" s="494"/>
    </row>
    <row r="33" spans="1:10" ht="15.75" thickBot="1">
      <c r="A33" s="489"/>
      <c r="B33" s="490"/>
      <c r="C33" s="491"/>
      <c r="D33" s="39"/>
      <c r="E33" s="495"/>
      <c r="F33" s="496"/>
      <c r="G33" s="496"/>
      <c r="H33" s="496"/>
      <c r="I33" s="497"/>
    </row>
    <row r="34" spans="1:10" ht="16.5" customHeight="1" thickBot="1">
      <c r="A34" s="498" t="s">
        <v>526</v>
      </c>
      <c r="B34" s="499"/>
      <c r="C34" s="500"/>
      <c r="D34" s="39"/>
      <c r="E34" s="42" t="s">
        <v>71</v>
      </c>
      <c r="F34" s="39"/>
      <c r="G34" s="507" t="str">
        <f>'Commercial Invoice3'!G33</f>
        <v>2786337676</v>
      </c>
      <c r="H34" s="508"/>
      <c r="I34" s="509"/>
    </row>
    <row r="35" spans="1:10" ht="32.25" customHeight="1" thickBot="1">
      <c r="A35" s="501"/>
      <c r="B35" s="502"/>
      <c r="C35" s="503"/>
      <c r="D35" s="39"/>
      <c r="E35" s="42" t="s">
        <v>34</v>
      </c>
      <c r="F35" s="39"/>
      <c r="G35" s="43"/>
      <c r="H35" s="43"/>
      <c r="I35" s="172"/>
    </row>
    <row r="36" spans="1:10" ht="15" thickBot="1">
      <c r="A36" s="504"/>
      <c r="B36" s="505"/>
      <c r="C36" s="506"/>
      <c r="D36" s="43"/>
      <c r="E36" s="43"/>
      <c r="F36" s="43"/>
      <c r="G36" s="43"/>
      <c r="H36" s="43"/>
      <c r="I36" s="172"/>
    </row>
    <row r="37" spans="1:10" ht="18" customHeight="1">
      <c r="A37" s="17"/>
      <c r="B37" s="17"/>
      <c r="C37" s="17"/>
      <c r="D37" s="17"/>
      <c r="E37" s="17" t="str">
        <f>"page 1/"&amp;IF(COUNTIF(辅助!K:K,"&gt;0")&lt;13,1,IF(COUNTIF(辅助!K:K,"&gt;0")&lt;25,2,3))</f>
        <v>page 1/1</v>
      </c>
      <c r="F37" s="17"/>
      <c r="G37" s="17"/>
      <c r="H37" s="17"/>
      <c r="I37" s="17"/>
    </row>
    <row r="38" spans="1:10" ht="22.5">
      <c r="A38" s="470" t="s">
        <v>370</v>
      </c>
      <c r="B38" s="470"/>
      <c r="C38" s="470"/>
      <c r="D38" s="470"/>
      <c r="E38" s="470"/>
      <c r="F38" s="470"/>
      <c r="G38" s="470"/>
      <c r="H38" s="470"/>
      <c r="I38" s="470"/>
    </row>
    <row r="39" spans="1:10" ht="5.25" hidden="1" customHeight="1">
      <c r="A39" s="17"/>
      <c r="B39" s="17"/>
      <c r="C39" s="17"/>
      <c r="D39" s="17"/>
      <c r="E39" s="17"/>
      <c r="F39" s="17"/>
      <c r="G39" s="17"/>
      <c r="H39" s="34"/>
      <c r="I39" s="48"/>
    </row>
    <row r="40" spans="1:10" ht="5.25" hidden="1" customHeight="1">
      <c r="A40" s="17"/>
      <c r="B40" s="17"/>
      <c r="C40" s="17"/>
      <c r="D40" s="17"/>
      <c r="E40" s="17"/>
      <c r="F40" s="17"/>
      <c r="G40" s="17"/>
      <c r="H40" s="17"/>
      <c r="I40" s="17"/>
    </row>
    <row r="41" spans="1:10" ht="15.75">
      <c r="A41" s="35" t="s">
        <v>43</v>
      </c>
      <c r="B41" s="36"/>
      <c r="C41" s="36"/>
      <c r="D41" s="37"/>
      <c r="E41" s="61"/>
      <c r="F41" s="77" t="s">
        <v>42</v>
      </c>
      <c r="G41" s="71"/>
      <c r="H41" s="36"/>
      <c r="I41" s="37"/>
    </row>
    <row r="42" spans="1:10" ht="15.75">
      <c r="A42" s="103" t="s">
        <v>75</v>
      </c>
      <c r="B42" s="58"/>
      <c r="C42" s="58"/>
      <c r="D42" s="59"/>
      <c r="E42" s="58"/>
      <c r="F42" s="57" t="str">
        <f>F6</f>
        <v xml:space="preserve"> Fluorochem Limited</v>
      </c>
      <c r="G42" s="192"/>
      <c r="H42" s="15"/>
      <c r="I42" s="38"/>
    </row>
    <row r="43" spans="1:10" ht="15" customHeight="1">
      <c r="A43" s="104" t="s">
        <v>230</v>
      </c>
      <c r="B43" s="60"/>
      <c r="C43" s="60"/>
      <c r="D43" s="59"/>
      <c r="E43" s="61"/>
      <c r="F43" s="53" t="str">
        <f>F7</f>
        <v>Unit 14 Graphite Way</v>
      </c>
      <c r="G43" s="7"/>
      <c r="H43" s="39"/>
      <c r="I43" s="38"/>
      <c r="J43" s="16"/>
    </row>
    <row r="44" spans="1:10" ht="15" customHeight="1">
      <c r="A44" s="104" t="s">
        <v>231</v>
      </c>
      <c r="B44" s="60"/>
      <c r="C44" s="60"/>
      <c r="D44" s="59"/>
      <c r="E44" s="61"/>
      <c r="F44" s="53" t="str">
        <f t="shared" ref="F44:F46" si="0">F8</f>
        <v>Hadfield  Derbyshire</v>
      </c>
      <c r="G44" s="7"/>
      <c r="H44" s="39"/>
      <c r="I44" s="38"/>
      <c r="J44" s="16"/>
    </row>
    <row r="45" spans="1:10" ht="15" customHeight="1">
      <c r="A45" s="105" t="s">
        <v>232</v>
      </c>
      <c r="B45" s="60"/>
      <c r="C45" s="60"/>
      <c r="D45" s="59"/>
      <c r="E45" s="61"/>
      <c r="F45" s="53" t="str">
        <f t="shared" si="0"/>
        <v>SK13 1QH UK</v>
      </c>
      <c r="G45" s="193"/>
      <c r="H45" s="39"/>
      <c r="I45" s="38"/>
      <c r="J45" s="14"/>
    </row>
    <row r="46" spans="1:10" ht="15">
      <c r="A46" s="106" t="s">
        <v>233</v>
      </c>
      <c r="B46" s="62"/>
      <c r="C46" s="62"/>
      <c r="D46" s="63"/>
      <c r="E46" s="61"/>
      <c r="F46" s="53" t="str">
        <f t="shared" si="0"/>
        <v>TEL:4401457860111</v>
      </c>
      <c r="G46" s="6"/>
      <c r="H46" s="18"/>
      <c r="I46" s="40"/>
      <c r="J46" s="14"/>
    </row>
    <row r="47" spans="1:10" ht="6" customHeight="1">
      <c r="A47" s="17"/>
      <c r="B47" s="17"/>
      <c r="C47" s="17"/>
      <c r="D47" s="17"/>
      <c r="E47" s="17"/>
      <c r="F47" s="17"/>
      <c r="G47" s="17"/>
      <c r="H47" s="17"/>
      <c r="I47" s="17"/>
      <c r="J47" s="14"/>
    </row>
    <row r="48" spans="1:10" s="68" customFormat="1">
      <c r="A48" s="471" t="s">
        <v>17</v>
      </c>
      <c r="B48" s="472"/>
      <c r="C48" s="235" t="str">
        <f>C12</f>
        <v>Order  No.</v>
      </c>
      <c r="D48" s="67" t="s">
        <v>369</v>
      </c>
      <c r="E48" s="67" t="s">
        <v>21</v>
      </c>
      <c r="F48" s="263" t="s">
        <v>19</v>
      </c>
      <c r="G48" s="67" t="s">
        <v>20</v>
      </c>
      <c r="H48" s="471" t="s">
        <v>30</v>
      </c>
      <c r="I48" s="472"/>
    </row>
    <row r="49" spans="1:14" s="68" customFormat="1" ht="12.75">
      <c r="A49" s="471"/>
      <c r="B49" s="472"/>
      <c r="C49" s="67" t="str">
        <f>C13</f>
        <v>P100426</v>
      </c>
      <c r="D49" s="67"/>
      <c r="E49" s="67"/>
      <c r="F49" s="29" t="s">
        <v>38</v>
      </c>
      <c r="G49" s="67"/>
      <c r="H49" s="471" t="s">
        <v>386</v>
      </c>
      <c r="I49" s="472"/>
      <c r="J49" s="30"/>
    </row>
    <row r="50" spans="1:14" s="68" customFormat="1" ht="12.75">
      <c r="A50" s="471" t="s">
        <v>22</v>
      </c>
      <c r="B50" s="473"/>
      <c r="C50" s="472"/>
      <c r="D50" s="67" t="s">
        <v>70</v>
      </c>
      <c r="E50" s="471" t="s">
        <v>23</v>
      </c>
      <c r="F50" s="472"/>
      <c r="G50" s="356" t="s">
        <v>29</v>
      </c>
      <c r="H50" s="471" t="s">
        <v>18</v>
      </c>
      <c r="I50" s="472"/>
      <c r="J50" s="30"/>
    </row>
    <row r="51" spans="1:14" s="28" customFormat="1" ht="15.75">
      <c r="A51" s="476" t="s">
        <v>39</v>
      </c>
      <c r="B51" s="477"/>
      <c r="C51" s="478"/>
      <c r="D51" s="27"/>
      <c r="E51" s="513" t="str">
        <f>E15</f>
        <v>UK</v>
      </c>
      <c r="F51" s="478"/>
      <c r="G51" s="79">
        <f ca="1">G15</f>
        <v>43839</v>
      </c>
      <c r="H51" s="479" t="str">
        <f>H15</f>
        <v>20200109-607</v>
      </c>
      <c r="I51" s="480"/>
      <c r="J51" s="30"/>
    </row>
    <row r="52" spans="1:14" s="26" customFormat="1" ht="23.25" customHeight="1">
      <c r="A52" s="66" t="s">
        <v>24</v>
      </c>
      <c r="B52" s="481" t="s">
        <v>25</v>
      </c>
      <c r="C52" s="482"/>
      <c r="D52" s="483"/>
      <c r="E52" s="55" t="s">
        <v>28</v>
      </c>
      <c r="F52" s="514" t="s">
        <v>109</v>
      </c>
      <c r="G52" s="514"/>
      <c r="H52" s="514"/>
      <c r="I52" s="514"/>
      <c r="N52" s="47"/>
    </row>
    <row r="53" spans="1:14" s="44" customFormat="1" ht="30.75" customHeight="1">
      <c r="A53" s="176">
        <f>'Commercial Invoice3'!A52</f>
        <v>0</v>
      </c>
      <c r="B53" s="474" t="str">
        <f>'Commercial Invoice3'!B52</f>
        <v/>
      </c>
      <c r="C53" s="474"/>
      <c r="D53" s="474"/>
      <c r="E53" s="355" t="str">
        <f>'Commercial Invoice3'!E52</f>
        <v/>
      </c>
      <c r="F53" s="514"/>
      <c r="G53" s="514"/>
      <c r="H53" s="514"/>
      <c r="I53" s="514"/>
    </row>
    <row r="54" spans="1:14" s="44" customFormat="1" ht="30.75" customHeight="1">
      <c r="A54" s="176">
        <f>'Commercial Invoice3'!A53</f>
        <v>0</v>
      </c>
      <c r="B54" s="474" t="str">
        <f>'Commercial Invoice3'!B53</f>
        <v/>
      </c>
      <c r="C54" s="474"/>
      <c r="D54" s="474"/>
      <c r="E54" s="355" t="str">
        <f>'Commercial Invoice3'!E53</f>
        <v/>
      </c>
      <c r="F54" s="514"/>
      <c r="G54" s="514"/>
      <c r="H54" s="514"/>
      <c r="I54" s="514"/>
    </row>
    <row r="55" spans="1:14" s="44" customFormat="1" ht="30.75" customHeight="1">
      <c r="A55" s="176">
        <f>'Commercial Invoice3'!A54</f>
        <v>0</v>
      </c>
      <c r="B55" s="474" t="str">
        <f>'Commercial Invoice3'!B54</f>
        <v/>
      </c>
      <c r="C55" s="474"/>
      <c r="D55" s="474"/>
      <c r="E55" s="355" t="str">
        <f>'Commercial Invoice3'!E54</f>
        <v/>
      </c>
      <c r="F55" s="514"/>
      <c r="G55" s="514"/>
      <c r="H55" s="514"/>
      <c r="I55" s="514"/>
    </row>
    <row r="56" spans="1:14" s="44" customFormat="1" ht="30.75" customHeight="1">
      <c r="A56" s="176">
        <f>'Commercial Invoice3'!A55</f>
        <v>0</v>
      </c>
      <c r="B56" s="474" t="str">
        <f>'Commercial Invoice3'!B55</f>
        <v/>
      </c>
      <c r="C56" s="474"/>
      <c r="D56" s="474"/>
      <c r="E56" s="355" t="str">
        <f>'Commercial Invoice3'!E55</f>
        <v/>
      </c>
      <c r="F56" s="514"/>
      <c r="G56" s="514"/>
      <c r="H56" s="514"/>
      <c r="I56" s="514"/>
    </row>
    <row r="57" spans="1:14" s="44" customFormat="1" ht="30.75" customHeight="1">
      <c r="A57" s="176">
        <f>'Commercial Invoice3'!A56</f>
        <v>0</v>
      </c>
      <c r="B57" s="474" t="str">
        <f>'Commercial Invoice3'!B56</f>
        <v/>
      </c>
      <c r="C57" s="474"/>
      <c r="D57" s="474"/>
      <c r="E57" s="355" t="str">
        <f>'Commercial Invoice3'!E56</f>
        <v/>
      </c>
      <c r="F57" s="514"/>
      <c r="G57" s="514"/>
      <c r="H57" s="514"/>
      <c r="I57" s="514"/>
    </row>
    <row r="58" spans="1:14" s="44" customFormat="1" ht="30.75" customHeight="1">
      <c r="A58" s="176">
        <f>'Commercial Invoice3'!A57</f>
        <v>0</v>
      </c>
      <c r="B58" s="474" t="str">
        <f>'Commercial Invoice3'!B57</f>
        <v/>
      </c>
      <c r="C58" s="474"/>
      <c r="D58" s="474"/>
      <c r="E58" s="355" t="str">
        <f>'Commercial Invoice3'!E57</f>
        <v/>
      </c>
      <c r="F58" s="514"/>
      <c r="G58" s="514"/>
      <c r="H58" s="514"/>
      <c r="I58" s="514"/>
    </row>
    <row r="59" spans="1:14" s="44" customFormat="1" ht="30.75" customHeight="1">
      <c r="A59" s="176">
        <f>'Commercial Invoice3'!A58</f>
        <v>0</v>
      </c>
      <c r="B59" s="474" t="str">
        <f>'Commercial Invoice3'!B58</f>
        <v/>
      </c>
      <c r="C59" s="474"/>
      <c r="D59" s="474"/>
      <c r="E59" s="355" t="str">
        <f>'Commercial Invoice3'!E58</f>
        <v/>
      </c>
      <c r="F59" s="514"/>
      <c r="G59" s="514"/>
      <c r="H59" s="514"/>
      <c r="I59" s="514"/>
    </row>
    <row r="60" spans="1:14" s="44" customFormat="1" ht="30.75" customHeight="1">
      <c r="A60" s="176">
        <f>'Commercial Invoice3'!A59</f>
        <v>0</v>
      </c>
      <c r="B60" s="474" t="str">
        <f>'Commercial Invoice3'!B59</f>
        <v/>
      </c>
      <c r="C60" s="474"/>
      <c r="D60" s="474"/>
      <c r="E60" s="355" t="str">
        <f>'Commercial Invoice3'!E59</f>
        <v/>
      </c>
      <c r="F60" s="514"/>
      <c r="G60" s="514"/>
      <c r="H60" s="514"/>
      <c r="I60" s="514"/>
    </row>
    <row r="61" spans="1:14" s="44" customFormat="1" ht="30.75" customHeight="1">
      <c r="A61" s="176">
        <f>'Commercial Invoice3'!A60</f>
        <v>0</v>
      </c>
      <c r="B61" s="474" t="str">
        <f>'Commercial Invoice3'!B60</f>
        <v/>
      </c>
      <c r="C61" s="474"/>
      <c r="D61" s="474"/>
      <c r="E61" s="355" t="str">
        <f>'Commercial Invoice3'!E60</f>
        <v/>
      </c>
      <c r="F61" s="514"/>
      <c r="G61" s="514"/>
      <c r="H61" s="514"/>
      <c r="I61" s="514"/>
    </row>
    <row r="62" spans="1:14" s="44" customFormat="1" ht="30.75" customHeight="1">
      <c r="A62" s="176">
        <f>'Commercial Invoice3'!A61</f>
        <v>0</v>
      </c>
      <c r="B62" s="474" t="str">
        <f>'Commercial Invoice3'!B61</f>
        <v/>
      </c>
      <c r="C62" s="474"/>
      <c r="D62" s="474"/>
      <c r="E62" s="355" t="str">
        <f>'Commercial Invoice3'!E61</f>
        <v/>
      </c>
      <c r="F62" s="514"/>
      <c r="G62" s="514"/>
      <c r="H62" s="514"/>
      <c r="I62" s="514"/>
    </row>
    <row r="63" spans="1:14" s="44" customFormat="1" ht="30.75" customHeight="1">
      <c r="A63" s="176">
        <f>'Commercial Invoice3'!A62</f>
        <v>0</v>
      </c>
      <c r="B63" s="474" t="str">
        <f>'Commercial Invoice3'!B62</f>
        <v/>
      </c>
      <c r="C63" s="474"/>
      <c r="D63" s="474"/>
      <c r="E63" s="355" t="str">
        <f>'Commercial Invoice3'!E62</f>
        <v/>
      </c>
      <c r="F63" s="514"/>
      <c r="G63" s="514"/>
      <c r="H63" s="514"/>
      <c r="I63" s="514"/>
    </row>
    <row r="64" spans="1:14" s="44" customFormat="1" ht="30.75" customHeight="1">
      <c r="A64" s="176">
        <f>'Commercial Invoice3'!A63</f>
        <v>0</v>
      </c>
      <c r="B64" s="474" t="str">
        <f>'Commercial Invoice3'!B63</f>
        <v/>
      </c>
      <c r="C64" s="474"/>
      <c r="D64" s="474"/>
      <c r="E64" s="355" t="str">
        <f>'Commercial Invoice3'!E63</f>
        <v/>
      </c>
      <c r="F64" s="514"/>
      <c r="G64" s="514"/>
      <c r="H64" s="514"/>
      <c r="I64" s="514"/>
    </row>
    <row r="65" spans="1:10" s="44" customFormat="1" ht="18.75" customHeight="1">
      <c r="A65" s="178"/>
      <c r="B65" s="515" t="str">
        <f>IF(COUNTIF(辅助!N:N,"&gt;0")&lt;=24,"Total Net Weight（g）:   "&amp;SUM(辅助!N:N)," ")</f>
        <v>Total Net Weight（g）:   3266</v>
      </c>
      <c r="C65" s="515"/>
      <c r="D65" s="515"/>
      <c r="E65" s="179"/>
      <c r="F65" s="516" t="s">
        <v>371</v>
      </c>
      <c r="G65" s="516"/>
      <c r="H65" s="516"/>
      <c r="I65" s="516"/>
    </row>
    <row r="66" spans="1:10" s="44" customFormat="1" ht="17.25" customHeight="1" thickBot="1">
      <c r="A66" s="178"/>
      <c r="B66" s="517" t="str">
        <f>IF(COUNTIF(辅助!N:N,"&gt;0")&lt;=24,"Gross Weight(kg):   "&amp;发货清单!Y2," ")</f>
        <v>Gross Weight(kg):   10</v>
      </c>
      <c r="C66" s="517"/>
      <c r="D66" s="517"/>
      <c r="E66" s="179"/>
      <c r="F66" s="518"/>
      <c r="G66" s="518"/>
      <c r="H66" s="518"/>
      <c r="I66" s="518"/>
    </row>
    <row r="67" spans="1:10" ht="15.75">
      <c r="A67" s="169" t="s">
        <v>31</v>
      </c>
      <c r="B67" s="170"/>
      <c r="C67" s="170"/>
      <c r="D67" s="171"/>
      <c r="E67" s="41"/>
      <c r="F67" s="484"/>
      <c r="G67" s="484"/>
      <c r="H67" s="484"/>
      <c r="I67" s="485"/>
    </row>
    <row r="68" spans="1:10" ht="15" customHeight="1">
      <c r="A68" s="486" t="e">
        <f>A32</f>
        <v>#REF!</v>
      </c>
      <c r="B68" s="487"/>
      <c r="C68" s="488"/>
      <c r="D68" s="39"/>
      <c r="E68" s="492" t="s">
        <v>73</v>
      </c>
      <c r="F68" s="493"/>
      <c r="G68" s="493"/>
      <c r="H68" s="493"/>
      <c r="I68" s="494"/>
    </row>
    <row r="69" spans="1:10" ht="15.75" thickBot="1">
      <c r="A69" s="489"/>
      <c r="B69" s="490"/>
      <c r="C69" s="491"/>
      <c r="D69" s="39"/>
      <c r="E69" s="495"/>
      <c r="F69" s="496"/>
      <c r="G69" s="496"/>
      <c r="H69" s="496"/>
      <c r="I69" s="497"/>
    </row>
    <row r="70" spans="1:10" ht="16.5" customHeight="1" thickBot="1">
      <c r="A70" s="498" t="s">
        <v>526</v>
      </c>
      <c r="B70" s="499"/>
      <c r="C70" s="500"/>
      <c r="D70" s="39"/>
      <c r="E70" s="42" t="s">
        <v>71</v>
      </c>
      <c r="F70" s="39"/>
      <c r="G70" s="507" t="str">
        <f>G34</f>
        <v>2786337676</v>
      </c>
      <c r="H70" s="508"/>
      <c r="I70" s="509"/>
    </row>
    <row r="71" spans="1:10" ht="32.25" customHeight="1" thickBot="1">
      <c r="A71" s="501"/>
      <c r="B71" s="502"/>
      <c r="C71" s="503"/>
      <c r="D71" s="39"/>
      <c r="E71" s="42" t="s">
        <v>34</v>
      </c>
      <c r="F71" s="39"/>
      <c r="G71" s="43"/>
      <c r="H71" s="43"/>
      <c r="I71" s="172"/>
    </row>
    <row r="72" spans="1:10" ht="15" thickBot="1">
      <c r="A72" s="504"/>
      <c r="B72" s="505"/>
      <c r="C72" s="506"/>
      <c r="D72" s="43"/>
      <c r="E72" s="43"/>
      <c r="F72" s="43"/>
      <c r="G72" s="43"/>
      <c r="H72" s="43"/>
      <c r="I72" s="172"/>
    </row>
    <row r="73" spans="1:10">
      <c r="A73" s="17"/>
      <c r="B73" s="17"/>
      <c r="C73" s="17"/>
      <c r="D73" s="17"/>
      <c r="E73" s="17" t="str">
        <f>"page 2/"&amp;IF(COUNTIF(辅助!K:K,"&gt;0")&lt;25,2,3)</f>
        <v>page 2/2</v>
      </c>
      <c r="F73" s="17"/>
      <c r="G73" s="17"/>
      <c r="H73" s="17"/>
      <c r="I73" s="17"/>
    </row>
    <row r="74" spans="1:10" ht="22.5">
      <c r="A74" s="470" t="s">
        <v>370</v>
      </c>
      <c r="B74" s="470"/>
      <c r="C74" s="470"/>
      <c r="D74" s="470"/>
      <c r="E74" s="470"/>
      <c r="F74" s="470"/>
      <c r="G74" s="470"/>
      <c r="H74" s="470"/>
      <c r="I74" s="470"/>
    </row>
    <row r="75" spans="1:10" ht="5.25" hidden="1" customHeight="1">
      <c r="A75" s="17"/>
      <c r="B75" s="17"/>
      <c r="C75" s="17"/>
      <c r="D75" s="17"/>
      <c r="E75" s="17"/>
      <c r="F75" s="17"/>
      <c r="G75" s="17"/>
      <c r="H75" s="34"/>
      <c r="I75" s="48"/>
    </row>
    <row r="76" spans="1:10" ht="5.25" hidden="1" customHeight="1">
      <c r="A76" s="17"/>
      <c r="B76" s="17"/>
      <c r="C76" s="17"/>
      <c r="D76" s="17"/>
      <c r="E76" s="17"/>
      <c r="F76" s="17"/>
      <c r="G76" s="17"/>
      <c r="H76" s="17"/>
      <c r="I76" s="17"/>
    </row>
    <row r="77" spans="1:10" ht="15.75">
      <c r="A77" s="35" t="s">
        <v>43</v>
      </c>
      <c r="B77" s="36"/>
      <c r="C77" s="36"/>
      <c r="D77" s="37"/>
      <c r="E77" s="61"/>
      <c r="F77" s="77" t="s">
        <v>42</v>
      </c>
      <c r="G77" s="71"/>
      <c r="H77" s="36"/>
      <c r="I77" s="37"/>
    </row>
    <row r="78" spans="1:10" ht="15.75">
      <c r="A78" s="103" t="s">
        <v>75</v>
      </c>
      <c r="B78" s="58"/>
      <c r="C78" s="58"/>
      <c r="D78" s="59"/>
      <c r="E78" s="58"/>
      <c r="F78" s="57" t="str">
        <f>F42</f>
        <v xml:space="preserve"> Fluorochem Limited</v>
      </c>
      <c r="G78" s="192"/>
      <c r="H78" s="15"/>
      <c r="I78" s="38"/>
    </row>
    <row r="79" spans="1:10" ht="15" customHeight="1">
      <c r="A79" s="104" t="s">
        <v>230</v>
      </c>
      <c r="B79" s="60"/>
      <c r="C79" s="60"/>
      <c r="D79" s="59"/>
      <c r="E79" s="61"/>
      <c r="F79" s="53" t="str">
        <f>F43</f>
        <v>Unit 14 Graphite Way</v>
      </c>
      <c r="G79" s="7"/>
      <c r="H79" s="39"/>
      <c r="I79" s="38"/>
      <c r="J79" s="16"/>
    </row>
    <row r="80" spans="1:10" ht="15" customHeight="1">
      <c r="A80" s="104" t="s">
        <v>231</v>
      </c>
      <c r="B80" s="60"/>
      <c r="C80" s="60"/>
      <c r="D80" s="59"/>
      <c r="E80" s="61"/>
      <c r="F80" s="53" t="str">
        <f t="shared" ref="F80:F82" si="1">F44</f>
        <v>Hadfield  Derbyshire</v>
      </c>
      <c r="G80" s="7"/>
      <c r="H80" s="39"/>
      <c r="I80" s="38"/>
      <c r="J80" s="16"/>
    </row>
    <row r="81" spans="1:14" ht="15" customHeight="1">
      <c r="A81" s="105" t="s">
        <v>232</v>
      </c>
      <c r="B81" s="60"/>
      <c r="C81" s="60"/>
      <c r="D81" s="59"/>
      <c r="E81" s="61"/>
      <c r="F81" s="53" t="str">
        <f t="shared" si="1"/>
        <v>SK13 1QH UK</v>
      </c>
      <c r="G81" s="193"/>
      <c r="H81" s="39"/>
      <c r="I81" s="38"/>
      <c r="J81" s="14"/>
    </row>
    <row r="82" spans="1:14" ht="15">
      <c r="A82" s="106" t="s">
        <v>233</v>
      </c>
      <c r="B82" s="62"/>
      <c r="C82" s="62"/>
      <c r="D82" s="63"/>
      <c r="E82" s="61"/>
      <c r="F82" s="53" t="str">
        <f t="shared" si="1"/>
        <v>TEL:4401457860111</v>
      </c>
      <c r="G82" s="6"/>
      <c r="H82" s="18"/>
      <c r="I82" s="40"/>
      <c r="J82" s="14"/>
    </row>
    <row r="83" spans="1:14" ht="6" customHeight="1">
      <c r="A83" s="17"/>
      <c r="B83" s="17"/>
      <c r="C83" s="17"/>
      <c r="D83" s="17"/>
      <c r="E83" s="17"/>
      <c r="F83" s="17"/>
      <c r="G83" s="17"/>
      <c r="H83" s="17"/>
      <c r="I83" s="17"/>
      <c r="J83" s="14"/>
    </row>
    <row r="84" spans="1:14" s="68" customFormat="1">
      <c r="A84" s="471" t="s">
        <v>17</v>
      </c>
      <c r="B84" s="472"/>
      <c r="C84" s="235" t="str">
        <f>C48</f>
        <v>Order  No.</v>
      </c>
      <c r="D84" s="67" t="s">
        <v>369</v>
      </c>
      <c r="E84" s="67" t="s">
        <v>21</v>
      </c>
      <c r="F84" s="263" t="s">
        <v>19</v>
      </c>
      <c r="G84" s="67" t="s">
        <v>20</v>
      </c>
      <c r="H84" s="471" t="s">
        <v>30</v>
      </c>
      <c r="I84" s="472"/>
    </row>
    <row r="85" spans="1:14" s="68" customFormat="1" ht="12.75">
      <c r="A85" s="471"/>
      <c r="B85" s="472"/>
      <c r="C85" s="67" t="str">
        <f>C49</f>
        <v>P100426</v>
      </c>
      <c r="D85" s="67"/>
      <c r="E85" s="67"/>
      <c r="F85" s="29" t="s">
        <v>38</v>
      </c>
      <c r="G85" s="67"/>
      <c r="H85" s="471" t="s">
        <v>386</v>
      </c>
      <c r="I85" s="472"/>
      <c r="J85" s="30"/>
    </row>
    <row r="86" spans="1:14" s="68" customFormat="1" ht="12.75">
      <c r="A86" s="471" t="s">
        <v>22</v>
      </c>
      <c r="B86" s="473"/>
      <c r="C86" s="472"/>
      <c r="D86" s="67" t="s">
        <v>70</v>
      </c>
      <c r="E86" s="471" t="s">
        <v>23</v>
      </c>
      <c r="F86" s="472"/>
      <c r="G86" s="356" t="s">
        <v>29</v>
      </c>
      <c r="H86" s="471" t="s">
        <v>18</v>
      </c>
      <c r="I86" s="472"/>
      <c r="J86" s="30"/>
    </row>
    <row r="87" spans="1:14" s="28" customFormat="1" ht="15.75">
      <c r="A87" s="476" t="s">
        <v>39</v>
      </c>
      <c r="B87" s="477"/>
      <c r="C87" s="478"/>
      <c r="D87" s="27"/>
      <c r="E87" s="513" t="str">
        <f>E15</f>
        <v>UK</v>
      </c>
      <c r="F87" s="478"/>
      <c r="G87" s="79">
        <f ca="1">G51</f>
        <v>43839</v>
      </c>
      <c r="H87" s="479" t="str">
        <f>H51</f>
        <v>20200109-607</v>
      </c>
      <c r="I87" s="480"/>
      <c r="J87" s="30"/>
    </row>
    <row r="88" spans="1:14" s="26" customFormat="1" ht="23.25" customHeight="1">
      <c r="A88" s="66" t="s">
        <v>24</v>
      </c>
      <c r="B88" s="481" t="s">
        <v>25</v>
      </c>
      <c r="C88" s="482"/>
      <c r="D88" s="483"/>
      <c r="E88" s="55" t="s">
        <v>28</v>
      </c>
      <c r="F88" s="514" t="s">
        <v>109</v>
      </c>
      <c r="G88" s="514"/>
      <c r="H88" s="514"/>
      <c r="I88" s="514"/>
      <c r="N88" s="47"/>
    </row>
    <row r="89" spans="1:14" s="44" customFormat="1" ht="30.75" customHeight="1">
      <c r="A89" s="176">
        <f>'Commercial Invoice3'!A87</f>
        <v>0</v>
      </c>
      <c r="B89" s="474" t="str">
        <f>'Commercial Invoice3'!B87</f>
        <v/>
      </c>
      <c r="C89" s="474"/>
      <c r="D89" s="474"/>
      <c r="E89" s="355" t="str">
        <f>'Commercial Invoice3'!E87</f>
        <v/>
      </c>
      <c r="F89" s="514"/>
      <c r="G89" s="514"/>
      <c r="H89" s="514"/>
      <c r="I89" s="514"/>
    </row>
    <row r="90" spans="1:14" s="44" customFormat="1" ht="30.75" customHeight="1">
      <c r="A90" s="176">
        <f>'Commercial Invoice3'!A88</f>
        <v>0</v>
      </c>
      <c r="B90" s="474" t="str">
        <f>'Commercial Invoice3'!B88</f>
        <v/>
      </c>
      <c r="C90" s="474"/>
      <c r="D90" s="474"/>
      <c r="E90" s="355" t="str">
        <f>'Commercial Invoice3'!E88</f>
        <v/>
      </c>
      <c r="F90" s="514"/>
      <c r="G90" s="514"/>
      <c r="H90" s="514"/>
      <c r="I90" s="514"/>
    </row>
    <row r="91" spans="1:14" s="44" customFormat="1" ht="30.75" customHeight="1">
      <c r="A91" s="176">
        <f>'Commercial Invoice3'!A89</f>
        <v>0</v>
      </c>
      <c r="B91" s="474" t="str">
        <f>'Commercial Invoice3'!B89</f>
        <v/>
      </c>
      <c r="C91" s="474"/>
      <c r="D91" s="474"/>
      <c r="E91" s="355" t="str">
        <f>'Commercial Invoice3'!E89</f>
        <v/>
      </c>
      <c r="F91" s="514"/>
      <c r="G91" s="514"/>
      <c r="H91" s="514"/>
      <c r="I91" s="514"/>
    </row>
    <row r="92" spans="1:14" s="44" customFormat="1" ht="30.75" customHeight="1">
      <c r="A92" s="176">
        <f>'Commercial Invoice3'!A90</f>
        <v>0</v>
      </c>
      <c r="B92" s="474" t="str">
        <f>'Commercial Invoice3'!B90</f>
        <v/>
      </c>
      <c r="C92" s="474"/>
      <c r="D92" s="474"/>
      <c r="E92" s="355" t="str">
        <f>'Commercial Invoice3'!E90</f>
        <v/>
      </c>
      <c r="F92" s="514"/>
      <c r="G92" s="514"/>
      <c r="H92" s="514"/>
      <c r="I92" s="514"/>
    </row>
    <row r="93" spans="1:14" s="44" customFormat="1" ht="30.75" customHeight="1">
      <c r="A93" s="176">
        <f>'Commercial Invoice3'!A91</f>
        <v>0</v>
      </c>
      <c r="B93" s="474" t="str">
        <f>'Commercial Invoice3'!B91</f>
        <v/>
      </c>
      <c r="C93" s="474"/>
      <c r="D93" s="474"/>
      <c r="E93" s="355" t="str">
        <f>'Commercial Invoice3'!E91</f>
        <v/>
      </c>
      <c r="F93" s="514"/>
      <c r="G93" s="514"/>
      <c r="H93" s="514"/>
      <c r="I93" s="514"/>
    </row>
    <row r="94" spans="1:14" s="44" customFormat="1" ht="30.75" customHeight="1">
      <c r="A94" s="176">
        <f>'Commercial Invoice3'!A92</f>
        <v>0</v>
      </c>
      <c r="B94" s="474" t="str">
        <f>'Commercial Invoice3'!B92</f>
        <v/>
      </c>
      <c r="C94" s="474"/>
      <c r="D94" s="474"/>
      <c r="E94" s="355" t="str">
        <f>'Commercial Invoice3'!E92</f>
        <v/>
      </c>
      <c r="F94" s="514"/>
      <c r="G94" s="514"/>
      <c r="H94" s="514"/>
      <c r="I94" s="514"/>
    </row>
    <row r="95" spans="1:14" s="44" customFormat="1" ht="30.75" customHeight="1">
      <c r="A95" s="176">
        <f>'Commercial Invoice3'!A93</f>
        <v>0</v>
      </c>
      <c r="B95" s="474" t="str">
        <f>'Commercial Invoice3'!B93</f>
        <v/>
      </c>
      <c r="C95" s="474"/>
      <c r="D95" s="474"/>
      <c r="E95" s="355" t="str">
        <f>'Commercial Invoice3'!E93</f>
        <v/>
      </c>
      <c r="F95" s="514"/>
      <c r="G95" s="514"/>
      <c r="H95" s="514"/>
      <c r="I95" s="514"/>
    </row>
    <row r="96" spans="1:14" s="44" customFormat="1" ht="30.75" customHeight="1">
      <c r="A96" s="176">
        <f>'Commercial Invoice3'!A94</f>
        <v>0</v>
      </c>
      <c r="B96" s="474" t="str">
        <f>'Commercial Invoice3'!B94</f>
        <v/>
      </c>
      <c r="C96" s="474"/>
      <c r="D96" s="474"/>
      <c r="E96" s="355" t="str">
        <f>'Commercial Invoice3'!E94</f>
        <v/>
      </c>
      <c r="F96" s="514"/>
      <c r="G96" s="514"/>
      <c r="H96" s="514"/>
      <c r="I96" s="514"/>
    </row>
    <row r="97" spans="1:9" s="44" customFormat="1" ht="30.75" customHeight="1">
      <c r="A97" s="176">
        <f>'Commercial Invoice3'!A95</f>
        <v>0</v>
      </c>
      <c r="B97" s="474" t="str">
        <f>'Commercial Invoice3'!B95</f>
        <v/>
      </c>
      <c r="C97" s="474"/>
      <c r="D97" s="474"/>
      <c r="E97" s="355" t="str">
        <f>'Commercial Invoice3'!E95</f>
        <v/>
      </c>
      <c r="F97" s="514"/>
      <c r="G97" s="514"/>
      <c r="H97" s="514"/>
      <c r="I97" s="514"/>
    </row>
    <row r="98" spans="1:9" s="44" customFormat="1" ht="30.75" customHeight="1">
      <c r="A98" s="176">
        <f>'Commercial Invoice3'!A96</f>
        <v>0</v>
      </c>
      <c r="B98" s="474" t="str">
        <f>'Commercial Invoice3'!B96</f>
        <v/>
      </c>
      <c r="C98" s="474"/>
      <c r="D98" s="474"/>
      <c r="E98" s="355" t="str">
        <f>'Commercial Invoice3'!E96</f>
        <v/>
      </c>
      <c r="F98" s="514"/>
      <c r="G98" s="514"/>
      <c r="H98" s="514"/>
      <c r="I98" s="514"/>
    </row>
    <row r="99" spans="1:9" s="44" customFormat="1" ht="30.75" customHeight="1">
      <c r="A99" s="176">
        <f>'Commercial Invoice3'!A97</f>
        <v>0</v>
      </c>
      <c r="B99" s="474" t="str">
        <f>'Commercial Invoice3'!B97</f>
        <v/>
      </c>
      <c r="C99" s="474"/>
      <c r="D99" s="474"/>
      <c r="E99" s="355" t="str">
        <f>'Commercial Invoice3'!E97</f>
        <v/>
      </c>
      <c r="F99" s="514"/>
      <c r="G99" s="514"/>
      <c r="H99" s="514"/>
      <c r="I99" s="514"/>
    </row>
    <row r="100" spans="1:9" s="44" customFormat="1" ht="30.75" customHeight="1">
      <c r="A100" s="176">
        <f>'Commercial Invoice3'!A98</f>
        <v>0</v>
      </c>
      <c r="B100" s="474" t="str">
        <f>'Commercial Invoice3'!B98</f>
        <v/>
      </c>
      <c r="C100" s="474"/>
      <c r="D100" s="474"/>
      <c r="E100" s="355" t="str">
        <f>'Commercial Invoice3'!E98</f>
        <v/>
      </c>
      <c r="F100" s="514"/>
      <c r="G100" s="514"/>
      <c r="H100" s="514"/>
      <c r="I100" s="514"/>
    </row>
    <row r="101" spans="1:9" s="44" customFormat="1" ht="18.75" customHeight="1">
      <c r="A101" s="178"/>
      <c r="B101" s="515" t="str">
        <f>IF(COUNTIF(辅助!N:N,"&gt;0")&lt;=36,"Total Net Weight（g）:   "&amp;SUM(辅助!N:N)," ")</f>
        <v>Total Net Weight（g）:   3266</v>
      </c>
      <c r="C101" s="515"/>
      <c r="D101" s="515"/>
      <c r="E101" s="179"/>
      <c r="F101" s="516" t="s">
        <v>371</v>
      </c>
      <c r="G101" s="516"/>
      <c r="H101" s="516"/>
      <c r="I101" s="516"/>
    </row>
    <row r="102" spans="1:9" s="44" customFormat="1" ht="17.25" customHeight="1" thickBot="1">
      <c r="A102" s="178"/>
      <c r="B102" s="517" t="str">
        <f>IF(COUNTIF(辅助!N:N,"&gt;0")&lt;=36,"Gross Weight(kg):   "&amp;发货清单!Y2," ")</f>
        <v>Gross Weight(kg):   10</v>
      </c>
      <c r="C102" s="517"/>
      <c r="D102" s="517"/>
      <c r="E102" s="179"/>
      <c r="F102" s="518"/>
      <c r="G102" s="518"/>
      <c r="H102" s="518"/>
      <c r="I102" s="518"/>
    </row>
    <row r="103" spans="1:9" ht="15.75">
      <c r="A103" s="169" t="s">
        <v>31</v>
      </c>
      <c r="B103" s="170"/>
      <c r="C103" s="170"/>
      <c r="D103" s="171"/>
      <c r="E103" s="41"/>
      <c r="F103" s="484"/>
      <c r="G103" s="484"/>
      <c r="H103" s="484"/>
      <c r="I103" s="485"/>
    </row>
    <row r="104" spans="1:9" ht="15" customHeight="1">
      <c r="A104" s="486" t="s">
        <v>72</v>
      </c>
      <c r="B104" s="487"/>
      <c r="C104" s="488"/>
      <c r="D104" s="39"/>
      <c r="E104" s="492" t="s">
        <v>73</v>
      </c>
      <c r="F104" s="493"/>
      <c r="G104" s="493"/>
      <c r="H104" s="493"/>
      <c r="I104" s="494"/>
    </row>
    <row r="105" spans="1:9" ht="12" customHeight="1" thickBot="1">
      <c r="A105" s="489"/>
      <c r="B105" s="490"/>
      <c r="C105" s="491"/>
      <c r="D105" s="39"/>
      <c r="E105" s="495"/>
      <c r="F105" s="496"/>
      <c r="G105" s="496"/>
      <c r="H105" s="496"/>
      <c r="I105" s="497"/>
    </row>
    <row r="106" spans="1:9" ht="16.5" customHeight="1" thickBot="1">
      <c r="A106" s="498" t="s">
        <v>526</v>
      </c>
      <c r="B106" s="499"/>
      <c r="C106" s="500"/>
      <c r="D106" s="39"/>
      <c r="E106" s="42" t="s">
        <v>71</v>
      </c>
      <c r="F106" s="39"/>
      <c r="G106" s="507" t="str">
        <f>G70</f>
        <v>2786337676</v>
      </c>
      <c r="H106" s="508"/>
      <c r="I106" s="509"/>
    </row>
    <row r="107" spans="1:9" ht="32.25" customHeight="1" thickBot="1">
      <c r="A107" s="501"/>
      <c r="B107" s="502"/>
      <c r="C107" s="503"/>
      <c r="D107" s="39"/>
      <c r="E107" s="42" t="s">
        <v>34</v>
      </c>
      <c r="F107" s="39"/>
      <c r="G107" s="43"/>
      <c r="H107" s="43"/>
      <c r="I107" s="172"/>
    </row>
    <row r="108" spans="1:9" ht="15" thickBot="1">
      <c r="A108" s="504"/>
      <c r="B108" s="505"/>
      <c r="C108" s="506"/>
      <c r="D108" s="43"/>
      <c r="E108" s="43"/>
      <c r="F108" s="43"/>
      <c r="G108" s="43"/>
      <c r="H108" s="43"/>
      <c r="I108" s="172"/>
    </row>
    <row r="109" spans="1:9">
      <c r="E109" t="s">
        <v>569</v>
      </c>
    </row>
  </sheetData>
  <mergeCells count="141">
    <mergeCell ref="A106:C108"/>
    <mergeCell ref="G106:I106"/>
    <mergeCell ref="B102:D102"/>
    <mergeCell ref="F102:I102"/>
    <mergeCell ref="F103:I103"/>
    <mergeCell ref="A104:C105"/>
    <mergeCell ref="E104:I104"/>
    <mergeCell ref="E105:I105"/>
    <mergeCell ref="B99:D99"/>
    <mergeCell ref="F99:I99"/>
    <mergeCell ref="B100:D100"/>
    <mergeCell ref="F100:I100"/>
    <mergeCell ref="B101:D101"/>
    <mergeCell ref="F101:I101"/>
    <mergeCell ref="B96:D96"/>
    <mergeCell ref="F96:I96"/>
    <mergeCell ref="B97:D97"/>
    <mergeCell ref="F97:I97"/>
    <mergeCell ref="B98:D98"/>
    <mergeCell ref="F98:I98"/>
    <mergeCell ref="B93:D93"/>
    <mergeCell ref="F93:I93"/>
    <mergeCell ref="B94:D94"/>
    <mergeCell ref="F94:I94"/>
    <mergeCell ref="B95:D95"/>
    <mergeCell ref="F95:I95"/>
    <mergeCell ref="B90:D90"/>
    <mergeCell ref="F90:I90"/>
    <mergeCell ref="B91:D91"/>
    <mergeCell ref="F91:I91"/>
    <mergeCell ref="B92:D92"/>
    <mergeCell ref="F92:I92"/>
    <mergeCell ref="A87:C87"/>
    <mergeCell ref="E87:F87"/>
    <mergeCell ref="H87:I87"/>
    <mergeCell ref="B88:D88"/>
    <mergeCell ref="F88:I88"/>
    <mergeCell ref="B89:D89"/>
    <mergeCell ref="F89:I89"/>
    <mergeCell ref="A74:I74"/>
    <mergeCell ref="A84:B84"/>
    <mergeCell ref="H84:I84"/>
    <mergeCell ref="A85:B85"/>
    <mergeCell ref="H85:I85"/>
    <mergeCell ref="A86:C86"/>
    <mergeCell ref="E86:F86"/>
    <mergeCell ref="H86:I86"/>
    <mergeCell ref="F67:I67"/>
    <mergeCell ref="A68:C69"/>
    <mergeCell ref="E68:I68"/>
    <mergeCell ref="E69:I69"/>
    <mergeCell ref="A70:C72"/>
    <mergeCell ref="G70:I70"/>
    <mergeCell ref="B64:D64"/>
    <mergeCell ref="F64:I64"/>
    <mergeCell ref="B65:D65"/>
    <mergeCell ref="F65:I65"/>
    <mergeCell ref="B66:D66"/>
    <mergeCell ref="F66:I66"/>
    <mergeCell ref="B61:D61"/>
    <mergeCell ref="F61:I61"/>
    <mergeCell ref="B62:D62"/>
    <mergeCell ref="F62:I62"/>
    <mergeCell ref="B63:D63"/>
    <mergeCell ref="F63:I63"/>
    <mergeCell ref="B58:D58"/>
    <mergeCell ref="F58:I58"/>
    <mergeCell ref="B59:D59"/>
    <mergeCell ref="F59:I59"/>
    <mergeCell ref="B60:D60"/>
    <mergeCell ref="F60:I60"/>
    <mergeCell ref="B55:D55"/>
    <mergeCell ref="F55:I55"/>
    <mergeCell ref="B56:D56"/>
    <mergeCell ref="F56:I56"/>
    <mergeCell ref="B57:D57"/>
    <mergeCell ref="F57:I57"/>
    <mergeCell ref="B52:D52"/>
    <mergeCell ref="F52:I52"/>
    <mergeCell ref="B53:D53"/>
    <mergeCell ref="F53:I53"/>
    <mergeCell ref="B54:D54"/>
    <mergeCell ref="F54:I54"/>
    <mergeCell ref="A50:C50"/>
    <mergeCell ref="E50:F50"/>
    <mergeCell ref="H50:I50"/>
    <mergeCell ref="A51:C51"/>
    <mergeCell ref="E51:F51"/>
    <mergeCell ref="H51:I51"/>
    <mergeCell ref="A34:C36"/>
    <mergeCell ref="G34:I34"/>
    <mergeCell ref="A38:I38"/>
    <mergeCell ref="A48:B48"/>
    <mergeCell ref="H48:I48"/>
    <mergeCell ref="A49:B49"/>
    <mergeCell ref="H49:I49"/>
    <mergeCell ref="B30:D30"/>
    <mergeCell ref="F30:I30"/>
    <mergeCell ref="F31:I31"/>
    <mergeCell ref="A32:C33"/>
    <mergeCell ref="E32:I32"/>
    <mergeCell ref="E33:I33"/>
    <mergeCell ref="B27:D27"/>
    <mergeCell ref="F27:I27"/>
    <mergeCell ref="B28:D28"/>
    <mergeCell ref="F28:I28"/>
    <mergeCell ref="B29:D29"/>
    <mergeCell ref="F29:I29"/>
    <mergeCell ref="B24:D24"/>
    <mergeCell ref="F24:I24"/>
    <mergeCell ref="B25:D25"/>
    <mergeCell ref="F25:I25"/>
    <mergeCell ref="B26:D26"/>
    <mergeCell ref="F26:I26"/>
    <mergeCell ref="B21:D21"/>
    <mergeCell ref="F21:I21"/>
    <mergeCell ref="B22:D22"/>
    <mergeCell ref="F22:I22"/>
    <mergeCell ref="B23:D23"/>
    <mergeCell ref="F23:I23"/>
    <mergeCell ref="B18:D18"/>
    <mergeCell ref="F18:I18"/>
    <mergeCell ref="B19:D19"/>
    <mergeCell ref="F19:I19"/>
    <mergeCell ref="B20:D20"/>
    <mergeCell ref="F20:I20"/>
    <mergeCell ref="A15:C15"/>
    <mergeCell ref="E15:F15"/>
    <mergeCell ref="H15:I15"/>
    <mergeCell ref="B16:D16"/>
    <mergeCell ref="F16:I16"/>
    <mergeCell ref="B17:D17"/>
    <mergeCell ref="F17:I17"/>
    <mergeCell ref="A2:I2"/>
    <mergeCell ref="A12:B12"/>
    <mergeCell ref="H12:I12"/>
    <mergeCell ref="A13:B13"/>
    <mergeCell ref="H13:I13"/>
    <mergeCell ref="A14:C14"/>
    <mergeCell ref="E14:F14"/>
    <mergeCell ref="H14:I14"/>
  </mergeCells>
  <phoneticPr fontId="1" type="noConversion"/>
  <conditionalFormatting sqref="A17:B28 E17:E28">
    <cfRule type="cellIs" dxfId="85" priority="5" operator="equal">
      <formula>0</formula>
    </cfRule>
  </conditionalFormatting>
  <conditionalFormatting sqref="A53:B64 E53:E64">
    <cfRule type="cellIs" dxfId="84" priority="4" operator="equal">
      <formula>0</formula>
    </cfRule>
  </conditionalFormatting>
  <conditionalFormatting sqref="A89:B100 E89:E100">
    <cfRule type="cellIs" dxfId="83" priority="3" operator="equal">
      <formula>0</formula>
    </cfRule>
  </conditionalFormatting>
  <conditionalFormatting sqref="A38:XFD73">
    <cfRule type="expression" dxfId="82" priority="2">
      <formula>$A$53=0</formula>
    </cfRule>
  </conditionalFormatting>
  <conditionalFormatting sqref="A74:XFD109">
    <cfRule type="expression" dxfId="81" priority="1">
      <formula>$A$89=0</formula>
    </cfRule>
  </conditionalFormatting>
  <dataValidations count="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2 A68 A104"/>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3 E69 E105"/>
  </dataValidations>
  <hyperlinks>
    <hyperlink ref="A10" r:id="rId1"/>
    <hyperlink ref="A46" r:id="rId2"/>
    <hyperlink ref="A82" r:id="rId3"/>
  </hyperlinks>
  <pageMargins left="0.19685039370078741" right="0" top="0.51181102362204722" bottom="0.74803149606299213" header="0.31496062992125984" footer="0.31496062992125984"/>
  <pageSetup paperSize="9" orientation="portrait" horizontalDpi="4294967295" verticalDpi="4294967295"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09"/>
  <sheetViews>
    <sheetView topLeftCell="A89" workbookViewId="0">
      <selection activeCell="J88" sqref="J88:K88"/>
    </sheetView>
  </sheetViews>
  <sheetFormatPr defaultRowHeight="14.25"/>
  <cols>
    <col min="1" max="1" width="5.25" customWidth="1"/>
    <col min="2" max="2" width="6.5" customWidth="1"/>
    <col min="3" max="3" width="26.125" customWidth="1"/>
    <col min="4" max="4" width="9.75" customWidth="1"/>
    <col min="5" max="5" width="9.375" customWidth="1"/>
    <col min="6" max="6" width="5.625" customWidth="1"/>
    <col min="7" max="7" width="8" customWidth="1"/>
    <col min="8" max="8" width="10.875" customWidth="1"/>
    <col min="9" max="9" width="13" customWidth="1"/>
  </cols>
  <sheetData>
    <row r="1" spans="1:14" ht="8.25" customHeight="1">
      <c r="A1" s="17"/>
      <c r="B1" s="17"/>
      <c r="C1" s="17"/>
      <c r="D1" s="17"/>
      <c r="E1" s="17"/>
      <c r="F1" s="17"/>
      <c r="G1" s="17"/>
      <c r="H1" s="17"/>
      <c r="I1" s="17"/>
    </row>
    <row r="2" spans="1:14" ht="22.5">
      <c r="A2" s="470" t="s">
        <v>370</v>
      </c>
      <c r="B2" s="470"/>
      <c r="C2" s="470"/>
      <c r="D2" s="470"/>
      <c r="E2" s="470"/>
      <c r="F2" s="470"/>
      <c r="G2" s="470"/>
      <c r="H2" s="470"/>
      <c r="I2" s="470"/>
    </row>
    <row r="3" spans="1:14" ht="5.25" hidden="1" customHeight="1">
      <c r="A3" s="17"/>
      <c r="B3" s="17"/>
      <c r="C3" s="17"/>
      <c r="D3" s="17"/>
      <c r="E3" s="17"/>
      <c r="F3" s="17"/>
      <c r="G3" s="17"/>
      <c r="H3" s="34"/>
      <c r="I3" s="48"/>
    </row>
    <row r="4" spans="1:14" ht="5.25" hidden="1" customHeight="1">
      <c r="A4" s="17"/>
      <c r="B4" s="17"/>
      <c r="C4" s="17"/>
      <c r="D4" s="17"/>
      <c r="E4" s="17"/>
      <c r="F4" s="17"/>
      <c r="G4" s="17"/>
      <c r="H4" s="17"/>
      <c r="I4" s="17"/>
    </row>
    <row r="5" spans="1:14" ht="15.75">
      <c r="A5" s="35" t="s">
        <v>43</v>
      </c>
      <c r="B5" s="36"/>
      <c r="C5" s="36"/>
      <c r="D5" s="37"/>
      <c r="E5" s="61"/>
      <c r="F5" s="77" t="s">
        <v>42</v>
      </c>
      <c r="G5" s="71"/>
      <c r="H5" s="36"/>
      <c r="I5" s="37"/>
    </row>
    <row r="6" spans="1:14" ht="15.75">
      <c r="A6" s="103" t="s">
        <v>75</v>
      </c>
      <c r="B6" s="58"/>
      <c r="C6" s="58"/>
      <c r="D6" s="59"/>
      <c r="E6" s="58"/>
      <c r="F6" s="57" t="str">
        <f>'Commercial Invoice3'!F6</f>
        <v xml:space="preserve"> Fluorochem Limited</v>
      </c>
      <c r="G6" s="192"/>
      <c r="H6" s="15"/>
      <c r="I6" s="38"/>
    </row>
    <row r="7" spans="1:14" ht="15" customHeight="1">
      <c r="A7" s="104" t="s">
        <v>230</v>
      </c>
      <c r="B7" s="60"/>
      <c r="C7" s="60"/>
      <c r="D7" s="59"/>
      <c r="E7" s="61"/>
      <c r="F7" s="53" t="str">
        <f>'Commercial Invoice3'!F7</f>
        <v>Unit 14 Graphite Way</v>
      </c>
      <c r="G7" s="7"/>
      <c r="H7" s="39"/>
      <c r="I7" s="38"/>
      <c r="J7" s="16"/>
    </row>
    <row r="8" spans="1:14" ht="15" customHeight="1">
      <c r="A8" s="104" t="s">
        <v>231</v>
      </c>
      <c r="B8" s="60"/>
      <c r="C8" s="60"/>
      <c r="D8" s="59"/>
      <c r="E8" s="61"/>
      <c r="F8" s="53" t="str">
        <f>'Commercial Invoice3'!F8</f>
        <v>Hadfield  Derbyshire</v>
      </c>
      <c r="G8" s="7"/>
      <c r="H8" s="39"/>
      <c r="I8" s="38"/>
      <c r="J8" s="16"/>
    </row>
    <row r="9" spans="1:14" ht="15" customHeight="1">
      <c r="A9" s="105" t="s">
        <v>232</v>
      </c>
      <c r="B9" s="60"/>
      <c r="C9" s="60"/>
      <c r="D9" s="59"/>
      <c r="E9" s="61"/>
      <c r="F9" s="53" t="str">
        <f>'Commercial Invoice3'!F9</f>
        <v>SK13 1QH UK</v>
      </c>
      <c r="G9" s="193"/>
      <c r="H9" s="39"/>
      <c r="I9" s="38"/>
      <c r="J9" s="14"/>
    </row>
    <row r="10" spans="1:14" ht="15">
      <c r="A10" s="106" t="s">
        <v>233</v>
      </c>
      <c r="B10" s="62"/>
      <c r="C10" s="62"/>
      <c r="D10" s="63"/>
      <c r="E10" s="61"/>
      <c r="F10" s="53" t="str">
        <f>'Commercial Invoice3'!F10</f>
        <v>TEL:4401457860111</v>
      </c>
      <c r="G10" s="6"/>
      <c r="H10" s="18"/>
      <c r="I10" s="40"/>
      <c r="J10" s="14"/>
    </row>
    <row r="11" spans="1:14" ht="6" customHeight="1">
      <c r="A11" s="17"/>
      <c r="B11" s="17"/>
      <c r="C11" s="17"/>
      <c r="D11" s="17"/>
      <c r="E11" s="17"/>
      <c r="F11" s="17"/>
      <c r="G11" s="17"/>
      <c r="H11" s="17"/>
      <c r="I11" s="17"/>
      <c r="J11" s="14"/>
    </row>
    <row r="12" spans="1:14" s="68" customFormat="1">
      <c r="A12" s="471" t="s">
        <v>17</v>
      </c>
      <c r="B12" s="472"/>
      <c r="C12" s="235" t="str">
        <f>'Commercial Invoice3'!C12</f>
        <v>Order  No.</v>
      </c>
      <c r="D12" s="67" t="s">
        <v>369</v>
      </c>
      <c r="E12" s="67" t="s">
        <v>21</v>
      </c>
      <c r="F12" s="263" t="s">
        <v>19</v>
      </c>
      <c r="G12" s="67" t="s">
        <v>20</v>
      </c>
      <c r="H12" s="471" t="s">
        <v>30</v>
      </c>
      <c r="I12" s="472"/>
    </row>
    <row r="13" spans="1:14" s="68" customFormat="1" ht="12.75">
      <c r="A13" s="471"/>
      <c r="B13" s="472"/>
      <c r="C13" s="67" t="str">
        <f>'Commercial Invoice3'!C13</f>
        <v>P100426</v>
      </c>
      <c r="D13" s="67"/>
      <c r="E13" s="67"/>
      <c r="F13" s="29" t="s">
        <v>38</v>
      </c>
      <c r="G13" s="67"/>
      <c r="H13" s="471" t="s">
        <v>386</v>
      </c>
      <c r="I13" s="472"/>
      <c r="J13" s="30"/>
    </row>
    <row r="14" spans="1:14" s="68" customFormat="1" ht="12.75">
      <c r="A14" s="471" t="s">
        <v>22</v>
      </c>
      <c r="B14" s="473"/>
      <c r="C14" s="472"/>
      <c r="D14" s="67" t="s">
        <v>70</v>
      </c>
      <c r="E14" s="471" t="s">
        <v>23</v>
      </c>
      <c r="F14" s="472"/>
      <c r="G14" s="356" t="s">
        <v>29</v>
      </c>
      <c r="H14" s="471" t="s">
        <v>18</v>
      </c>
      <c r="I14" s="472"/>
      <c r="J14" s="30"/>
    </row>
    <row r="15" spans="1:14" s="28" customFormat="1" ht="15.75">
      <c r="A15" s="476" t="s">
        <v>39</v>
      </c>
      <c r="B15" s="477"/>
      <c r="C15" s="478"/>
      <c r="D15" s="27"/>
      <c r="E15" s="513" t="str">
        <f>'Commercial Invoice3'!E15</f>
        <v>UK</v>
      </c>
      <c r="F15" s="478"/>
      <c r="G15" s="79">
        <f ca="1">'Commercial Invoice3'!G15</f>
        <v>43839</v>
      </c>
      <c r="H15" s="479" t="str">
        <f>'Commercial Invoice3'!H15</f>
        <v>20200109-607</v>
      </c>
      <c r="I15" s="480"/>
      <c r="J15" s="30"/>
    </row>
    <row r="16" spans="1:14" s="26" customFormat="1" ht="23.25" customHeight="1">
      <c r="A16" s="66" t="s">
        <v>24</v>
      </c>
      <c r="B16" s="481" t="s">
        <v>25</v>
      </c>
      <c r="C16" s="482"/>
      <c r="D16" s="483"/>
      <c r="E16" s="55" t="s">
        <v>28</v>
      </c>
      <c r="F16" s="514" t="s">
        <v>109</v>
      </c>
      <c r="G16" s="514"/>
      <c r="H16" s="514"/>
      <c r="I16" s="514"/>
      <c r="N16" s="47"/>
    </row>
    <row r="17" spans="1:9" s="44" customFormat="1" ht="30.75" customHeight="1">
      <c r="A17" s="176">
        <f>'Commercial Invoice3'!A17</f>
        <v>600</v>
      </c>
      <c r="B17" s="474" t="str">
        <f>'Commercial Invoice3'!B17</f>
        <v>Carboxylic acid compound category (AB-04)1
White powder</v>
      </c>
      <c r="C17" s="474"/>
      <c r="D17" s="474"/>
      <c r="E17" s="355" t="str">
        <f>'Commercial Invoice3'!E17</f>
        <v>Glass/Plastic bottle</v>
      </c>
      <c r="F17" s="514"/>
      <c r="G17" s="514"/>
      <c r="H17" s="514"/>
      <c r="I17" s="514"/>
    </row>
    <row r="18" spans="1:9" s="44" customFormat="1" ht="30.75" customHeight="1">
      <c r="A18" s="176">
        <f>'Commercial Invoice3'!A18</f>
        <v>10</v>
      </c>
      <c r="B18" s="474" t="str">
        <f>'Commercial Invoice3'!B18</f>
        <v>Carboxylic acid compound category (AB-04)6
White Solid</v>
      </c>
      <c r="C18" s="474"/>
      <c r="D18" s="474"/>
      <c r="E18" s="355" t="str">
        <f>'Commercial Invoice3'!E18</f>
        <v>Glass/Plastic bottle</v>
      </c>
      <c r="F18" s="514"/>
      <c r="G18" s="514"/>
      <c r="H18" s="514"/>
      <c r="I18" s="514"/>
    </row>
    <row r="19" spans="1:9" s="44" customFormat="1" ht="30.75" customHeight="1">
      <c r="A19" s="176">
        <f>'Commercial Invoice3'!A19</f>
        <v>1000</v>
      </c>
      <c r="B19" s="474" t="str">
        <f>'Commercial Invoice3'!B19</f>
        <v>Sulfonamide compound category(AB-08)1
White Solid</v>
      </c>
      <c r="C19" s="474"/>
      <c r="D19" s="474"/>
      <c r="E19" s="355" t="str">
        <f>'Commercial Invoice3'!E19</f>
        <v>Glass/Plastic bottle</v>
      </c>
      <c r="F19" s="514"/>
      <c r="G19" s="514"/>
      <c r="H19" s="514"/>
      <c r="I19" s="514"/>
    </row>
    <row r="20" spans="1:9" s="44" customFormat="1" ht="30.75" customHeight="1">
      <c r="A20" s="176">
        <f>'Commercial Invoice3'!A20</f>
        <v>205</v>
      </c>
      <c r="B20" s="474" t="str">
        <f>'Commercial Invoice3'!B20</f>
        <v>Heterocyclic with single or more oxygen atoms compound category （AB-15）4
White crystal</v>
      </c>
      <c r="C20" s="474"/>
      <c r="D20" s="474"/>
      <c r="E20" s="355" t="str">
        <f>'Commercial Invoice3'!E20</f>
        <v>Glass/Plastic bottle</v>
      </c>
      <c r="F20" s="514"/>
      <c r="G20" s="514"/>
      <c r="H20" s="514"/>
      <c r="I20" s="514"/>
    </row>
    <row r="21" spans="1:9" s="44" customFormat="1" ht="30.75" customHeight="1">
      <c r="A21" s="176">
        <f>'Commercial Invoice3'!A21</f>
        <v>500</v>
      </c>
      <c r="B21" s="474" t="str">
        <f>'Commercial Invoice3'!B21</f>
        <v>Acyclic hydrocarbon compound category （AB-02）11
Colorless Transparent Liquid</v>
      </c>
      <c r="C21" s="474"/>
      <c r="D21" s="474"/>
      <c r="E21" s="355" t="str">
        <f>'Commercial Invoice3'!E21</f>
        <v>Glass/Plastic bottle</v>
      </c>
      <c r="F21" s="514"/>
      <c r="G21" s="514"/>
      <c r="H21" s="514"/>
      <c r="I21" s="514"/>
    </row>
    <row r="22" spans="1:9" s="44" customFormat="1" ht="30.75" customHeight="1">
      <c r="A22" s="176">
        <f>'Commercial Invoice3'!A22</f>
        <v>26</v>
      </c>
      <c r="B22" s="474" t="str">
        <f>'Commercial Invoice3'!B22</f>
        <v>Acyclic hydrocarbon compound category （AB-02）13
brown liquid</v>
      </c>
      <c r="C22" s="474"/>
      <c r="D22" s="474"/>
      <c r="E22" s="355" t="str">
        <f>'Commercial Invoice3'!E22</f>
        <v>Glass/Plastic bottle</v>
      </c>
      <c r="F22" s="514"/>
      <c r="G22" s="514"/>
      <c r="H22" s="514"/>
      <c r="I22" s="514"/>
    </row>
    <row r="23" spans="1:9" s="44" customFormat="1" ht="30.75" customHeight="1">
      <c r="A23" s="176">
        <f>'Commercial Invoice3'!A23</f>
        <v>25</v>
      </c>
      <c r="B23" s="474" t="str">
        <f>'Commercial Invoice3'!B23</f>
        <v>Heterocyclic with nitrogen compound category (AB-06)46
Yellow powder</v>
      </c>
      <c r="C23" s="474"/>
      <c r="D23" s="474"/>
      <c r="E23" s="355" t="str">
        <f>'Commercial Invoice3'!E23</f>
        <v>Glass/Plastic bottle</v>
      </c>
      <c r="F23" s="514"/>
      <c r="G23" s="514"/>
      <c r="H23" s="514"/>
      <c r="I23" s="514"/>
    </row>
    <row r="24" spans="1:9" s="44" customFormat="1" ht="30.75" customHeight="1">
      <c r="A24" s="176">
        <f>'Commercial Invoice3'!A24</f>
        <v>50</v>
      </c>
      <c r="B24" s="474" t="str">
        <f>'Commercial Invoice3'!B24</f>
        <v>Heterocyclic with nitrogen compound category (AB-06)53
Brown solid</v>
      </c>
      <c r="C24" s="474"/>
      <c r="D24" s="474"/>
      <c r="E24" s="355" t="str">
        <f>'Commercial Invoice3'!E24</f>
        <v>Glass/Plastic bottle</v>
      </c>
      <c r="F24" s="514"/>
      <c r="G24" s="514"/>
      <c r="H24" s="514"/>
      <c r="I24" s="514"/>
    </row>
    <row r="25" spans="1:9" s="44" customFormat="1" ht="30.75" customHeight="1">
      <c r="A25" s="176">
        <f>'Commercial Invoice3'!A25</f>
        <v>700</v>
      </c>
      <c r="B25" s="474" t="str">
        <f>'Commercial Invoice3'!B25</f>
        <v>Aromatic ring products without heteroatoms category （AB-16）33
Light yellow-green granular crystals</v>
      </c>
      <c r="C25" s="474"/>
      <c r="D25" s="474"/>
      <c r="E25" s="355" t="str">
        <f>'Commercial Invoice3'!E25</f>
        <v>Glass/Plastic bottle</v>
      </c>
      <c r="F25" s="514"/>
      <c r="G25" s="514"/>
      <c r="H25" s="514"/>
      <c r="I25" s="514"/>
    </row>
    <row r="26" spans="1:9" s="44" customFormat="1" ht="30.75" customHeight="1">
      <c r="A26" s="176">
        <f>'Commercial Invoice3'!A26</f>
        <v>150</v>
      </c>
      <c r="B26" s="474" t="str">
        <f>'Commercial Invoice3'!B26</f>
        <v>Aromatic ring products without heteroatoms category （AB-16）36
White powder</v>
      </c>
      <c r="C26" s="474"/>
      <c r="D26" s="474"/>
      <c r="E26" s="355" t="str">
        <f>'Commercial Invoice3'!E26</f>
        <v>Glass/Plastic bottle</v>
      </c>
      <c r="F26" s="514"/>
      <c r="G26" s="514"/>
      <c r="H26" s="514"/>
      <c r="I26" s="514"/>
    </row>
    <row r="27" spans="1:9" s="44" customFormat="1" ht="30.75" customHeight="1">
      <c r="A27" s="176">
        <f>'Commercial Invoice3'!A27</f>
        <v>0</v>
      </c>
      <c r="B27" s="474" t="str">
        <f>'Commercial Invoice3'!B27</f>
        <v/>
      </c>
      <c r="C27" s="474"/>
      <c r="D27" s="474"/>
      <c r="E27" s="355" t="str">
        <f>'Commercial Invoice3'!E27</f>
        <v/>
      </c>
      <c r="F27" s="514"/>
      <c r="G27" s="514"/>
      <c r="H27" s="514"/>
      <c r="I27" s="514"/>
    </row>
    <row r="28" spans="1:9" s="44" customFormat="1" ht="30.75" customHeight="1">
      <c r="A28" s="176">
        <f>'Commercial Invoice3'!A28</f>
        <v>0</v>
      </c>
      <c r="B28" s="474" t="str">
        <f>'Commercial Invoice3'!B28</f>
        <v/>
      </c>
      <c r="C28" s="474"/>
      <c r="D28" s="474"/>
      <c r="E28" s="355" t="str">
        <f>'Commercial Invoice3'!E28</f>
        <v/>
      </c>
      <c r="F28" s="514"/>
      <c r="G28" s="514"/>
      <c r="H28" s="514"/>
      <c r="I28" s="514"/>
    </row>
    <row r="29" spans="1:9" s="44" customFormat="1" ht="18.75" customHeight="1">
      <c r="A29" s="178"/>
      <c r="B29" s="515" t="str">
        <f>IF(COUNTIF(辅助!N:N,"&gt;0")&lt;=12,"Total Net Weight（g）:   "&amp;SUM(辅助!N:N)," ")</f>
        <v>Total Net Weight（g）:   3266</v>
      </c>
      <c r="C29" s="515"/>
      <c r="D29" s="515"/>
      <c r="E29" s="179"/>
      <c r="F29" s="516" t="s">
        <v>371</v>
      </c>
      <c r="G29" s="516"/>
      <c r="H29" s="516"/>
      <c r="I29" s="516"/>
    </row>
    <row r="30" spans="1:9" s="44" customFormat="1" ht="7.5" customHeight="1" thickBot="1">
      <c r="A30" s="178"/>
      <c r="B30" s="517" t="str">
        <f>IF(COUNTIF(辅助!N:N,"&gt;0")&lt;=12,"Gross Weight(kg):   "&amp;发货清单!Y2," ")</f>
        <v>Gross Weight(kg):   10</v>
      </c>
      <c r="C30" s="517"/>
      <c r="D30" s="517"/>
      <c r="E30" s="179"/>
      <c r="F30" s="518"/>
      <c r="G30" s="518"/>
      <c r="H30" s="518"/>
      <c r="I30" s="518"/>
    </row>
    <row r="31" spans="1:9" ht="15.75">
      <c r="A31" s="169" t="s">
        <v>31</v>
      </c>
      <c r="B31" s="170"/>
      <c r="C31" s="170"/>
      <c r="D31" s="171"/>
      <c r="E31" s="41"/>
      <c r="F31" s="484"/>
      <c r="G31" s="484"/>
      <c r="H31" s="484"/>
      <c r="I31" s="485"/>
    </row>
    <row r="32" spans="1:9" ht="15" customHeight="1">
      <c r="A32" s="486" t="s">
        <v>72</v>
      </c>
      <c r="B32" s="487"/>
      <c r="C32" s="488"/>
      <c r="D32" s="39"/>
      <c r="E32" s="492" t="s">
        <v>73</v>
      </c>
      <c r="F32" s="493"/>
      <c r="G32" s="493"/>
      <c r="H32" s="493"/>
      <c r="I32" s="494"/>
    </row>
    <row r="33" spans="1:10" ht="15.75" thickBot="1">
      <c r="A33" s="489"/>
      <c r="B33" s="490"/>
      <c r="C33" s="491"/>
      <c r="D33" s="39"/>
      <c r="E33" s="495"/>
      <c r="F33" s="496"/>
      <c r="G33" s="496"/>
      <c r="H33" s="496"/>
      <c r="I33" s="497"/>
    </row>
    <row r="34" spans="1:10" ht="16.5" customHeight="1" thickBot="1">
      <c r="A34" s="498" t="s">
        <v>526</v>
      </c>
      <c r="B34" s="499"/>
      <c r="C34" s="500"/>
      <c r="D34" s="39"/>
      <c r="E34" s="42" t="s">
        <v>71</v>
      </c>
      <c r="F34" s="39"/>
      <c r="G34" s="507" t="str">
        <f>'Commercial Invoice3'!G33</f>
        <v>2786337676</v>
      </c>
      <c r="H34" s="508"/>
      <c r="I34" s="509"/>
    </row>
    <row r="35" spans="1:10" ht="32.25" customHeight="1" thickBot="1">
      <c r="A35" s="501"/>
      <c r="B35" s="502"/>
      <c r="C35" s="503"/>
      <c r="D35" s="39"/>
      <c r="E35" s="42" t="s">
        <v>34</v>
      </c>
      <c r="F35" s="39"/>
      <c r="G35" s="43"/>
      <c r="H35" s="43"/>
      <c r="I35" s="172"/>
    </row>
    <row r="36" spans="1:10" ht="15" thickBot="1">
      <c r="A36" s="504"/>
      <c r="B36" s="505"/>
      <c r="C36" s="506"/>
      <c r="D36" s="43"/>
      <c r="E36" s="43"/>
      <c r="F36" s="43"/>
      <c r="G36" s="43"/>
      <c r="H36" s="43"/>
      <c r="I36" s="172"/>
    </row>
    <row r="37" spans="1:10" ht="18" customHeight="1">
      <c r="A37" s="17"/>
      <c r="B37" s="17"/>
      <c r="C37" s="17"/>
      <c r="D37" s="17"/>
      <c r="E37" s="17" t="str">
        <f>"page 1/"&amp;IF(COUNTIF(辅助!K:K,"&gt;0")&lt;13,1,IF(COUNTIF(辅助!K:K,"&gt;0")&lt;25,2,3))</f>
        <v>page 1/1</v>
      </c>
      <c r="F37" s="17"/>
      <c r="G37" s="17"/>
      <c r="H37" s="17"/>
      <c r="I37" s="17"/>
    </row>
    <row r="38" spans="1:10" ht="22.5">
      <c r="A38" s="470" t="s">
        <v>370</v>
      </c>
      <c r="B38" s="470"/>
      <c r="C38" s="470"/>
      <c r="D38" s="470"/>
      <c r="E38" s="470"/>
      <c r="F38" s="470"/>
      <c r="G38" s="470"/>
      <c r="H38" s="470"/>
      <c r="I38" s="470"/>
    </row>
    <row r="39" spans="1:10" ht="5.25" hidden="1" customHeight="1">
      <c r="A39" s="17"/>
      <c r="B39" s="17"/>
      <c r="C39" s="17"/>
      <c r="D39" s="17"/>
      <c r="E39" s="17"/>
      <c r="F39" s="17"/>
      <c r="G39" s="17"/>
      <c r="H39" s="34"/>
      <c r="I39" s="48"/>
    </row>
    <row r="40" spans="1:10" ht="5.25" hidden="1" customHeight="1">
      <c r="A40" s="17"/>
      <c r="B40" s="17"/>
      <c r="C40" s="17"/>
      <c r="D40" s="17"/>
      <c r="E40" s="17"/>
      <c r="F40" s="17"/>
      <c r="G40" s="17"/>
      <c r="H40" s="17"/>
      <c r="I40" s="17"/>
    </row>
    <row r="41" spans="1:10" ht="15.75">
      <c r="A41" s="35" t="s">
        <v>43</v>
      </c>
      <c r="B41" s="36"/>
      <c r="C41" s="36"/>
      <c r="D41" s="37"/>
      <c r="E41" s="61"/>
      <c r="F41" s="77" t="s">
        <v>42</v>
      </c>
      <c r="G41" s="71"/>
      <c r="H41" s="36"/>
      <c r="I41" s="37"/>
    </row>
    <row r="42" spans="1:10" ht="15.75">
      <c r="A42" s="103" t="s">
        <v>75</v>
      </c>
      <c r="B42" s="58"/>
      <c r="C42" s="58"/>
      <c r="D42" s="59"/>
      <c r="E42" s="58"/>
      <c r="F42" s="57" t="str">
        <f>F6</f>
        <v xml:space="preserve"> Fluorochem Limited</v>
      </c>
      <c r="G42" s="192"/>
      <c r="H42" s="15"/>
      <c r="I42" s="38"/>
    </row>
    <row r="43" spans="1:10" ht="15" customHeight="1">
      <c r="A43" s="104" t="s">
        <v>230</v>
      </c>
      <c r="B43" s="60"/>
      <c r="C43" s="60"/>
      <c r="D43" s="59"/>
      <c r="E43" s="61"/>
      <c r="F43" s="53" t="str">
        <f>F7</f>
        <v>Unit 14 Graphite Way</v>
      </c>
      <c r="G43" s="7"/>
      <c r="H43" s="39"/>
      <c r="I43" s="38"/>
      <c r="J43" s="16"/>
    </row>
    <row r="44" spans="1:10" ht="15" customHeight="1">
      <c r="A44" s="104" t="s">
        <v>231</v>
      </c>
      <c r="B44" s="60"/>
      <c r="C44" s="60"/>
      <c r="D44" s="59"/>
      <c r="E44" s="61"/>
      <c r="F44" s="53" t="str">
        <f t="shared" ref="F44:F46" si="0">F8</f>
        <v>Hadfield  Derbyshire</v>
      </c>
      <c r="G44" s="7"/>
      <c r="H44" s="39"/>
      <c r="I44" s="38"/>
      <c r="J44" s="16"/>
    </row>
    <row r="45" spans="1:10" ht="15" customHeight="1">
      <c r="A45" s="105" t="s">
        <v>232</v>
      </c>
      <c r="B45" s="60"/>
      <c r="C45" s="60"/>
      <c r="D45" s="59"/>
      <c r="E45" s="61"/>
      <c r="F45" s="53" t="str">
        <f t="shared" si="0"/>
        <v>SK13 1QH UK</v>
      </c>
      <c r="G45" s="193"/>
      <c r="H45" s="39"/>
      <c r="I45" s="38"/>
      <c r="J45" s="14"/>
    </row>
    <row r="46" spans="1:10" ht="15">
      <c r="A46" s="106" t="s">
        <v>233</v>
      </c>
      <c r="B46" s="62"/>
      <c r="C46" s="62"/>
      <c r="D46" s="63"/>
      <c r="E46" s="61"/>
      <c r="F46" s="53" t="str">
        <f t="shared" si="0"/>
        <v>TEL:4401457860111</v>
      </c>
      <c r="G46" s="6"/>
      <c r="H46" s="18"/>
      <c r="I46" s="40"/>
      <c r="J46" s="14"/>
    </row>
    <row r="47" spans="1:10" ht="6" customHeight="1">
      <c r="A47" s="17"/>
      <c r="B47" s="17"/>
      <c r="C47" s="17"/>
      <c r="D47" s="17"/>
      <c r="E47" s="17"/>
      <c r="F47" s="17"/>
      <c r="G47" s="17"/>
      <c r="H47" s="17"/>
      <c r="I47" s="17"/>
      <c r="J47" s="14"/>
    </row>
    <row r="48" spans="1:10" s="68" customFormat="1">
      <c r="A48" s="471" t="s">
        <v>17</v>
      </c>
      <c r="B48" s="472"/>
      <c r="C48" s="235" t="str">
        <f>C12</f>
        <v>Order  No.</v>
      </c>
      <c r="D48" s="67" t="s">
        <v>369</v>
      </c>
      <c r="E48" s="67" t="s">
        <v>21</v>
      </c>
      <c r="F48" s="263" t="s">
        <v>19</v>
      </c>
      <c r="G48" s="67" t="s">
        <v>20</v>
      </c>
      <c r="H48" s="471" t="s">
        <v>30</v>
      </c>
      <c r="I48" s="472"/>
    </row>
    <row r="49" spans="1:14" s="68" customFormat="1" ht="12.75">
      <c r="A49" s="471"/>
      <c r="B49" s="472"/>
      <c r="C49" s="67" t="str">
        <f>C13</f>
        <v>P100426</v>
      </c>
      <c r="D49" s="67"/>
      <c r="E49" s="67"/>
      <c r="F49" s="29" t="s">
        <v>38</v>
      </c>
      <c r="G49" s="67"/>
      <c r="H49" s="471" t="s">
        <v>386</v>
      </c>
      <c r="I49" s="472"/>
      <c r="J49" s="30"/>
    </row>
    <row r="50" spans="1:14" s="68" customFormat="1" ht="12.75">
      <c r="A50" s="471" t="s">
        <v>22</v>
      </c>
      <c r="B50" s="473"/>
      <c r="C50" s="472"/>
      <c r="D50" s="67" t="s">
        <v>70</v>
      </c>
      <c r="E50" s="471" t="s">
        <v>23</v>
      </c>
      <c r="F50" s="472"/>
      <c r="G50" s="356" t="s">
        <v>29</v>
      </c>
      <c r="H50" s="471" t="s">
        <v>18</v>
      </c>
      <c r="I50" s="472"/>
      <c r="J50" s="30"/>
    </row>
    <row r="51" spans="1:14" s="28" customFormat="1" ht="15.75">
      <c r="A51" s="476" t="s">
        <v>39</v>
      </c>
      <c r="B51" s="477"/>
      <c r="C51" s="478"/>
      <c r="D51" s="27"/>
      <c r="E51" s="513" t="str">
        <f>E15</f>
        <v>UK</v>
      </c>
      <c r="F51" s="478"/>
      <c r="G51" s="79">
        <f ca="1">G15</f>
        <v>43839</v>
      </c>
      <c r="H51" s="479" t="str">
        <f>H15</f>
        <v>20200109-607</v>
      </c>
      <c r="I51" s="480"/>
      <c r="J51" s="30"/>
    </row>
    <row r="52" spans="1:14" s="26" customFormat="1" ht="23.25" customHeight="1">
      <c r="A52" s="66" t="s">
        <v>24</v>
      </c>
      <c r="B52" s="481" t="s">
        <v>25</v>
      </c>
      <c r="C52" s="482"/>
      <c r="D52" s="483"/>
      <c r="E52" s="55" t="s">
        <v>28</v>
      </c>
      <c r="F52" s="514" t="s">
        <v>109</v>
      </c>
      <c r="G52" s="514"/>
      <c r="H52" s="514"/>
      <c r="I52" s="514"/>
      <c r="N52" s="47"/>
    </row>
    <row r="53" spans="1:14" s="44" customFormat="1" ht="30.75" customHeight="1">
      <c r="A53" s="176">
        <f>'Commercial Invoice3'!A52</f>
        <v>0</v>
      </c>
      <c r="B53" s="474" t="str">
        <f>'Commercial Invoice3'!B52</f>
        <v/>
      </c>
      <c r="C53" s="474"/>
      <c r="D53" s="474"/>
      <c r="E53" s="355" t="str">
        <f>'Commercial Invoice3'!E52</f>
        <v/>
      </c>
      <c r="F53" s="514"/>
      <c r="G53" s="514"/>
      <c r="H53" s="514"/>
      <c r="I53" s="514"/>
    </row>
    <row r="54" spans="1:14" s="44" customFormat="1" ht="30.75" customHeight="1">
      <c r="A54" s="176">
        <f>'Commercial Invoice3'!A53</f>
        <v>0</v>
      </c>
      <c r="B54" s="474" t="str">
        <f>'Commercial Invoice3'!B53</f>
        <v/>
      </c>
      <c r="C54" s="474"/>
      <c r="D54" s="474"/>
      <c r="E54" s="355" t="str">
        <f>'Commercial Invoice3'!E53</f>
        <v/>
      </c>
      <c r="F54" s="514"/>
      <c r="G54" s="514"/>
      <c r="H54" s="514"/>
      <c r="I54" s="514"/>
    </row>
    <row r="55" spans="1:14" s="44" customFormat="1" ht="30.75" customHeight="1">
      <c r="A55" s="176">
        <f>'Commercial Invoice3'!A54</f>
        <v>0</v>
      </c>
      <c r="B55" s="474" t="str">
        <f>'Commercial Invoice3'!B54</f>
        <v/>
      </c>
      <c r="C55" s="474"/>
      <c r="D55" s="474"/>
      <c r="E55" s="355" t="str">
        <f>'Commercial Invoice3'!E54</f>
        <v/>
      </c>
      <c r="F55" s="514"/>
      <c r="G55" s="514"/>
      <c r="H55" s="514"/>
      <c r="I55" s="514"/>
    </row>
    <row r="56" spans="1:14" s="44" customFormat="1" ht="30.75" customHeight="1">
      <c r="A56" s="176">
        <f>'Commercial Invoice3'!A55</f>
        <v>0</v>
      </c>
      <c r="B56" s="474" t="str">
        <f>'Commercial Invoice3'!B55</f>
        <v/>
      </c>
      <c r="C56" s="474"/>
      <c r="D56" s="474"/>
      <c r="E56" s="355" t="str">
        <f>'Commercial Invoice3'!E55</f>
        <v/>
      </c>
      <c r="F56" s="514"/>
      <c r="G56" s="514"/>
      <c r="H56" s="514"/>
      <c r="I56" s="514"/>
    </row>
    <row r="57" spans="1:14" s="44" customFormat="1" ht="30.75" customHeight="1">
      <c r="A57" s="176">
        <f>'Commercial Invoice3'!A56</f>
        <v>0</v>
      </c>
      <c r="B57" s="474" t="str">
        <f>'Commercial Invoice3'!B56</f>
        <v/>
      </c>
      <c r="C57" s="474"/>
      <c r="D57" s="474"/>
      <c r="E57" s="355" t="str">
        <f>'Commercial Invoice3'!E56</f>
        <v/>
      </c>
      <c r="F57" s="514"/>
      <c r="G57" s="514"/>
      <c r="H57" s="514"/>
      <c r="I57" s="514"/>
    </row>
    <row r="58" spans="1:14" s="44" customFormat="1" ht="30.75" customHeight="1">
      <c r="A58" s="176">
        <f>'Commercial Invoice3'!A57</f>
        <v>0</v>
      </c>
      <c r="B58" s="474" t="str">
        <f>'Commercial Invoice3'!B57</f>
        <v/>
      </c>
      <c r="C58" s="474"/>
      <c r="D58" s="474"/>
      <c r="E58" s="355" t="str">
        <f>'Commercial Invoice3'!E57</f>
        <v/>
      </c>
      <c r="F58" s="514"/>
      <c r="G58" s="514"/>
      <c r="H58" s="514"/>
      <c r="I58" s="514"/>
    </row>
    <row r="59" spans="1:14" s="44" customFormat="1" ht="30.75" customHeight="1">
      <c r="A59" s="176">
        <f>'Commercial Invoice3'!A58</f>
        <v>0</v>
      </c>
      <c r="B59" s="474" t="str">
        <f>'Commercial Invoice3'!B58</f>
        <v/>
      </c>
      <c r="C59" s="474"/>
      <c r="D59" s="474"/>
      <c r="E59" s="355" t="str">
        <f>'Commercial Invoice3'!E58</f>
        <v/>
      </c>
      <c r="F59" s="514"/>
      <c r="G59" s="514"/>
      <c r="H59" s="514"/>
      <c r="I59" s="514"/>
    </row>
    <row r="60" spans="1:14" s="44" customFormat="1" ht="30.75" customHeight="1">
      <c r="A60" s="176">
        <f>'Commercial Invoice3'!A59</f>
        <v>0</v>
      </c>
      <c r="B60" s="474" t="str">
        <f>'Commercial Invoice3'!B59</f>
        <v/>
      </c>
      <c r="C60" s="474"/>
      <c r="D60" s="474"/>
      <c r="E60" s="355" t="str">
        <f>'Commercial Invoice3'!E59</f>
        <v/>
      </c>
      <c r="F60" s="514"/>
      <c r="G60" s="514"/>
      <c r="H60" s="514"/>
      <c r="I60" s="514"/>
    </row>
    <row r="61" spans="1:14" s="44" customFormat="1" ht="30.75" customHeight="1">
      <c r="A61" s="176">
        <f>'Commercial Invoice3'!A60</f>
        <v>0</v>
      </c>
      <c r="B61" s="474" t="str">
        <f>'Commercial Invoice3'!B60</f>
        <v/>
      </c>
      <c r="C61" s="474"/>
      <c r="D61" s="474"/>
      <c r="E61" s="355" t="str">
        <f>'Commercial Invoice3'!E60</f>
        <v/>
      </c>
      <c r="F61" s="514"/>
      <c r="G61" s="514"/>
      <c r="H61" s="514"/>
      <c r="I61" s="514"/>
    </row>
    <row r="62" spans="1:14" s="44" customFormat="1" ht="30.75" customHeight="1">
      <c r="A62" s="176">
        <f>'Commercial Invoice3'!A61</f>
        <v>0</v>
      </c>
      <c r="B62" s="474" t="str">
        <f>'Commercial Invoice3'!B61</f>
        <v/>
      </c>
      <c r="C62" s="474"/>
      <c r="D62" s="474"/>
      <c r="E62" s="355" t="str">
        <f>'Commercial Invoice3'!E61</f>
        <v/>
      </c>
      <c r="F62" s="514"/>
      <c r="G62" s="514"/>
      <c r="H62" s="514"/>
      <c r="I62" s="514"/>
    </row>
    <row r="63" spans="1:14" s="44" customFormat="1" ht="30.75" customHeight="1">
      <c r="A63" s="176">
        <f>'Commercial Invoice3'!A62</f>
        <v>0</v>
      </c>
      <c r="B63" s="474" t="str">
        <f>'Commercial Invoice3'!B62</f>
        <v/>
      </c>
      <c r="C63" s="474"/>
      <c r="D63" s="474"/>
      <c r="E63" s="355" t="str">
        <f>'Commercial Invoice3'!E62</f>
        <v/>
      </c>
      <c r="F63" s="514"/>
      <c r="G63" s="514"/>
      <c r="H63" s="514"/>
      <c r="I63" s="514"/>
    </row>
    <row r="64" spans="1:14" s="44" customFormat="1" ht="30.75" customHeight="1">
      <c r="A64" s="176">
        <f>'Commercial Invoice3'!A63</f>
        <v>0</v>
      </c>
      <c r="B64" s="474" t="str">
        <f>'Commercial Invoice3'!B63</f>
        <v/>
      </c>
      <c r="C64" s="474"/>
      <c r="D64" s="474"/>
      <c r="E64" s="355" t="str">
        <f>'Commercial Invoice3'!E63</f>
        <v/>
      </c>
      <c r="F64" s="514"/>
      <c r="G64" s="514"/>
      <c r="H64" s="514"/>
      <c r="I64" s="514"/>
    </row>
    <row r="65" spans="1:10" s="44" customFormat="1" ht="18.75" customHeight="1">
      <c r="A65" s="178"/>
      <c r="B65" s="515" t="str">
        <f>IF(COUNTIF(辅助!N:N,"&gt;0")&lt;=24,"Total Net Weight（g）:   "&amp;SUM(辅助!N:N)," ")</f>
        <v>Total Net Weight（g）:   3266</v>
      </c>
      <c r="C65" s="515"/>
      <c r="D65" s="515"/>
      <c r="E65" s="179"/>
      <c r="F65" s="516" t="s">
        <v>371</v>
      </c>
      <c r="G65" s="516"/>
      <c r="H65" s="516"/>
      <c r="I65" s="516"/>
    </row>
    <row r="66" spans="1:10" s="44" customFormat="1" ht="17.25" customHeight="1" thickBot="1">
      <c r="A66" s="178"/>
      <c r="B66" s="517" t="str">
        <f>IF(COUNTIF(辅助!N:N,"&gt;0")&lt;=24,"Gross Weight(kg):   "&amp;发货清单!Y2," ")</f>
        <v>Gross Weight(kg):   10</v>
      </c>
      <c r="C66" s="517"/>
      <c r="D66" s="517"/>
      <c r="E66" s="179"/>
      <c r="F66" s="518"/>
      <c r="G66" s="518"/>
      <c r="H66" s="518"/>
      <c r="I66" s="518"/>
    </row>
    <row r="67" spans="1:10" ht="15.75">
      <c r="A67" s="169" t="s">
        <v>31</v>
      </c>
      <c r="B67" s="170"/>
      <c r="C67" s="170"/>
      <c r="D67" s="171"/>
      <c r="E67" s="41"/>
      <c r="F67" s="484"/>
      <c r="G67" s="484"/>
      <c r="H67" s="484"/>
      <c r="I67" s="485"/>
    </row>
    <row r="68" spans="1:10" ht="15" customHeight="1">
      <c r="A68" s="486" t="s">
        <v>72</v>
      </c>
      <c r="B68" s="487"/>
      <c r="C68" s="488"/>
      <c r="D68" s="39"/>
      <c r="E68" s="492" t="s">
        <v>73</v>
      </c>
      <c r="F68" s="493"/>
      <c r="G68" s="493"/>
      <c r="H68" s="493"/>
      <c r="I68" s="494"/>
    </row>
    <row r="69" spans="1:10" ht="15.75" thickBot="1">
      <c r="A69" s="489"/>
      <c r="B69" s="490"/>
      <c r="C69" s="491"/>
      <c r="D69" s="39"/>
      <c r="E69" s="495"/>
      <c r="F69" s="496"/>
      <c r="G69" s="496"/>
      <c r="H69" s="496"/>
      <c r="I69" s="497"/>
    </row>
    <row r="70" spans="1:10" ht="16.5" customHeight="1" thickBot="1">
      <c r="A70" s="498" t="s">
        <v>526</v>
      </c>
      <c r="B70" s="499"/>
      <c r="C70" s="500"/>
      <c r="D70" s="39"/>
      <c r="E70" s="42" t="s">
        <v>71</v>
      </c>
      <c r="F70" s="39"/>
      <c r="G70" s="507" t="str">
        <f>G34</f>
        <v>2786337676</v>
      </c>
      <c r="H70" s="508"/>
      <c r="I70" s="509"/>
    </row>
    <row r="71" spans="1:10" ht="32.25" customHeight="1" thickBot="1">
      <c r="A71" s="501"/>
      <c r="B71" s="502"/>
      <c r="C71" s="503"/>
      <c r="D71" s="39"/>
      <c r="E71" s="42" t="s">
        <v>34</v>
      </c>
      <c r="F71" s="39"/>
      <c r="G71" s="43"/>
      <c r="H71" s="43"/>
      <c r="I71" s="172"/>
    </row>
    <row r="72" spans="1:10" ht="15" thickBot="1">
      <c r="A72" s="504"/>
      <c r="B72" s="505"/>
      <c r="C72" s="506"/>
      <c r="D72" s="43"/>
      <c r="E72" s="43"/>
      <c r="F72" s="43"/>
      <c r="G72" s="43"/>
      <c r="H72" s="43"/>
      <c r="I72" s="172"/>
    </row>
    <row r="73" spans="1:10">
      <c r="A73" s="17"/>
      <c r="B73" s="17"/>
      <c r="C73" s="17"/>
      <c r="D73" s="17"/>
      <c r="E73" s="17" t="str">
        <f>"page 2/"&amp;IF(COUNTIF(辅助!K:K,"&gt;0")&lt;25,2,3)</f>
        <v>page 2/2</v>
      </c>
      <c r="F73" s="17"/>
      <c r="G73" s="17"/>
      <c r="H73" s="17"/>
      <c r="I73" s="17"/>
    </row>
    <row r="74" spans="1:10" ht="22.5">
      <c r="A74" s="470" t="s">
        <v>370</v>
      </c>
      <c r="B74" s="470"/>
      <c r="C74" s="470"/>
      <c r="D74" s="470"/>
      <c r="E74" s="470"/>
      <c r="F74" s="470"/>
      <c r="G74" s="470"/>
      <c r="H74" s="470"/>
      <c r="I74" s="470"/>
    </row>
    <row r="75" spans="1:10" ht="5.25" hidden="1" customHeight="1">
      <c r="A75" s="17"/>
      <c r="B75" s="17"/>
      <c r="C75" s="17"/>
      <c r="D75" s="17"/>
      <c r="E75" s="17"/>
      <c r="F75" s="17"/>
      <c r="G75" s="17"/>
      <c r="H75" s="34"/>
      <c r="I75" s="48"/>
    </row>
    <row r="76" spans="1:10" ht="5.25" hidden="1" customHeight="1">
      <c r="A76" s="17"/>
      <c r="B76" s="17"/>
      <c r="C76" s="17"/>
      <c r="D76" s="17"/>
      <c r="E76" s="17"/>
      <c r="F76" s="17"/>
      <c r="G76" s="17"/>
      <c r="H76" s="17"/>
      <c r="I76" s="17"/>
    </row>
    <row r="77" spans="1:10" ht="15.75">
      <c r="A77" s="35" t="s">
        <v>43</v>
      </c>
      <c r="B77" s="36"/>
      <c r="C77" s="36"/>
      <c r="D77" s="37"/>
      <c r="E77" s="61"/>
      <c r="F77" s="77" t="s">
        <v>42</v>
      </c>
      <c r="G77" s="71"/>
      <c r="H77" s="36"/>
      <c r="I77" s="37"/>
    </row>
    <row r="78" spans="1:10" ht="15.75">
      <c r="A78" s="103" t="s">
        <v>75</v>
      </c>
      <c r="B78" s="58"/>
      <c r="C78" s="58"/>
      <c r="D78" s="59"/>
      <c r="E78" s="58"/>
      <c r="F78" s="57" t="str">
        <f>F42</f>
        <v xml:space="preserve"> Fluorochem Limited</v>
      </c>
      <c r="G78" s="192"/>
      <c r="H78" s="15"/>
      <c r="I78" s="38"/>
    </row>
    <row r="79" spans="1:10" ht="15" customHeight="1">
      <c r="A79" s="104" t="s">
        <v>230</v>
      </c>
      <c r="B79" s="60"/>
      <c r="C79" s="60"/>
      <c r="D79" s="59"/>
      <c r="E79" s="61"/>
      <c r="F79" s="53" t="str">
        <f>F43</f>
        <v>Unit 14 Graphite Way</v>
      </c>
      <c r="G79" s="7"/>
      <c r="H79" s="39"/>
      <c r="I79" s="38"/>
      <c r="J79" s="16"/>
    </row>
    <row r="80" spans="1:10" ht="15" customHeight="1">
      <c r="A80" s="104" t="s">
        <v>231</v>
      </c>
      <c r="B80" s="60"/>
      <c r="C80" s="60"/>
      <c r="D80" s="59"/>
      <c r="E80" s="61"/>
      <c r="F80" s="53" t="str">
        <f t="shared" ref="F80:F82" si="1">F44</f>
        <v>Hadfield  Derbyshire</v>
      </c>
      <c r="G80" s="7"/>
      <c r="H80" s="39"/>
      <c r="I80" s="38"/>
      <c r="J80" s="16"/>
    </row>
    <row r="81" spans="1:14" ht="15" customHeight="1">
      <c r="A81" s="105" t="s">
        <v>232</v>
      </c>
      <c r="B81" s="60"/>
      <c r="C81" s="60"/>
      <c r="D81" s="59"/>
      <c r="E81" s="61"/>
      <c r="F81" s="53" t="str">
        <f t="shared" si="1"/>
        <v>SK13 1QH UK</v>
      </c>
      <c r="G81" s="193"/>
      <c r="H81" s="39"/>
      <c r="I81" s="38"/>
      <c r="J81" s="14"/>
    </row>
    <row r="82" spans="1:14" ht="15">
      <c r="A82" s="106" t="s">
        <v>233</v>
      </c>
      <c r="B82" s="62"/>
      <c r="C82" s="62"/>
      <c r="D82" s="63"/>
      <c r="E82" s="61"/>
      <c r="F82" s="53" t="str">
        <f t="shared" si="1"/>
        <v>TEL:4401457860111</v>
      </c>
      <c r="G82" s="6"/>
      <c r="H82" s="18"/>
      <c r="I82" s="40"/>
      <c r="J82" s="14"/>
    </row>
    <row r="83" spans="1:14" ht="6" customHeight="1">
      <c r="A83" s="17"/>
      <c r="B83" s="17"/>
      <c r="C83" s="17"/>
      <c r="D83" s="17"/>
      <c r="E83" s="17"/>
      <c r="F83" s="17"/>
      <c r="G83" s="17"/>
      <c r="H83" s="17"/>
      <c r="I83" s="17"/>
      <c r="J83" s="14"/>
    </row>
    <row r="84" spans="1:14" s="68" customFormat="1">
      <c r="A84" s="471" t="s">
        <v>17</v>
      </c>
      <c r="B84" s="472"/>
      <c r="C84" s="235" t="str">
        <f>C48</f>
        <v>Order  No.</v>
      </c>
      <c r="D84" s="67" t="s">
        <v>369</v>
      </c>
      <c r="E84" s="67" t="s">
        <v>21</v>
      </c>
      <c r="F84" s="263" t="s">
        <v>19</v>
      </c>
      <c r="G84" s="67" t="s">
        <v>20</v>
      </c>
      <c r="H84" s="471" t="s">
        <v>30</v>
      </c>
      <c r="I84" s="472"/>
    </row>
    <row r="85" spans="1:14" s="68" customFormat="1" ht="12.75">
      <c r="A85" s="471"/>
      <c r="B85" s="472"/>
      <c r="C85" s="67" t="str">
        <f>C49</f>
        <v>P100426</v>
      </c>
      <c r="D85" s="67"/>
      <c r="E85" s="67"/>
      <c r="F85" s="29" t="s">
        <v>38</v>
      </c>
      <c r="G85" s="67"/>
      <c r="H85" s="471" t="s">
        <v>386</v>
      </c>
      <c r="I85" s="472"/>
      <c r="J85" s="30"/>
    </row>
    <row r="86" spans="1:14" s="68" customFormat="1" ht="12.75">
      <c r="A86" s="471" t="s">
        <v>22</v>
      </c>
      <c r="B86" s="473"/>
      <c r="C86" s="472"/>
      <c r="D86" s="67" t="s">
        <v>70</v>
      </c>
      <c r="E86" s="471" t="s">
        <v>23</v>
      </c>
      <c r="F86" s="472"/>
      <c r="G86" s="356" t="s">
        <v>29</v>
      </c>
      <c r="H86" s="471" t="s">
        <v>18</v>
      </c>
      <c r="I86" s="472"/>
      <c r="J86" s="30"/>
    </row>
    <row r="87" spans="1:14" s="28" customFormat="1" ht="15.75">
      <c r="A87" s="476" t="s">
        <v>39</v>
      </c>
      <c r="B87" s="477"/>
      <c r="C87" s="478"/>
      <c r="D87" s="27"/>
      <c r="E87" s="513" t="str">
        <f>E15</f>
        <v>UK</v>
      </c>
      <c r="F87" s="478"/>
      <c r="G87" s="79">
        <f ca="1">G51</f>
        <v>43839</v>
      </c>
      <c r="H87" s="479" t="str">
        <f>H51</f>
        <v>20200109-607</v>
      </c>
      <c r="I87" s="480"/>
      <c r="J87" s="30"/>
    </row>
    <row r="88" spans="1:14" s="26" customFormat="1" ht="23.25" customHeight="1">
      <c r="A88" s="66" t="s">
        <v>24</v>
      </c>
      <c r="B88" s="481" t="s">
        <v>25</v>
      </c>
      <c r="C88" s="482"/>
      <c r="D88" s="483"/>
      <c r="E88" s="55" t="s">
        <v>28</v>
      </c>
      <c r="F88" s="514" t="s">
        <v>109</v>
      </c>
      <c r="G88" s="514"/>
      <c r="H88" s="514"/>
      <c r="I88" s="514"/>
      <c r="N88" s="47"/>
    </row>
    <row r="89" spans="1:14" s="44" customFormat="1" ht="30.75" customHeight="1">
      <c r="A89" s="176">
        <f>'Commercial Invoice3'!A87</f>
        <v>0</v>
      </c>
      <c r="B89" s="474" t="str">
        <f>'Commercial Invoice3'!B87</f>
        <v/>
      </c>
      <c r="C89" s="474"/>
      <c r="D89" s="474"/>
      <c r="E89" s="355" t="str">
        <f>'Commercial Invoice3'!E87</f>
        <v/>
      </c>
      <c r="F89" s="514"/>
      <c r="G89" s="514"/>
      <c r="H89" s="514"/>
      <c r="I89" s="514"/>
    </row>
    <row r="90" spans="1:14" s="44" customFormat="1" ht="30.75" customHeight="1">
      <c r="A90" s="176">
        <f>'Commercial Invoice3'!A88</f>
        <v>0</v>
      </c>
      <c r="B90" s="474" t="str">
        <f>'Commercial Invoice3'!B88</f>
        <v/>
      </c>
      <c r="C90" s="474"/>
      <c r="D90" s="474"/>
      <c r="E90" s="355" t="str">
        <f>'Commercial Invoice3'!E88</f>
        <v/>
      </c>
      <c r="F90" s="514"/>
      <c r="G90" s="514"/>
      <c r="H90" s="514"/>
      <c r="I90" s="514"/>
    </row>
    <row r="91" spans="1:14" s="44" customFormat="1" ht="30.75" customHeight="1">
      <c r="A91" s="176">
        <f>'Commercial Invoice3'!A89</f>
        <v>0</v>
      </c>
      <c r="B91" s="474" t="str">
        <f>'Commercial Invoice3'!B89</f>
        <v/>
      </c>
      <c r="C91" s="474"/>
      <c r="D91" s="474"/>
      <c r="E91" s="355" t="str">
        <f>'Commercial Invoice3'!E89</f>
        <v/>
      </c>
      <c r="F91" s="514"/>
      <c r="G91" s="514"/>
      <c r="H91" s="514"/>
      <c r="I91" s="514"/>
    </row>
    <row r="92" spans="1:14" s="44" customFormat="1" ht="30.75" customHeight="1">
      <c r="A92" s="176">
        <f>'Commercial Invoice3'!A90</f>
        <v>0</v>
      </c>
      <c r="B92" s="474" t="str">
        <f>'Commercial Invoice3'!B90</f>
        <v/>
      </c>
      <c r="C92" s="474"/>
      <c r="D92" s="474"/>
      <c r="E92" s="355" t="str">
        <f>'Commercial Invoice3'!E90</f>
        <v/>
      </c>
      <c r="F92" s="514"/>
      <c r="G92" s="514"/>
      <c r="H92" s="514"/>
      <c r="I92" s="514"/>
    </row>
    <row r="93" spans="1:14" s="44" customFormat="1" ht="30.75" customHeight="1">
      <c r="A93" s="176">
        <f>'Commercial Invoice3'!A91</f>
        <v>0</v>
      </c>
      <c r="B93" s="474" t="str">
        <f>'Commercial Invoice3'!B91</f>
        <v/>
      </c>
      <c r="C93" s="474"/>
      <c r="D93" s="474"/>
      <c r="E93" s="355" t="str">
        <f>'Commercial Invoice3'!E91</f>
        <v/>
      </c>
      <c r="F93" s="514"/>
      <c r="G93" s="514"/>
      <c r="H93" s="514"/>
      <c r="I93" s="514"/>
    </row>
    <row r="94" spans="1:14" s="44" customFormat="1" ht="30.75" customHeight="1">
      <c r="A94" s="176">
        <f>'Commercial Invoice3'!A92</f>
        <v>0</v>
      </c>
      <c r="B94" s="474" t="str">
        <f>'Commercial Invoice3'!B92</f>
        <v/>
      </c>
      <c r="C94" s="474"/>
      <c r="D94" s="474"/>
      <c r="E94" s="355" t="str">
        <f>'Commercial Invoice3'!E92</f>
        <v/>
      </c>
      <c r="F94" s="514"/>
      <c r="G94" s="514"/>
      <c r="H94" s="514"/>
      <c r="I94" s="514"/>
    </row>
    <row r="95" spans="1:14" s="44" customFormat="1" ht="30.75" customHeight="1">
      <c r="A95" s="176">
        <f>'Commercial Invoice3'!A93</f>
        <v>0</v>
      </c>
      <c r="B95" s="474" t="str">
        <f>'Commercial Invoice3'!B93</f>
        <v/>
      </c>
      <c r="C95" s="474"/>
      <c r="D95" s="474"/>
      <c r="E95" s="355" t="str">
        <f>'Commercial Invoice3'!E93</f>
        <v/>
      </c>
      <c r="F95" s="514"/>
      <c r="G95" s="514"/>
      <c r="H95" s="514"/>
      <c r="I95" s="514"/>
    </row>
    <row r="96" spans="1:14" s="44" customFormat="1" ht="30.75" customHeight="1">
      <c r="A96" s="176">
        <f>'Commercial Invoice3'!A94</f>
        <v>0</v>
      </c>
      <c r="B96" s="474" t="str">
        <f>'Commercial Invoice3'!B94</f>
        <v/>
      </c>
      <c r="C96" s="474"/>
      <c r="D96" s="474"/>
      <c r="E96" s="355" t="str">
        <f>'Commercial Invoice3'!E94</f>
        <v/>
      </c>
      <c r="F96" s="514"/>
      <c r="G96" s="514"/>
      <c r="H96" s="514"/>
      <c r="I96" s="514"/>
    </row>
    <row r="97" spans="1:9" s="44" customFormat="1" ht="30.75" customHeight="1">
      <c r="A97" s="176">
        <f>'Commercial Invoice3'!A95</f>
        <v>0</v>
      </c>
      <c r="B97" s="474" t="str">
        <f>'Commercial Invoice3'!B95</f>
        <v/>
      </c>
      <c r="C97" s="474"/>
      <c r="D97" s="474"/>
      <c r="E97" s="355" t="str">
        <f>'Commercial Invoice3'!E95</f>
        <v/>
      </c>
      <c r="F97" s="514"/>
      <c r="G97" s="514"/>
      <c r="H97" s="514"/>
      <c r="I97" s="514"/>
    </row>
    <row r="98" spans="1:9" s="44" customFormat="1" ht="30.75" customHeight="1">
      <c r="A98" s="176">
        <f>'Commercial Invoice3'!A96</f>
        <v>0</v>
      </c>
      <c r="B98" s="474" t="str">
        <f>'Commercial Invoice3'!B96</f>
        <v/>
      </c>
      <c r="C98" s="474"/>
      <c r="D98" s="474"/>
      <c r="E98" s="355" t="str">
        <f>'Commercial Invoice3'!E96</f>
        <v/>
      </c>
      <c r="F98" s="514"/>
      <c r="G98" s="514"/>
      <c r="H98" s="514"/>
      <c r="I98" s="514"/>
    </row>
    <row r="99" spans="1:9" s="44" customFormat="1" ht="30.75" customHeight="1">
      <c r="A99" s="176">
        <f>'Commercial Invoice3'!A97</f>
        <v>0</v>
      </c>
      <c r="B99" s="474" t="str">
        <f>'Commercial Invoice3'!B97</f>
        <v/>
      </c>
      <c r="C99" s="474"/>
      <c r="D99" s="474"/>
      <c r="E99" s="355" t="str">
        <f>'Commercial Invoice3'!E97</f>
        <v/>
      </c>
      <c r="F99" s="514"/>
      <c r="G99" s="514"/>
      <c r="H99" s="514"/>
      <c r="I99" s="514"/>
    </row>
    <row r="100" spans="1:9" s="44" customFormat="1" ht="30.75" customHeight="1">
      <c r="A100" s="176">
        <f>'Commercial Invoice3'!A98</f>
        <v>0</v>
      </c>
      <c r="B100" s="474" t="str">
        <f>'Commercial Invoice3'!B98</f>
        <v/>
      </c>
      <c r="C100" s="474"/>
      <c r="D100" s="474"/>
      <c r="E100" s="355" t="str">
        <f>'Commercial Invoice3'!E98</f>
        <v/>
      </c>
      <c r="F100" s="514"/>
      <c r="G100" s="514"/>
      <c r="H100" s="514"/>
      <c r="I100" s="514"/>
    </row>
    <row r="101" spans="1:9" s="44" customFormat="1" ht="18.75" customHeight="1">
      <c r="A101" s="178"/>
      <c r="B101" s="515" t="str">
        <f>IF(COUNTIF(辅助!N:N,"&gt;0")&lt;=36,"Total Net Weight（g）:   "&amp;SUM(辅助!N:N)," ")</f>
        <v>Total Net Weight（g）:   3266</v>
      </c>
      <c r="C101" s="515"/>
      <c r="D101" s="515"/>
      <c r="E101" s="179"/>
      <c r="F101" s="516" t="s">
        <v>371</v>
      </c>
      <c r="G101" s="516"/>
      <c r="H101" s="516"/>
      <c r="I101" s="516"/>
    </row>
    <row r="102" spans="1:9" s="44" customFormat="1" ht="17.25" customHeight="1" thickBot="1">
      <c r="A102" s="178"/>
      <c r="B102" s="517" t="str">
        <f>IF(COUNTIF(辅助!N:N,"&gt;0")&lt;=36,"Gross Weight(kg):   "&amp;发货清单!Y2," ")</f>
        <v>Gross Weight(kg):   10</v>
      </c>
      <c r="C102" s="517"/>
      <c r="D102" s="517"/>
      <c r="E102" s="179"/>
      <c r="F102" s="518"/>
      <c r="G102" s="518"/>
      <c r="H102" s="518"/>
      <c r="I102" s="518"/>
    </row>
    <row r="103" spans="1:9" ht="15.75">
      <c r="A103" s="169" t="s">
        <v>31</v>
      </c>
      <c r="B103" s="170"/>
      <c r="C103" s="170"/>
      <c r="D103" s="171"/>
      <c r="E103" s="41"/>
      <c r="F103" s="484"/>
      <c r="G103" s="484"/>
      <c r="H103" s="484"/>
      <c r="I103" s="485"/>
    </row>
    <row r="104" spans="1:9" ht="15" customHeight="1">
      <c r="A104" s="486" t="s">
        <v>72</v>
      </c>
      <c r="B104" s="487"/>
      <c r="C104" s="488"/>
      <c r="D104" s="39"/>
      <c r="E104" s="492" t="s">
        <v>73</v>
      </c>
      <c r="F104" s="493"/>
      <c r="G104" s="493"/>
      <c r="H104" s="493"/>
      <c r="I104" s="494"/>
    </row>
    <row r="105" spans="1:9" ht="12" customHeight="1" thickBot="1">
      <c r="A105" s="489"/>
      <c r="B105" s="490"/>
      <c r="C105" s="491"/>
      <c r="D105" s="39"/>
      <c r="E105" s="495"/>
      <c r="F105" s="496"/>
      <c r="G105" s="496"/>
      <c r="H105" s="496"/>
      <c r="I105" s="497"/>
    </row>
    <row r="106" spans="1:9" ht="16.5" customHeight="1" thickBot="1">
      <c r="A106" s="498" t="s">
        <v>526</v>
      </c>
      <c r="B106" s="499"/>
      <c r="C106" s="500"/>
      <c r="D106" s="39"/>
      <c r="E106" s="42" t="s">
        <v>71</v>
      </c>
      <c r="F106" s="39"/>
      <c r="G106" s="507" t="str">
        <f>G70</f>
        <v>2786337676</v>
      </c>
      <c r="H106" s="508"/>
      <c r="I106" s="509"/>
    </row>
    <row r="107" spans="1:9" ht="32.25" customHeight="1" thickBot="1">
      <c r="A107" s="501"/>
      <c r="B107" s="502"/>
      <c r="C107" s="503"/>
      <c r="D107" s="39"/>
      <c r="E107" s="42" t="s">
        <v>34</v>
      </c>
      <c r="F107" s="39"/>
      <c r="G107" s="43"/>
      <c r="H107" s="43"/>
      <c r="I107" s="172"/>
    </row>
    <row r="108" spans="1:9" ht="15" thickBot="1">
      <c r="A108" s="504"/>
      <c r="B108" s="505"/>
      <c r="C108" s="506"/>
      <c r="D108" s="43"/>
      <c r="E108" s="43"/>
      <c r="F108" s="43"/>
      <c r="G108" s="43"/>
      <c r="H108" s="43"/>
      <c r="I108" s="172"/>
    </row>
    <row r="109" spans="1:9">
      <c r="E109" t="s">
        <v>569</v>
      </c>
    </row>
  </sheetData>
  <mergeCells count="141">
    <mergeCell ref="A106:C108"/>
    <mergeCell ref="G106:I106"/>
    <mergeCell ref="B102:D102"/>
    <mergeCell ref="F102:I102"/>
    <mergeCell ref="F103:I103"/>
    <mergeCell ref="A104:C105"/>
    <mergeCell ref="E104:I104"/>
    <mergeCell ref="E105:I105"/>
    <mergeCell ref="B99:D99"/>
    <mergeCell ref="F99:I99"/>
    <mergeCell ref="B100:D100"/>
    <mergeCell ref="F100:I100"/>
    <mergeCell ref="B101:D101"/>
    <mergeCell ref="F101:I101"/>
    <mergeCell ref="B96:D96"/>
    <mergeCell ref="F96:I96"/>
    <mergeCell ref="B97:D97"/>
    <mergeCell ref="F97:I97"/>
    <mergeCell ref="B98:D98"/>
    <mergeCell ref="F98:I98"/>
    <mergeCell ref="B93:D93"/>
    <mergeCell ref="F93:I93"/>
    <mergeCell ref="B94:D94"/>
    <mergeCell ref="F94:I94"/>
    <mergeCell ref="B95:D95"/>
    <mergeCell ref="F95:I95"/>
    <mergeCell ref="B90:D90"/>
    <mergeCell ref="F90:I90"/>
    <mergeCell ref="B91:D91"/>
    <mergeCell ref="F91:I91"/>
    <mergeCell ref="B92:D92"/>
    <mergeCell ref="F92:I92"/>
    <mergeCell ref="A87:C87"/>
    <mergeCell ref="E87:F87"/>
    <mergeCell ref="H87:I87"/>
    <mergeCell ref="B88:D88"/>
    <mergeCell ref="F88:I88"/>
    <mergeCell ref="B89:D89"/>
    <mergeCell ref="F89:I89"/>
    <mergeCell ref="A74:I74"/>
    <mergeCell ref="A84:B84"/>
    <mergeCell ref="H84:I84"/>
    <mergeCell ref="A85:B85"/>
    <mergeCell ref="H85:I85"/>
    <mergeCell ref="A86:C86"/>
    <mergeCell ref="E86:F86"/>
    <mergeCell ref="H86:I86"/>
    <mergeCell ref="F67:I67"/>
    <mergeCell ref="A68:C69"/>
    <mergeCell ref="E68:I68"/>
    <mergeCell ref="E69:I69"/>
    <mergeCell ref="A70:C72"/>
    <mergeCell ref="G70:I70"/>
    <mergeCell ref="B64:D64"/>
    <mergeCell ref="F64:I64"/>
    <mergeCell ref="B65:D65"/>
    <mergeCell ref="F65:I65"/>
    <mergeCell ref="B66:D66"/>
    <mergeCell ref="F66:I66"/>
    <mergeCell ref="B61:D61"/>
    <mergeCell ref="F61:I61"/>
    <mergeCell ref="B62:D62"/>
    <mergeCell ref="F62:I62"/>
    <mergeCell ref="B63:D63"/>
    <mergeCell ref="F63:I63"/>
    <mergeCell ref="B58:D58"/>
    <mergeCell ref="F58:I58"/>
    <mergeCell ref="B59:D59"/>
    <mergeCell ref="F59:I59"/>
    <mergeCell ref="B60:D60"/>
    <mergeCell ref="F60:I60"/>
    <mergeCell ref="B55:D55"/>
    <mergeCell ref="F55:I55"/>
    <mergeCell ref="B56:D56"/>
    <mergeCell ref="F56:I56"/>
    <mergeCell ref="B57:D57"/>
    <mergeCell ref="F57:I57"/>
    <mergeCell ref="B52:D52"/>
    <mergeCell ref="F52:I52"/>
    <mergeCell ref="B53:D53"/>
    <mergeCell ref="F53:I53"/>
    <mergeCell ref="B54:D54"/>
    <mergeCell ref="F54:I54"/>
    <mergeCell ref="A50:C50"/>
    <mergeCell ref="E50:F50"/>
    <mergeCell ref="H50:I50"/>
    <mergeCell ref="A51:C51"/>
    <mergeCell ref="E51:F51"/>
    <mergeCell ref="H51:I51"/>
    <mergeCell ref="A34:C36"/>
    <mergeCell ref="G34:I34"/>
    <mergeCell ref="A38:I38"/>
    <mergeCell ref="A48:B48"/>
    <mergeCell ref="H48:I48"/>
    <mergeCell ref="A49:B49"/>
    <mergeCell ref="H49:I49"/>
    <mergeCell ref="B30:D30"/>
    <mergeCell ref="F30:I30"/>
    <mergeCell ref="F31:I31"/>
    <mergeCell ref="A32:C33"/>
    <mergeCell ref="E32:I32"/>
    <mergeCell ref="E33:I33"/>
    <mergeCell ref="B27:D27"/>
    <mergeCell ref="F27:I27"/>
    <mergeCell ref="B28:D28"/>
    <mergeCell ref="F28:I28"/>
    <mergeCell ref="B29:D29"/>
    <mergeCell ref="F29:I29"/>
    <mergeCell ref="B24:D24"/>
    <mergeCell ref="F24:I24"/>
    <mergeCell ref="B25:D25"/>
    <mergeCell ref="F25:I25"/>
    <mergeCell ref="B26:D26"/>
    <mergeCell ref="F26:I26"/>
    <mergeCell ref="B21:D21"/>
    <mergeCell ref="F21:I21"/>
    <mergeCell ref="B22:D22"/>
    <mergeCell ref="F22:I22"/>
    <mergeCell ref="B23:D23"/>
    <mergeCell ref="F23:I23"/>
    <mergeCell ref="B18:D18"/>
    <mergeCell ref="F18:I18"/>
    <mergeCell ref="B19:D19"/>
    <mergeCell ref="F19:I19"/>
    <mergeCell ref="B20:D20"/>
    <mergeCell ref="F20:I20"/>
    <mergeCell ref="A15:C15"/>
    <mergeCell ref="E15:F15"/>
    <mergeCell ref="H15:I15"/>
    <mergeCell ref="B16:D16"/>
    <mergeCell ref="F16:I16"/>
    <mergeCell ref="B17:D17"/>
    <mergeCell ref="F17:I17"/>
    <mergeCell ref="A2:I2"/>
    <mergeCell ref="A12:B12"/>
    <mergeCell ref="H12:I12"/>
    <mergeCell ref="A13:B13"/>
    <mergeCell ref="H13:I13"/>
    <mergeCell ref="A14:C14"/>
    <mergeCell ref="E14:F14"/>
    <mergeCell ref="H14:I14"/>
  </mergeCells>
  <phoneticPr fontId="1" type="noConversion"/>
  <conditionalFormatting sqref="A17:B28 E17:E28">
    <cfRule type="cellIs" dxfId="80" priority="5" operator="equal">
      <formula>0</formula>
    </cfRule>
  </conditionalFormatting>
  <conditionalFormatting sqref="A53:B64 E53:E64">
    <cfRule type="cellIs" dxfId="79" priority="4" operator="equal">
      <formula>0</formula>
    </cfRule>
  </conditionalFormatting>
  <conditionalFormatting sqref="A89:B100 E89:E100">
    <cfRule type="cellIs" dxfId="78" priority="3" operator="equal">
      <formula>0</formula>
    </cfRule>
  </conditionalFormatting>
  <conditionalFormatting sqref="A38:XFD73">
    <cfRule type="expression" dxfId="77" priority="2">
      <formula>$A$53=0</formula>
    </cfRule>
  </conditionalFormatting>
  <conditionalFormatting sqref="A74:XFD109">
    <cfRule type="expression" dxfId="76" priority="1">
      <formula>$A$89=0</formula>
    </cfRule>
  </conditionalFormatting>
  <dataValidations count="2">
    <dataValidation errorStyle="warning" allowBlank="1" showInputMessage="1" errorTitle="Office Use Only" promptTitle="Office Use Only" prompt="Use this block for any information not included elsewhere on this invoice. Either type it right into the sheet or write it into the block after printing." sqref="A32 A68 A104"/>
    <dataValidation errorStyle="warning" allowBlank="1" showInputMessage="1" errorTitle="Fine Print" promptTitle="Fine Print" prompt="Type any fine print (disclaimers, warranty information, etc.) here. If you do not wish to include any fine print information on your printed invoices, click on the box and use Edit|Clear|Contents to delete the text which says 'Insert Fine Print Here'." sqref="E33 E69 E105"/>
  </dataValidations>
  <hyperlinks>
    <hyperlink ref="A10" r:id="rId1"/>
    <hyperlink ref="A46" r:id="rId2"/>
    <hyperlink ref="A82" r:id="rId3"/>
  </hyperlinks>
  <pageMargins left="0.19685039370078741" right="0" top="0.51181102362204722" bottom="0.74803149606299213" header="0.31496062992125984" footer="0.31496062992125984"/>
  <pageSetup paperSize="9" orientation="portrait" horizontalDpi="4294967295" verticalDpi="4294967295" r:id="rId4"/>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1:AP146"/>
  <sheetViews>
    <sheetView showGridLines="0" tabSelected="1" zoomScale="130" zoomScaleNormal="130" workbookViewId="0">
      <selection sqref="A1:XFD1048576"/>
    </sheetView>
  </sheetViews>
  <sheetFormatPr defaultColWidth="9" defaultRowHeight="11.25"/>
  <cols>
    <col min="1" max="1" width="1.25" style="130" customWidth="1"/>
    <col min="2" max="5" width="4.75" style="130" customWidth="1"/>
    <col min="6" max="6" width="4.125" style="130" customWidth="1"/>
    <col min="7" max="9" width="4.75" style="130" customWidth="1"/>
    <col min="10" max="15" width="2.75" style="130" customWidth="1"/>
    <col min="16" max="16" width="3.375" style="269" customWidth="1"/>
    <col min="17" max="17" width="2.75" style="269" customWidth="1"/>
    <col min="18" max="18" width="4.375" style="269" customWidth="1"/>
    <col min="19" max="19" width="2.5" style="130" customWidth="1"/>
    <col min="20" max="20" width="8.5" style="130" customWidth="1"/>
    <col min="21" max="21" width="7.5" style="269" customWidth="1"/>
    <col min="22" max="22" width="3.5" style="130" customWidth="1"/>
    <col min="23" max="23" width="7.375" style="130" customWidth="1"/>
    <col min="24" max="25" width="1.75" style="130" customWidth="1"/>
    <col min="26" max="26" width="6" style="130" customWidth="1"/>
    <col min="27" max="27" width="2.5" style="130" customWidth="1"/>
    <col min="28" max="34" width="1.375" style="130" customWidth="1"/>
    <col min="35" max="37" width="3.625" style="130" customWidth="1"/>
    <col min="38" max="38" width="2.375" style="130" customWidth="1"/>
    <col min="39" max="39" width="3.75" style="130" customWidth="1"/>
    <col min="40" max="40" width="3.875" style="130" customWidth="1"/>
    <col min="41" max="41" width="12.125" style="130" customWidth="1"/>
    <col min="42" max="16384" width="9" style="130"/>
  </cols>
  <sheetData>
    <row r="1" spans="2:42" ht="8.25" customHeight="1">
      <c r="H1" s="666" t="s">
        <v>220</v>
      </c>
      <c r="I1" s="666"/>
      <c r="J1" s="666"/>
      <c r="K1" s="666"/>
      <c r="L1" s="666"/>
      <c r="M1" s="666"/>
      <c r="N1" s="666"/>
      <c r="O1" s="666"/>
      <c r="P1" s="666"/>
      <c r="Q1" s="666"/>
      <c r="R1" s="666"/>
      <c r="S1" s="666"/>
      <c r="T1" s="666"/>
      <c r="U1" s="666"/>
      <c r="V1" s="666"/>
      <c r="W1" s="666"/>
      <c r="X1" s="666"/>
      <c r="Y1" s="666"/>
      <c r="Z1" s="666"/>
    </row>
    <row r="2" spans="2:42" ht="12" customHeight="1">
      <c r="H2" s="666"/>
      <c r="I2" s="666"/>
      <c r="J2" s="666"/>
      <c r="K2" s="666"/>
      <c r="L2" s="666"/>
      <c r="M2" s="666"/>
      <c r="N2" s="666"/>
      <c r="O2" s="666"/>
      <c r="P2" s="666"/>
      <c r="Q2" s="666"/>
      <c r="R2" s="666"/>
      <c r="S2" s="666"/>
      <c r="T2" s="666"/>
      <c r="U2" s="666"/>
      <c r="V2" s="666"/>
      <c r="W2" s="666"/>
      <c r="X2" s="666"/>
      <c r="Y2" s="666"/>
      <c r="Z2" s="666"/>
    </row>
    <row r="3" spans="2:42">
      <c r="H3" s="666"/>
      <c r="I3" s="666"/>
      <c r="J3" s="666"/>
      <c r="K3" s="666"/>
      <c r="L3" s="666"/>
      <c r="M3" s="666"/>
      <c r="N3" s="666"/>
      <c r="O3" s="666"/>
      <c r="P3" s="666"/>
      <c r="Q3" s="666"/>
      <c r="R3" s="666"/>
      <c r="S3" s="666"/>
      <c r="T3" s="666"/>
      <c r="U3" s="666"/>
      <c r="V3" s="666"/>
      <c r="W3" s="666"/>
      <c r="X3" s="666"/>
      <c r="Y3" s="666"/>
      <c r="Z3" s="666"/>
    </row>
    <row r="4" spans="2:42" ht="9.75" customHeight="1">
      <c r="H4" s="666"/>
      <c r="I4" s="666"/>
      <c r="J4" s="666"/>
      <c r="K4" s="666"/>
      <c r="L4" s="666"/>
      <c r="M4" s="666"/>
      <c r="N4" s="666"/>
      <c r="O4" s="666"/>
      <c r="P4" s="666"/>
      <c r="Q4" s="666"/>
      <c r="R4" s="666"/>
      <c r="S4" s="666"/>
      <c r="T4" s="666"/>
      <c r="U4" s="666"/>
      <c r="V4" s="666"/>
      <c r="W4" s="666"/>
      <c r="X4" s="666"/>
      <c r="Y4" s="666"/>
      <c r="Z4" s="666"/>
    </row>
    <row r="5" spans="2:42" ht="12.75" customHeight="1">
      <c r="B5" s="131" t="s">
        <v>219</v>
      </c>
      <c r="C5" s="131"/>
      <c r="D5" s="131"/>
      <c r="E5" s="131"/>
      <c r="F5" s="131"/>
      <c r="G5" s="131"/>
      <c r="H5" s="131"/>
      <c r="I5" s="131"/>
      <c r="J5" s="131" t="s">
        <v>218</v>
      </c>
      <c r="K5" s="131"/>
      <c r="L5" s="131"/>
      <c r="M5" s="131"/>
      <c r="N5" s="131"/>
      <c r="O5" s="131"/>
      <c r="P5" s="264"/>
      <c r="Q5" s="264"/>
      <c r="R5" s="264"/>
      <c r="S5" s="131"/>
      <c r="T5" s="131"/>
      <c r="U5" s="264"/>
      <c r="V5" s="131"/>
      <c r="W5" s="131"/>
      <c r="X5" s="131"/>
      <c r="Y5" s="131"/>
      <c r="Z5" s="131"/>
      <c r="AA5" s="131"/>
      <c r="AB5" s="131"/>
      <c r="AC5" s="131"/>
      <c r="AD5" s="131"/>
      <c r="AE5" s="131"/>
      <c r="AF5" s="131"/>
      <c r="AG5" s="131"/>
      <c r="AH5" s="131"/>
      <c r="AI5" s="132" t="s">
        <v>217</v>
      </c>
      <c r="AJ5" s="138" t="s">
        <v>2169</v>
      </c>
    </row>
    <row r="6" spans="2:42" ht="3" customHeight="1" thickBot="1">
      <c r="B6" s="131"/>
      <c r="C6" s="131"/>
      <c r="D6" s="131"/>
      <c r="E6" s="131"/>
      <c r="F6" s="131"/>
      <c r="G6" s="131"/>
      <c r="H6" s="131"/>
      <c r="I6" s="131"/>
      <c r="J6" s="131"/>
      <c r="K6" s="131"/>
      <c r="L6" s="131"/>
      <c r="M6" s="131"/>
      <c r="N6" s="131"/>
      <c r="O6" s="131"/>
      <c r="P6" s="264"/>
      <c r="Q6" s="264"/>
      <c r="R6" s="264"/>
      <c r="S6" s="131"/>
      <c r="T6" s="131"/>
      <c r="U6" s="264"/>
      <c r="V6" s="131"/>
      <c r="W6" s="131"/>
      <c r="X6" s="131"/>
      <c r="Y6" s="131"/>
      <c r="Z6" s="131"/>
      <c r="AA6" s="131"/>
      <c r="AB6" s="131"/>
      <c r="AC6" s="131"/>
      <c r="AD6" s="131"/>
      <c r="AE6" s="131"/>
      <c r="AF6" s="131"/>
      <c r="AG6" s="131"/>
      <c r="AH6" s="131"/>
      <c r="AI6" s="131"/>
      <c r="AJ6" s="131"/>
    </row>
    <row r="7" spans="2:42">
      <c r="B7" s="92" t="s">
        <v>387</v>
      </c>
      <c r="C7" s="93"/>
      <c r="D7" s="93"/>
      <c r="E7" s="133"/>
      <c r="F7" s="93"/>
      <c r="G7" s="93"/>
      <c r="H7" s="93"/>
      <c r="I7" s="134" t="s">
        <v>285</v>
      </c>
      <c r="J7" s="639" t="s">
        <v>216</v>
      </c>
      <c r="K7" s="640"/>
      <c r="L7" s="640"/>
      <c r="M7" s="640"/>
      <c r="N7" s="640"/>
      <c r="O7" s="641"/>
      <c r="P7" s="639" t="s">
        <v>215</v>
      </c>
      <c r="Q7" s="640"/>
      <c r="R7" s="640"/>
      <c r="S7" s="640"/>
      <c r="T7" s="640"/>
      <c r="U7" s="640"/>
      <c r="V7" s="640"/>
      <c r="W7" s="641"/>
      <c r="X7" s="639" t="s">
        <v>214</v>
      </c>
      <c r="Y7" s="640"/>
      <c r="Z7" s="640"/>
      <c r="AA7" s="641"/>
      <c r="AB7" s="639" t="s">
        <v>213</v>
      </c>
      <c r="AC7" s="640"/>
      <c r="AD7" s="640"/>
      <c r="AE7" s="640"/>
      <c r="AF7" s="640"/>
      <c r="AG7" s="640"/>
      <c r="AH7" s="640"/>
      <c r="AI7" s="640"/>
      <c r="AJ7" s="641"/>
      <c r="AO7" s="660"/>
      <c r="AP7" s="660"/>
    </row>
    <row r="8" spans="2:42" ht="12" thickBot="1">
      <c r="B8" s="655" t="s">
        <v>202</v>
      </c>
      <c r="C8" s="656"/>
      <c r="D8" s="656"/>
      <c r="E8" s="656"/>
      <c r="F8" s="656"/>
      <c r="G8" s="656"/>
      <c r="H8" s="656"/>
      <c r="I8" s="657"/>
      <c r="J8" s="655" t="s">
        <v>212</v>
      </c>
      <c r="K8" s="656"/>
      <c r="L8" s="656"/>
      <c r="M8" s="656"/>
      <c r="N8" s="656"/>
      <c r="O8" s="657"/>
      <c r="P8" s="667">
        <v>43839</v>
      </c>
      <c r="Q8" s="649"/>
      <c r="R8" s="649"/>
      <c r="S8" s="649"/>
      <c r="T8" s="649"/>
      <c r="U8" s="649"/>
      <c r="V8" s="649"/>
      <c r="W8" s="650"/>
      <c r="X8" s="655"/>
      <c r="Y8" s="656"/>
      <c r="Z8" s="656"/>
      <c r="AA8" s="657"/>
      <c r="AB8" s="655"/>
      <c r="AC8" s="656"/>
      <c r="AD8" s="656"/>
      <c r="AE8" s="656"/>
      <c r="AF8" s="656"/>
      <c r="AG8" s="656"/>
      <c r="AH8" s="656"/>
      <c r="AI8" s="656"/>
      <c r="AJ8" s="657"/>
      <c r="AO8" s="660"/>
      <c r="AP8" s="660"/>
    </row>
    <row r="9" spans="2:42">
      <c r="B9" s="92" t="s">
        <v>211</v>
      </c>
      <c r="C9" s="93"/>
      <c r="D9" s="93" t="s">
        <v>210</v>
      </c>
      <c r="E9" s="133"/>
      <c r="F9" s="664"/>
      <c r="G9" s="664"/>
      <c r="H9" s="664"/>
      <c r="I9" s="665"/>
      <c r="J9" s="639" t="s">
        <v>209</v>
      </c>
      <c r="K9" s="640"/>
      <c r="L9" s="640"/>
      <c r="M9" s="640"/>
      <c r="N9" s="640"/>
      <c r="O9" s="641"/>
      <c r="P9" s="639" t="s">
        <v>208</v>
      </c>
      <c r="Q9" s="640"/>
      <c r="R9" s="640"/>
      <c r="S9" s="640"/>
      <c r="T9" s="640"/>
      <c r="U9" s="640"/>
      <c r="V9" s="640"/>
      <c r="W9" s="641"/>
      <c r="X9" s="639" t="s">
        <v>207</v>
      </c>
      <c r="Y9" s="640"/>
      <c r="Z9" s="640"/>
      <c r="AA9" s="640"/>
      <c r="AB9" s="640"/>
      <c r="AC9" s="640"/>
      <c r="AD9" s="640"/>
      <c r="AE9" s="640"/>
      <c r="AF9" s="640"/>
      <c r="AG9" s="640"/>
      <c r="AH9" s="640"/>
      <c r="AI9" s="640"/>
      <c r="AJ9" s="641"/>
      <c r="AO9" s="660"/>
      <c r="AP9" s="660"/>
    </row>
    <row r="10" spans="2:42" ht="12" thickBot="1">
      <c r="B10" s="648" t="s">
        <v>1182</v>
      </c>
      <c r="C10" s="649"/>
      <c r="D10" s="649"/>
      <c r="E10" s="649"/>
      <c r="F10" s="649"/>
      <c r="G10" s="649"/>
      <c r="H10" s="649"/>
      <c r="I10" s="650"/>
      <c r="J10" s="655" t="s">
        <v>206</v>
      </c>
      <c r="K10" s="656"/>
      <c r="L10" s="656"/>
      <c r="M10" s="656"/>
      <c r="N10" s="656"/>
      <c r="O10" s="657"/>
      <c r="P10" s="655"/>
      <c r="Q10" s="656"/>
      <c r="R10" s="656"/>
      <c r="S10" s="656"/>
      <c r="T10" s="656"/>
      <c r="U10" s="656"/>
      <c r="V10" s="656"/>
      <c r="W10" s="657"/>
      <c r="X10" s="648" t="s">
        <v>2170</v>
      </c>
      <c r="Y10" s="649"/>
      <c r="Z10" s="649"/>
      <c r="AA10" s="649"/>
      <c r="AB10" s="649"/>
      <c r="AC10" s="649"/>
      <c r="AD10" s="649"/>
      <c r="AE10" s="649"/>
      <c r="AF10" s="649"/>
      <c r="AG10" s="649"/>
      <c r="AH10" s="649"/>
      <c r="AI10" s="649"/>
      <c r="AJ10" s="650"/>
      <c r="AO10" s="660"/>
      <c r="AP10" s="660"/>
    </row>
    <row r="11" spans="2:42">
      <c r="B11" s="92" t="s">
        <v>388</v>
      </c>
      <c r="C11" s="93"/>
      <c r="D11" s="93"/>
      <c r="E11" s="93"/>
      <c r="F11" s="93"/>
      <c r="G11" s="93"/>
      <c r="H11" s="93"/>
      <c r="I11" s="135" t="s">
        <v>285</v>
      </c>
      <c r="J11" s="639" t="s">
        <v>205</v>
      </c>
      <c r="K11" s="640"/>
      <c r="L11" s="640"/>
      <c r="M11" s="640"/>
      <c r="N11" s="640"/>
      <c r="O11" s="641"/>
      <c r="P11" s="639" t="s">
        <v>204</v>
      </c>
      <c r="Q11" s="640"/>
      <c r="R11" s="640"/>
      <c r="S11" s="640"/>
      <c r="T11" s="640"/>
      <c r="U11" s="640"/>
      <c r="V11" s="640"/>
      <c r="W11" s="641"/>
      <c r="X11" s="639" t="s">
        <v>203</v>
      </c>
      <c r="Y11" s="640"/>
      <c r="Z11" s="640"/>
      <c r="AA11" s="640"/>
      <c r="AB11" s="640"/>
      <c r="AC11" s="640"/>
      <c r="AD11" s="640"/>
      <c r="AE11" s="640"/>
      <c r="AF11" s="640"/>
      <c r="AG11" s="640"/>
      <c r="AH11" s="640"/>
      <c r="AI11" s="640"/>
      <c r="AJ11" s="641"/>
      <c r="AO11" s="660"/>
      <c r="AP11" s="660"/>
    </row>
    <row r="12" spans="2:42" ht="12" thickBot="1">
      <c r="B12" s="655" t="s">
        <v>202</v>
      </c>
      <c r="C12" s="656"/>
      <c r="D12" s="656"/>
      <c r="E12" s="656"/>
      <c r="F12" s="656"/>
      <c r="G12" s="656"/>
      <c r="H12" s="656"/>
      <c r="I12" s="657"/>
      <c r="J12" s="655" t="s">
        <v>106</v>
      </c>
      <c r="K12" s="656"/>
      <c r="L12" s="656"/>
      <c r="M12" s="656"/>
      <c r="N12" s="656"/>
      <c r="O12" s="657"/>
      <c r="P12" s="655" t="s">
        <v>201</v>
      </c>
      <c r="Q12" s="656"/>
      <c r="R12" s="656"/>
      <c r="S12" s="656"/>
      <c r="T12" s="656"/>
      <c r="U12" s="656"/>
      <c r="V12" s="656"/>
      <c r="W12" s="657"/>
      <c r="X12" s="655"/>
      <c r="Y12" s="656"/>
      <c r="Z12" s="656"/>
      <c r="AA12" s="656"/>
      <c r="AB12" s="656"/>
      <c r="AC12" s="656"/>
      <c r="AD12" s="656"/>
      <c r="AE12" s="656"/>
      <c r="AF12" s="656"/>
      <c r="AG12" s="656"/>
      <c r="AH12" s="656"/>
      <c r="AI12" s="656"/>
      <c r="AJ12" s="657"/>
      <c r="AO12" s="660"/>
      <c r="AP12" s="660"/>
    </row>
    <row r="13" spans="2:42">
      <c r="B13" s="639" t="s">
        <v>200</v>
      </c>
      <c r="C13" s="640"/>
      <c r="D13" s="640"/>
      <c r="E13" s="640"/>
      <c r="F13" s="640"/>
      <c r="G13" s="640"/>
      <c r="H13" s="640"/>
      <c r="I13" s="641"/>
      <c r="J13" s="661" t="s">
        <v>283</v>
      </c>
      <c r="K13" s="661"/>
      <c r="L13" s="661"/>
      <c r="M13" s="661"/>
      <c r="N13" s="661"/>
      <c r="O13" s="661"/>
      <c r="P13" s="639" t="s">
        <v>284</v>
      </c>
      <c r="Q13" s="640"/>
      <c r="R13" s="640"/>
      <c r="S13" s="640"/>
      <c r="T13" s="640"/>
      <c r="U13" s="640"/>
      <c r="V13" s="640"/>
      <c r="W13" s="641"/>
      <c r="X13" s="639" t="s">
        <v>199</v>
      </c>
      <c r="Y13" s="640"/>
      <c r="Z13" s="640"/>
      <c r="AA13" s="640"/>
      <c r="AB13" s="639" t="s">
        <v>198</v>
      </c>
      <c r="AC13" s="640"/>
      <c r="AD13" s="640"/>
      <c r="AE13" s="640"/>
      <c r="AF13" s="640"/>
      <c r="AG13" s="640"/>
      <c r="AH13" s="640"/>
      <c r="AI13" s="640"/>
      <c r="AJ13" s="641"/>
      <c r="AO13" s="654"/>
      <c r="AP13" s="654"/>
    </row>
    <row r="14" spans="2:42" ht="12" thickBot="1">
      <c r="B14" s="655"/>
      <c r="C14" s="656"/>
      <c r="D14" s="656"/>
      <c r="E14" s="656"/>
      <c r="F14" s="656"/>
      <c r="G14" s="656"/>
      <c r="H14" s="656"/>
      <c r="I14" s="657"/>
      <c r="J14" s="646" t="s">
        <v>2171</v>
      </c>
      <c r="K14" s="646"/>
      <c r="L14" s="646"/>
      <c r="M14" s="646"/>
      <c r="N14" s="646"/>
      <c r="O14" s="646"/>
      <c r="P14" s="648" t="s">
        <v>2171</v>
      </c>
      <c r="Q14" s="649"/>
      <c r="R14" s="649"/>
      <c r="S14" s="649"/>
      <c r="T14" s="649"/>
      <c r="U14" s="649"/>
      <c r="V14" s="649"/>
      <c r="W14" s="650"/>
      <c r="X14" s="662" t="s">
        <v>2171</v>
      </c>
      <c r="Y14" s="663"/>
      <c r="Z14" s="663"/>
      <c r="AA14" s="663"/>
      <c r="AB14" s="655" t="s">
        <v>197</v>
      </c>
      <c r="AC14" s="656"/>
      <c r="AD14" s="656"/>
      <c r="AE14" s="656"/>
      <c r="AF14" s="656"/>
      <c r="AG14" s="656"/>
      <c r="AH14" s="656"/>
      <c r="AI14" s="656"/>
      <c r="AJ14" s="657"/>
      <c r="AO14" s="654"/>
      <c r="AP14" s="654"/>
    </row>
    <row r="15" spans="2:42">
      <c r="B15" s="639" t="s">
        <v>196</v>
      </c>
      <c r="C15" s="640"/>
      <c r="D15" s="640"/>
      <c r="E15" s="640"/>
      <c r="F15" s="640"/>
      <c r="G15" s="640"/>
      <c r="H15" s="640"/>
      <c r="I15" s="641"/>
      <c r="J15" s="639" t="s">
        <v>195</v>
      </c>
      <c r="K15" s="641"/>
      <c r="L15" s="639" t="s">
        <v>194</v>
      </c>
      <c r="M15" s="640"/>
      <c r="N15" s="640"/>
      <c r="O15" s="641"/>
      <c r="P15" s="639" t="s">
        <v>193</v>
      </c>
      <c r="Q15" s="640"/>
      <c r="R15" s="640"/>
      <c r="S15" s="640"/>
      <c r="T15" s="641"/>
      <c r="U15" s="639" t="s">
        <v>192</v>
      </c>
      <c r="V15" s="640"/>
      <c r="W15" s="641"/>
      <c r="X15" s="639" t="s">
        <v>191</v>
      </c>
      <c r="Y15" s="640"/>
      <c r="Z15" s="640"/>
      <c r="AA15" s="641"/>
      <c r="AB15" s="639" t="s">
        <v>190</v>
      </c>
      <c r="AC15" s="640"/>
      <c r="AD15" s="640"/>
      <c r="AE15" s="640"/>
      <c r="AF15" s="641"/>
      <c r="AG15" s="639" t="s">
        <v>189</v>
      </c>
      <c r="AH15" s="640"/>
      <c r="AI15" s="640"/>
      <c r="AJ15" s="641"/>
      <c r="AO15" s="654"/>
      <c r="AP15" s="654"/>
    </row>
    <row r="16" spans="2:42" ht="12.75" customHeight="1" thickBot="1">
      <c r="B16" s="655" t="s">
        <v>188</v>
      </c>
      <c r="C16" s="656"/>
      <c r="D16" s="656"/>
      <c r="E16" s="656"/>
      <c r="F16" s="656"/>
      <c r="G16" s="656"/>
      <c r="H16" s="656"/>
      <c r="I16" s="657"/>
      <c r="J16" s="648">
        <v>1</v>
      </c>
      <c r="K16" s="650"/>
      <c r="L16" s="648">
        <v>10</v>
      </c>
      <c r="M16" s="649"/>
      <c r="N16" s="649"/>
      <c r="O16" s="650"/>
      <c r="P16" s="648">
        <v>3266</v>
      </c>
      <c r="Q16" s="649"/>
      <c r="R16" s="649"/>
      <c r="S16" s="649"/>
      <c r="T16" s="650"/>
      <c r="U16" s="655" t="s">
        <v>187</v>
      </c>
      <c r="V16" s="656"/>
      <c r="W16" s="657"/>
      <c r="X16" s="655"/>
      <c r="Y16" s="658"/>
      <c r="Z16" s="658"/>
      <c r="AA16" s="659"/>
      <c r="AB16" s="655"/>
      <c r="AC16" s="656"/>
      <c r="AD16" s="656"/>
      <c r="AE16" s="656"/>
      <c r="AF16" s="657"/>
      <c r="AG16" s="655"/>
      <c r="AH16" s="656"/>
      <c r="AI16" s="656"/>
      <c r="AJ16" s="657"/>
      <c r="AO16" s="654"/>
      <c r="AP16" s="654"/>
    </row>
    <row r="17" spans="2:36">
      <c r="B17" s="639" t="s">
        <v>186</v>
      </c>
      <c r="C17" s="640"/>
      <c r="D17" s="640"/>
      <c r="E17" s="640"/>
      <c r="F17" s="640"/>
      <c r="G17" s="640"/>
      <c r="H17" s="640"/>
      <c r="I17" s="640"/>
      <c r="J17" s="640"/>
      <c r="K17" s="640"/>
      <c r="L17" s="640"/>
      <c r="M17" s="640"/>
      <c r="N17" s="640"/>
      <c r="O17" s="640"/>
      <c r="P17" s="640"/>
      <c r="Q17" s="640"/>
      <c r="R17" s="640"/>
      <c r="S17" s="640"/>
      <c r="T17" s="640"/>
      <c r="U17" s="640"/>
      <c r="V17" s="640"/>
      <c r="W17" s="640"/>
      <c r="X17" s="640"/>
      <c r="Y17" s="640"/>
      <c r="Z17" s="640"/>
      <c r="AA17" s="640"/>
      <c r="AB17" s="640"/>
      <c r="AC17" s="640"/>
      <c r="AD17" s="640"/>
      <c r="AE17" s="640"/>
      <c r="AF17" s="640"/>
      <c r="AG17" s="640"/>
      <c r="AH17" s="640"/>
      <c r="AI17" s="640"/>
      <c r="AJ17" s="641"/>
    </row>
    <row r="18" spans="2:36" ht="3" customHeight="1" thickBot="1">
      <c r="B18" s="642"/>
      <c r="C18" s="643"/>
      <c r="D18" s="643"/>
      <c r="E18" s="643"/>
      <c r="F18" s="643"/>
      <c r="G18" s="643"/>
      <c r="H18" s="643"/>
      <c r="I18" s="643"/>
      <c r="J18" s="643"/>
      <c r="K18" s="643"/>
      <c r="L18" s="643"/>
      <c r="M18" s="643"/>
      <c r="N18" s="643"/>
      <c r="O18" s="643"/>
      <c r="P18" s="643"/>
      <c r="Q18" s="643"/>
      <c r="R18" s="643"/>
      <c r="S18" s="643"/>
      <c r="T18" s="643"/>
      <c r="U18" s="643"/>
      <c r="V18" s="643"/>
      <c r="W18" s="643"/>
      <c r="X18" s="643"/>
      <c r="Y18" s="643"/>
      <c r="Z18" s="643"/>
      <c r="AA18" s="643"/>
      <c r="AB18" s="643"/>
      <c r="AC18" s="643"/>
      <c r="AD18" s="643"/>
      <c r="AE18" s="643"/>
      <c r="AF18" s="643"/>
      <c r="AG18" s="643"/>
      <c r="AH18" s="643"/>
      <c r="AI18" s="643"/>
      <c r="AJ18" s="644"/>
    </row>
    <row r="19" spans="2:36">
      <c r="B19" s="639" t="s">
        <v>185</v>
      </c>
      <c r="C19" s="640"/>
      <c r="D19" s="640"/>
      <c r="E19" s="640"/>
      <c r="F19" s="640"/>
      <c r="G19" s="640"/>
      <c r="H19" s="640"/>
      <c r="I19" s="640"/>
      <c r="J19" s="640"/>
      <c r="K19" s="640"/>
      <c r="L19" s="640"/>
      <c r="M19" s="640"/>
      <c r="N19" s="640"/>
      <c r="O19" s="640"/>
      <c r="P19" s="640"/>
      <c r="Q19" s="640"/>
      <c r="R19" s="640"/>
      <c r="S19" s="640"/>
      <c r="T19" s="640"/>
      <c r="U19" s="640"/>
      <c r="V19" s="640"/>
      <c r="W19" s="640"/>
      <c r="X19" s="640"/>
      <c r="Y19" s="640"/>
      <c r="Z19" s="640"/>
      <c r="AA19" s="640"/>
      <c r="AB19" s="640"/>
      <c r="AC19" s="640"/>
      <c r="AD19" s="640"/>
      <c r="AE19" s="640"/>
      <c r="AF19" s="640"/>
      <c r="AG19" s="640"/>
      <c r="AH19" s="640"/>
      <c r="AI19" s="640"/>
      <c r="AJ19" s="641"/>
    </row>
    <row r="20" spans="2:36">
      <c r="B20" s="645" t="s">
        <v>2172</v>
      </c>
      <c r="C20" s="646"/>
      <c r="D20" s="646"/>
      <c r="E20" s="646"/>
      <c r="F20" s="646"/>
      <c r="G20" s="646"/>
      <c r="H20" s="646"/>
      <c r="I20" s="646"/>
      <c r="J20" s="646"/>
      <c r="K20" s="646"/>
      <c r="L20" s="646"/>
      <c r="M20" s="646"/>
      <c r="N20" s="646"/>
      <c r="O20" s="646"/>
      <c r="P20" s="646"/>
      <c r="Q20" s="646"/>
      <c r="R20" s="646"/>
      <c r="S20" s="646"/>
      <c r="T20" s="646"/>
      <c r="U20" s="646"/>
      <c r="V20" s="646"/>
      <c r="W20" s="646"/>
      <c r="X20" s="646"/>
      <c r="Y20" s="646"/>
      <c r="Z20" s="646"/>
      <c r="AA20" s="646"/>
      <c r="AB20" s="646"/>
      <c r="AC20" s="646"/>
      <c r="AD20" s="646"/>
      <c r="AE20" s="646"/>
      <c r="AF20" s="646"/>
      <c r="AG20" s="646"/>
      <c r="AH20" s="646"/>
      <c r="AI20" s="646"/>
      <c r="AJ20" s="647"/>
    </row>
    <row r="21" spans="2:36" ht="3.75" customHeight="1" thickBot="1">
      <c r="B21" s="648"/>
      <c r="C21" s="649"/>
      <c r="D21" s="649"/>
      <c r="E21" s="649"/>
      <c r="F21" s="649"/>
      <c r="G21" s="649"/>
      <c r="H21" s="649"/>
      <c r="I21" s="649"/>
      <c r="J21" s="649"/>
      <c r="K21" s="649"/>
      <c r="L21" s="649"/>
      <c r="M21" s="649"/>
      <c r="N21" s="649"/>
      <c r="O21" s="649"/>
      <c r="P21" s="649"/>
      <c r="Q21" s="649"/>
      <c r="R21" s="649"/>
      <c r="S21" s="649"/>
      <c r="T21" s="649"/>
      <c r="U21" s="649"/>
      <c r="V21" s="649"/>
      <c r="W21" s="649"/>
      <c r="X21" s="649"/>
      <c r="Y21" s="649"/>
      <c r="Z21" s="649"/>
      <c r="AA21" s="649"/>
      <c r="AB21" s="649"/>
      <c r="AC21" s="649"/>
      <c r="AD21" s="649"/>
      <c r="AE21" s="649"/>
      <c r="AF21" s="649"/>
      <c r="AG21" s="649"/>
      <c r="AH21" s="649"/>
      <c r="AI21" s="649"/>
      <c r="AJ21" s="650"/>
    </row>
    <row r="22" spans="2:36" s="137" customFormat="1" ht="10.5" thickBot="1">
      <c r="B22" s="136" t="s">
        <v>184</v>
      </c>
      <c r="C22" s="651" t="s">
        <v>183</v>
      </c>
      <c r="D22" s="651"/>
      <c r="E22" s="651" t="s">
        <v>182</v>
      </c>
      <c r="F22" s="651"/>
      <c r="G22" s="651"/>
      <c r="H22" s="651"/>
      <c r="I22" s="651"/>
      <c r="J22" s="651"/>
      <c r="K22" s="651"/>
      <c r="L22" s="651"/>
      <c r="M22" s="651"/>
      <c r="N22" s="651"/>
      <c r="O22" s="651"/>
      <c r="P22" s="651" t="s">
        <v>181</v>
      </c>
      <c r="Q22" s="651"/>
      <c r="R22" s="651"/>
      <c r="S22" s="651"/>
      <c r="T22" s="651" t="s">
        <v>180</v>
      </c>
      <c r="U22" s="651"/>
      <c r="V22" s="651"/>
      <c r="W22" s="651" t="s">
        <v>179</v>
      </c>
      <c r="X22" s="651"/>
      <c r="Y22" s="652" t="s">
        <v>178</v>
      </c>
      <c r="Z22" s="652"/>
      <c r="AA22" s="652"/>
      <c r="AB22" s="652"/>
      <c r="AC22" s="652" t="s">
        <v>177</v>
      </c>
      <c r="AD22" s="652"/>
      <c r="AE22" s="652"/>
      <c r="AF22" s="652"/>
      <c r="AG22" s="652"/>
      <c r="AH22" s="652"/>
      <c r="AI22" s="651" t="s">
        <v>176</v>
      </c>
      <c r="AJ22" s="653"/>
    </row>
    <row r="23" spans="2:36" s="156" customFormat="1" ht="24" customHeight="1" thickBot="1">
      <c r="B23" s="152">
        <v>1</v>
      </c>
      <c r="C23" s="634">
        <v>2917190090</v>
      </c>
      <c r="D23" s="634"/>
      <c r="E23" s="635" t="s">
        <v>2135</v>
      </c>
      <c r="F23" s="635"/>
      <c r="G23" s="635"/>
      <c r="H23" s="635"/>
      <c r="I23" s="635"/>
      <c r="J23" s="635"/>
      <c r="K23" s="635"/>
      <c r="L23" s="635"/>
      <c r="M23" s="635"/>
      <c r="N23" s="635"/>
      <c r="O23" s="635"/>
      <c r="P23" s="636">
        <v>600</v>
      </c>
      <c r="Q23" s="636"/>
      <c r="R23" s="636"/>
      <c r="S23" s="153" t="s">
        <v>175</v>
      </c>
      <c r="T23" s="157">
        <v>0.36399999999999999</v>
      </c>
      <c r="U23" s="270">
        <v>218.4</v>
      </c>
      <c r="V23" s="154" t="s">
        <v>286</v>
      </c>
      <c r="W23" s="634" t="s">
        <v>174</v>
      </c>
      <c r="X23" s="634"/>
      <c r="Y23" s="668" t="s">
        <v>2171</v>
      </c>
      <c r="Z23" s="634"/>
      <c r="AA23" s="634"/>
      <c r="AB23" s="637" t="s">
        <v>173</v>
      </c>
      <c r="AC23" s="637"/>
      <c r="AD23" s="637"/>
      <c r="AE23" s="637"/>
      <c r="AF23" s="637"/>
      <c r="AG23" s="637"/>
      <c r="AH23" s="155"/>
      <c r="AI23" s="634" t="s">
        <v>172</v>
      </c>
      <c r="AJ23" s="638"/>
    </row>
    <row r="24" spans="2:36" s="156" customFormat="1" ht="24" customHeight="1" thickBot="1">
      <c r="B24" s="152">
        <v>2</v>
      </c>
      <c r="C24" s="634">
        <v>2917190090</v>
      </c>
      <c r="D24" s="634"/>
      <c r="E24" s="635" t="s">
        <v>417</v>
      </c>
      <c r="F24" s="635"/>
      <c r="G24" s="635"/>
      <c r="H24" s="635"/>
      <c r="I24" s="635"/>
      <c r="J24" s="635"/>
      <c r="K24" s="635"/>
      <c r="L24" s="635"/>
      <c r="M24" s="635"/>
      <c r="N24" s="635"/>
      <c r="O24" s="635"/>
      <c r="P24" s="636">
        <v>10</v>
      </c>
      <c r="Q24" s="636"/>
      <c r="R24" s="636"/>
      <c r="S24" s="153" t="s">
        <v>2173</v>
      </c>
      <c r="T24" s="157">
        <v>15.680000000000001</v>
      </c>
      <c r="U24" s="270">
        <v>156.80000000000001</v>
      </c>
      <c r="V24" s="154" t="s">
        <v>2174</v>
      </c>
      <c r="W24" s="634" t="s">
        <v>2175</v>
      </c>
      <c r="X24" s="634"/>
      <c r="Y24" s="634" t="s">
        <v>2171</v>
      </c>
      <c r="Z24" s="634"/>
      <c r="AA24" s="634"/>
      <c r="AB24" s="637" t="s">
        <v>2176</v>
      </c>
      <c r="AC24" s="637"/>
      <c r="AD24" s="637"/>
      <c r="AE24" s="637"/>
      <c r="AF24" s="637"/>
      <c r="AG24" s="637"/>
      <c r="AH24" s="155"/>
      <c r="AI24" s="634" t="s">
        <v>2177</v>
      </c>
      <c r="AJ24" s="638"/>
    </row>
    <row r="25" spans="2:36" s="156" customFormat="1" ht="24" customHeight="1" thickBot="1">
      <c r="B25" s="152">
        <v>3</v>
      </c>
      <c r="C25" s="634">
        <v>2935900090</v>
      </c>
      <c r="D25" s="634"/>
      <c r="E25" s="635" t="s">
        <v>428</v>
      </c>
      <c r="F25" s="635"/>
      <c r="G25" s="635"/>
      <c r="H25" s="635"/>
      <c r="I25" s="635"/>
      <c r="J25" s="635"/>
      <c r="K25" s="635"/>
      <c r="L25" s="635"/>
      <c r="M25" s="635"/>
      <c r="N25" s="635"/>
      <c r="O25" s="635"/>
      <c r="P25" s="636">
        <v>1000</v>
      </c>
      <c r="Q25" s="636"/>
      <c r="R25" s="636"/>
      <c r="S25" s="249" t="s">
        <v>2173</v>
      </c>
      <c r="T25" s="157">
        <v>5.5299999999999995E-2</v>
      </c>
      <c r="U25" s="270">
        <v>55.3</v>
      </c>
      <c r="V25" s="154" t="s">
        <v>2174</v>
      </c>
      <c r="W25" s="634" t="s">
        <v>2175</v>
      </c>
      <c r="X25" s="634"/>
      <c r="Y25" s="634" t="s">
        <v>2171</v>
      </c>
      <c r="Z25" s="634"/>
      <c r="AA25" s="634"/>
      <c r="AB25" s="637" t="s">
        <v>2176</v>
      </c>
      <c r="AC25" s="637"/>
      <c r="AD25" s="637"/>
      <c r="AE25" s="637"/>
      <c r="AF25" s="637"/>
      <c r="AG25" s="637"/>
      <c r="AH25" s="155"/>
      <c r="AI25" s="634" t="s">
        <v>2177</v>
      </c>
      <c r="AJ25" s="638"/>
    </row>
    <row r="26" spans="2:36" s="156" customFormat="1" ht="24" customHeight="1" thickBot="1">
      <c r="B26" s="152">
        <v>4</v>
      </c>
      <c r="C26" s="634">
        <v>2932999099</v>
      </c>
      <c r="D26" s="634"/>
      <c r="E26" s="635" t="s">
        <v>423</v>
      </c>
      <c r="F26" s="635"/>
      <c r="G26" s="635"/>
      <c r="H26" s="635"/>
      <c r="I26" s="635"/>
      <c r="J26" s="635"/>
      <c r="K26" s="635"/>
      <c r="L26" s="635"/>
      <c r="M26" s="635"/>
      <c r="N26" s="635"/>
      <c r="O26" s="635"/>
      <c r="P26" s="636">
        <v>205</v>
      </c>
      <c r="Q26" s="636"/>
      <c r="R26" s="636"/>
      <c r="S26" s="249" t="s">
        <v>2173</v>
      </c>
      <c r="T26" s="157">
        <v>0.48829268292682926</v>
      </c>
      <c r="U26" s="270">
        <v>100.1</v>
      </c>
      <c r="V26" s="154" t="s">
        <v>2174</v>
      </c>
      <c r="W26" s="634" t="s">
        <v>2175</v>
      </c>
      <c r="X26" s="634"/>
      <c r="Y26" s="634" t="s">
        <v>2171</v>
      </c>
      <c r="Z26" s="634"/>
      <c r="AA26" s="634"/>
      <c r="AB26" s="637" t="s">
        <v>2176</v>
      </c>
      <c r="AC26" s="637"/>
      <c r="AD26" s="637"/>
      <c r="AE26" s="637"/>
      <c r="AF26" s="637"/>
      <c r="AG26" s="637"/>
      <c r="AH26" s="155"/>
      <c r="AI26" s="634" t="s">
        <v>2177</v>
      </c>
      <c r="AJ26" s="638"/>
    </row>
    <row r="27" spans="2:36" s="156" customFormat="1" ht="24" customHeight="1" thickBot="1">
      <c r="B27" s="152">
        <v>5</v>
      </c>
      <c r="C27" s="634">
        <v>2903399090</v>
      </c>
      <c r="D27" s="634"/>
      <c r="E27" s="635" t="s">
        <v>2153</v>
      </c>
      <c r="F27" s="635"/>
      <c r="G27" s="635"/>
      <c r="H27" s="635"/>
      <c r="I27" s="635"/>
      <c r="J27" s="635"/>
      <c r="K27" s="635"/>
      <c r="L27" s="635"/>
      <c r="M27" s="635"/>
      <c r="N27" s="635"/>
      <c r="O27" s="635"/>
      <c r="P27" s="636">
        <v>500</v>
      </c>
      <c r="Q27" s="636"/>
      <c r="R27" s="636"/>
      <c r="S27" s="249" t="s">
        <v>2173</v>
      </c>
      <c r="T27" s="157">
        <v>0.2044</v>
      </c>
      <c r="U27" s="270">
        <v>102.2</v>
      </c>
      <c r="V27" s="154" t="s">
        <v>2174</v>
      </c>
      <c r="W27" s="634" t="s">
        <v>2175</v>
      </c>
      <c r="X27" s="634"/>
      <c r="Y27" s="634" t="s">
        <v>2171</v>
      </c>
      <c r="Z27" s="634"/>
      <c r="AA27" s="634"/>
      <c r="AB27" s="637" t="s">
        <v>2176</v>
      </c>
      <c r="AC27" s="637"/>
      <c r="AD27" s="637"/>
      <c r="AE27" s="637"/>
      <c r="AF27" s="637"/>
      <c r="AG27" s="637"/>
      <c r="AH27" s="155"/>
      <c r="AI27" s="634" t="s">
        <v>2177</v>
      </c>
      <c r="AJ27" s="638"/>
    </row>
    <row r="28" spans="2:36" s="156" customFormat="1" ht="24" customHeight="1" thickBot="1">
      <c r="B28" s="152">
        <v>6</v>
      </c>
      <c r="C28" s="634">
        <v>2903399090</v>
      </c>
      <c r="D28" s="634"/>
      <c r="E28" s="635" t="s">
        <v>2154</v>
      </c>
      <c r="F28" s="635"/>
      <c r="G28" s="635"/>
      <c r="H28" s="635"/>
      <c r="I28" s="635"/>
      <c r="J28" s="635"/>
      <c r="K28" s="635"/>
      <c r="L28" s="635"/>
      <c r="M28" s="635"/>
      <c r="N28" s="635"/>
      <c r="O28" s="635"/>
      <c r="P28" s="636">
        <v>26</v>
      </c>
      <c r="Q28" s="636"/>
      <c r="R28" s="636"/>
      <c r="S28" s="249" t="s">
        <v>2173</v>
      </c>
      <c r="T28" s="157">
        <v>5.3307692307692314</v>
      </c>
      <c r="U28" s="270">
        <v>138.60000000000002</v>
      </c>
      <c r="V28" s="154" t="s">
        <v>2174</v>
      </c>
      <c r="W28" s="634" t="s">
        <v>2175</v>
      </c>
      <c r="X28" s="634"/>
      <c r="Y28" s="634" t="s">
        <v>2171</v>
      </c>
      <c r="Z28" s="634"/>
      <c r="AA28" s="634"/>
      <c r="AB28" s="637" t="s">
        <v>2176</v>
      </c>
      <c r="AC28" s="637"/>
      <c r="AD28" s="637"/>
      <c r="AE28" s="637"/>
      <c r="AF28" s="637"/>
      <c r="AG28" s="637"/>
      <c r="AH28" s="155"/>
      <c r="AI28" s="634" t="s">
        <v>2177</v>
      </c>
      <c r="AJ28" s="638"/>
    </row>
    <row r="29" spans="2:36" s="156" customFormat="1" ht="24" customHeight="1" thickBot="1">
      <c r="B29" s="152">
        <v>7</v>
      </c>
      <c r="C29" s="634">
        <v>2933990099</v>
      </c>
      <c r="D29" s="634"/>
      <c r="E29" s="635" t="s">
        <v>2156</v>
      </c>
      <c r="F29" s="635"/>
      <c r="G29" s="635"/>
      <c r="H29" s="635"/>
      <c r="I29" s="635"/>
      <c r="J29" s="635"/>
      <c r="K29" s="635"/>
      <c r="L29" s="635"/>
      <c r="M29" s="635"/>
      <c r="N29" s="635"/>
      <c r="O29" s="635"/>
      <c r="P29" s="636">
        <v>25</v>
      </c>
      <c r="Q29" s="636"/>
      <c r="R29" s="636"/>
      <c r="S29" s="249" t="s">
        <v>2173</v>
      </c>
      <c r="T29" s="157">
        <v>2.4079999999999999</v>
      </c>
      <c r="U29" s="270">
        <v>60.2</v>
      </c>
      <c r="V29" s="154" t="s">
        <v>2174</v>
      </c>
      <c r="W29" s="634" t="s">
        <v>2175</v>
      </c>
      <c r="X29" s="634"/>
      <c r="Y29" s="634" t="s">
        <v>2171</v>
      </c>
      <c r="Z29" s="634"/>
      <c r="AA29" s="634"/>
      <c r="AB29" s="637" t="s">
        <v>2176</v>
      </c>
      <c r="AC29" s="637"/>
      <c r="AD29" s="637"/>
      <c r="AE29" s="637"/>
      <c r="AF29" s="637"/>
      <c r="AG29" s="637"/>
      <c r="AH29" s="155"/>
      <c r="AI29" s="634" t="s">
        <v>2177</v>
      </c>
      <c r="AJ29" s="638"/>
    </row>
    <row r="30" spans="2:36" s="156" customFormat="1" ht="24" customHeight="1" thickBot="1">
      <c r="B30" s="152">
        <v>8</v>
      </c>
      <c r="C30" s="634">
        <v>2933990099</v>
      </c>
      <c r="D30" s="634"/>
      <c r="E30" s="635" t="s">
        <v>2158</v>
      </c>
      <c r="F30" s="635"/>
      <c r="G30" s="635"/>
      <c r="H30" s="635"/>
      <c r="I30" s="635"/>
      <c r="J30" s="635"/>
      <c r="K30" s="635"/>
      <c r="L30" s="635"/>
      <c r="M30" s="635"/>
      <c r="N30" s="635"/>
      <c r="O30" s="635"/>
      <c r="P30" s="636">
        <v>50</v>
      </c>
      <c r="Q30" s="636"/>
      <c r="R30" s="636"/>
      <c r="S30" s="249" t="s">
        <v>2173</v>
      </c>
      <c r="T30" s="157">
        <v>42.798000000000002</v>
      </c>
      <c r="U30" s="270">
        <v>2139.9</v>
      </c>
      <c r="V30" s="154" t="s">
        <v>2174</v>
      </c>
      <c r="W30" s="634" t="s">
        <v>2175</v>
      </c>
      <c r="X30" s="634"/>
      <c r="Y30" s="634" t="s">
        <v>2171</v>
      </c>
      <c r="Z30" s="634"/>
      <c r="AA30" s="634"/>
      <c r="AB30" s="637" t="s">
        <v>2176</v>
      </c>
      <c r="AC30" s="637"/>
      <c r="AD30" s="637"/>
      <c r="AE30" s="637"/>
      <c r="AF30" s="637"/>
      <c r="AG30" s="637"/>
      <c r="AH30" s="155"/>
      <c r="AI30" s="634" t="s">
        <v>2177</v>
      </c>
      <c r="AJ30" s="638"/>
    </row>
    <row r="31" spans="2:36" s="156" customFormat="1" ht="24" customHeight="1" thickBot="1">
      <c r="B31" s="152">
        <v>9</v>
      </c>
      <c r="C31" s="634">
        <v>2903999090</v>
      </c>
      <c r="D31" s="634"/>
      <c r="E31" s="635" t="s">
        <v>2161</v>
      </c>
      <c r="F31" s="635"/>
      <c r="G31" s="635"/>
      <c r="H31" s="635"/>
      <c r="I31" s="635"/>
      <c r="J31" s="635"/>
      <c r="K31" s="635"/>
      <c r="L31" s="635"/>
      <c r="M31" s="635"/>
      <c r="N31" s="635"/>
      <c r="O31" s="635"/>
      <c r="P31" s="636">
        <v>700</v>
      </c>
      <c r="Q31" s="636"/>
      <c r="R31" s="636"/>
      <c r="S31" s="249" t="s">
        <v>2173</v>
      </c>
      <c r="T31" s="157">
        <v>0.39799999999999996</v>
      </c>
      <c r="U31" s="270">
        <v>278.59999999999997</v>
      </c>
      <c r="V31" s="154" t="s">
        <v>2174</v>
      </c>
      <c r="W31" s="634" t="s">
        <v>2175</v>
      </c>
      <c r="X31" s="634"/>
      <c r="Y31" s="634" t="s">
        <v>2171</v>
      </c>
      <c r="Z31" s="634"/>
      <c r="AA31" s="634"/>
      <c r="AB31" s="637" t="s">
        <v>2176</v>
      </c>
      <c r="AC31" s="637"/>
      <c r="AD31" s="637"/>
      <c r="AE31" s="637"/>
      <c r="AF31" s="637"/>
      <c r="AG31" s="637"/>
      <c r="AH31" s="185"/>
      <c r="AI31" s="634" t="s">
        <v>2177</v>
      </c>
      <c r="AJ31" s="638"/>
    </row>
    <row r="32" spans="2:36" s="156" customFormat="1" ht="24" customHeight="1" thickBot="1">
      <c r="B32" s="152">
        <v>10</v>
      </c>
      <c r="C32" s="634">
        <v>2916399090</v>
      </c>
      <c r="D32" s="634"/>
      <c r="E32" s="635" t="s">
        <v>2163</v>
      </c>
      <c r="F32" s="635"/>
      <c r="G32" s="635"/>
      <c r="H32" s="635"/>
      <c r="I32" s="635"/>
      <c r="J32" s="635"/>
      <c r="K32" s="635"/>
      <c r="L32" s="635"/>
      <c r="M32" s="635"/>
      <c r="N32" s="635"/>
      <c r="O32" s="635"/>
      <c r="P32" s="636">
        <v>150</v>
      </c>
      <c r="Q32" s="636"/>
      <c r="R32" s="636"/>
      <c r="S32" s="249" t="s">
        <v>2173</v>
      </c>
      <c r="T32" s="157">
        <v>1.8853333333333333</v>
      </c>
      <c r="U32" s="270">
        <v>282.8</v>
      </c>
      <c r="V32" s="154" t="s">
        <v>2174</v>
      </c>
      <c r="W32" s="634" t="s">
        <v>2175</v>
      </c>
      <c r="X32" s="634"/>
      <c r="Y32" s="634" t="s">
        <v>2171</v>
      </c>
      <c r="Z32" s="634"/>
      <c r="AA32" s="634"/>
      <c r="AB32" s="637" t="s">
        <v>2176</v>
      </c>
      <c r="AC32" s="637"/>
      <c r="AD32" s="637"/>
      <c r="AE32" s="637"/>
      <c r="AF32" s="637"/>
      <c r="AG32" s="637"/>
      <c r="AH32" s="185"/>
      <c r="AI32" s="634" t="s">
        <v>2177</v>
      </c>
      <c r="AJ32" s="638"/>
    </row>
    <row r="33" spans="2:42" s="138" customFormat="1" ht="13.5" customHeight="1" thickBot="1">
      <c r="B33" s="139"/>
      <c r="C33" s="140"/>
      <c r="D33" s="140" t="s">
        <v>171</v>
      </c>
      <c r="E33" s="140"/>
      <c r="F33" s="140"/>
      <c r="G33" s="140"/>
      <c r="H33" s="140"/>
      <c r="I33" s="140"/>
      <c r="J33" s="140"/>
      <c r="K33" s="140" t="s">
        <v>170</v>
      </c>
      <c r="L33" s="140"/>
      <c r="M33" s="140"/>
      <c r="N33" s="140"/>
      <c r="O33" s="140"/>
      <c r="P33" s="265"/>
      <c r="Q33" s="265"/>
      <c r="R33" s="265"/>
      <c r="S33" s="140"/>
      <c r="T33" s="140" t="s">
        <v>169</v>
      </c>
      <c r="U33" s="265"/>
      <c r="V33" s="140"/>
      <c r="W33" s="140"/>
      <c r="X33" s="140"/>
      <c r="Y33" s="140"/>
      <c r="Z33" s="140"/>
      <c r="AA33" s="140"/>
      <c r="AB33" s="140"/>
      <c r="AC33" s="140"/>
      <c r="AD33" s="140" t="s">
        <v>168</v>
      </c>
      <c r="AE33" s="140"/>
      <c r="AF33" s="140"/>
      <c r="AG33" s="140"/>
      <c r="AH33" s="140"/>
      <c r="AI33" s="140"/>
      <c r="AJ33" s="141"/>
    </row>
    <row r="34" spans="2:42" s="138" customFormat="1" ht="13.5" customHeight="1">
      <c r="B34" s="127" t="s">
        <v>167</v>
      </c>
      <c r="C34" s="128"/>
      <c r="D34" s="128"/>
      <c r="E34" s="128" t="s">
        <v>166</v>
      </c>
      <c r="F34" s="128"/>
      <c r="G34" s="128"/>
      <c r="H34" s="128"/>
      <c r="I34" s="128" t="s">
        <v>165</v>
      </c>
      <c r="J34" s="128"/>
      <c r="K34" s="128"/>
      <c r="L34" s="128" t="s">
        <v>164</v>
      </c>
      <c r="M34" s="128"/>
      <c r="N34" s="128"/>
      <c r="O34" s="128"/>
      <c r="P34" s="266"/>
      <c r="Q34" s="266"/>
      <c r="R34" s="266"/>
      <c r="S34" s="128"/>
      <c r="T34" s="128"/>
      <c r="U34" s="266"/>
      <c r="V34" s="128"/>
      <c r="W34" s="129"/>
      <c r="X34" s="127" t="s">
        <v>163</v>
      </c>
      <c r="Y34" s="128"/>
      <c r="Z34" s="128"/>
      <c r="AA34" s="128"/>
      <c r="AB34" s="128"/>
      <c r="AC34" s="128"/>
      <c r="AD34" s="128"/>
      <c r="AE34" s="128"/>
      <c r="AF34" s="128"/>
      <c r="AG34" s="128"/>
      <c r="AH34" s="128"/>
      <c r="AI34" s="128"/>
      <c r="AJ34" s="129"/>
    </row>
    <row r="35" spans="2:42" s="138" customFormat="1" ht="7.5" customHeight="1">
      <c r="B35" s="142"/>
      <c r="C35" s="143"/>
      <c r="D35" s="143"/>
      <c r="E35" s="144"/>
      <c r="F35" s="143"/>
      <c r="G35" s="143"/>
      <c r="H35" s="143"/>
      <c r="I35" s="144"/>
      <c r="J35" s="143"/>
      <c r="K35" s="143"/>
      <c r="L35" s="143"/>
      <c r="M35" s="143"/>
      <c r="N35" s="143"/>
      <c r="O35" s="143"/>
      <c r="P35" s="267"/>
      <c r="Q35" s="267"/>
      <c r="R35" s="267"/>
      <c r="S35" s="143"/>
      <c r="T35" s="143"/>
      <c r="U35" s="267"/>
      <c r="V35" s="143"/>
      <c r="W35" s="145"/>
      <c r="X35" s="146"/>
      <c r="Y35" s="143"/>
      <c r="Z35" s="143"/>
      <c r="AA35" s="143"/>
      <c r="AB35" s="143"/>
      <c r="AC35" s="143"/>
      <c r="AD35" s="143"/>
      <c r="AE35" s="143"/>
      <c r="AF35" s="143"/>
      <c r="AG35" s="143"/>
      <c r="AH35" s="143"/>
      <c r="AI35" s="143"/>
      <c r="AJ35" s="145"/>
    </row>
    <row r="36" spans="2:42" s="138" customFormat="1" ht="13.5" customHeight="1" thickBot="1">
      <c r="B36" s="147"/>
      <c r="C36" s="148"/>
      <c r="D36" s="149"/>
      <c r="E36" s="148"/>
      <c r="F36" s="148"/>
      <c r="G36" s="148"/>
      <c r="H36" s="148"/>
      <c r="I36" s="148"/>
      <c r="J36" s="148"/>
      <c r="K36" s="148"/>
      <c r="L36" s="148"/>
      <c r="M36" s="148"/>
      <c r="N36" s="148"/>
      <c r="O36" s="148"/>
      <c r="P36" s="268"/>
      <c r="Q36" s="268" t="s">
        <v>162</v>
      </c>
      <c r="R36" s="268"/>
      <c r="S36" s="148"/>
      <c r="T36" s="148"/>
      <c r="U36" s="268"/>
      <c r="V36" s="148"/>
      <c r="W36" s="150"/>
      <c r="X36" s="147"/>
      <c r="Y36" s="148"/>
      <c r="Z36" s="148"/>
      <c r="AA36" s="148"/>
      <c r="AB36" s="148"/>
      <c r="AC36" s="148"/>
      <c r="AD36" s="148"/>
      <c r="AE36" s="148"/>
      <c r="AF36" s="148"/>
      <c r="AG36" s="148"/>
      <c r="AH36" s="148"/>
      <c r="AI36" s="148"/>
      <c r="AJ36" s="150"/>
    </row>
    <row r="37" spans="2:42" ht="8.25" customHeight="1">
      <c r="H37" s="666" t="s">
        <v>220</v>
      </c>
      <c r="I37" s="666"/>
      <c r="J37" s="666"/>
      <c r="K37" s="666"/>
      <c r="L37" s="666"/>
      <c r="M37" s="666"/>
      <c r="N37" s="666"/>
      <c r="O37" s="666"/>
      <c r="P37" s="666"/>
      <c r="Q37" s="666"/>
      <c r="R37" s="666"/>
      <c r="S37" s="666"/>
      <c r="T37" s="666"/>
      <c r="U37" s="666"/>
      <c r="V37" s="666"/>
      <c r="W37" s="666"/>
      <c r="X37" s="666"/>
      <c r="Y37" s="666"/>
      <c r="Z37" s="666"/>
    </row>
    <row r="38" spans="2:42" ht="12" customHeight="1">
      <c r="H38" s="666"/>
      <c r="I38" s="666"/>
      <c r="J38" s="666"/>
      <c r="K38" s="666"/>
      <c r="L38" s="666"/>
      <c r="M38" s="666"/>
      <c r="N38" s="666"/>
      <c r="O38" s="666"/>
      <c r="P38" s="666"/>
      <c r="Q38" s="666"/>
      <c r="R38" s="666"/>
      <c r="S38" s="666"/>
      <c r="T38" s="666"/>
      <c r="U38" s="666"/>
      <c r="V38" s="666"/>
      <c r="W38" s="666"/>
      <c r="X38" s="666"/>
      <c r="Y38" s="666"/>
      <c r="Z38" s="666"/>
    </row>
    <row r="39" spans="2:42">
      <c r="H39" s="666"/>
      <c r="I39" s="666"/>
      <c r="J39" s="666"/>
      <c r="K39" s="666"/>
      <c r="L39" s="666"/>
      <c r="M39" s="666"/>
      <c r="N39" s="666"/>
      <c r="O39" s="666"/>
      <c r="P39" s="666"/>
      <c r="Q39" s="666"/>
      <c r="R39" s="666"/>
      <c r="S39" s="666"/>
      <c r="T39" s="666"/>
      <c r="U39" s="666"/>
      <c r="V39" s="666"/>
      <c r="W39" s="666"/>
      <c r="X39" s="666"/>
      <c r="Y39" s="666"/>
      <c r="Z39" s="666"/>
    </row>
    <row r="40" spans="2:42" ht="9.75" customHeight="1">
      <c r="H40" s="666"/>
      <c r="I40" s="666"/>
      <c r="J40" s="666"/>
      <c r="K40" s="666"/>
      <c r="L40" s="666"/>
      <c r="M40" s="666"/>
      <c r="N40" s="666"/>
      <c r="O40" s="666"/>
      <c r="P40" s="666"/>
      <c r="Q40" s="666"/>
      <c r="R40" s="666"/>
      <c r="S40" s="666"/>
      <c r="T40" s="666"/>
      <c r="U40" s="666"/>
      <c r="V40" s="666"/>
      <c r="W40" s="666"/>
      <c r="X40" s="666"/>
      <c r="Y40" s="666"/>
      <c r="Z40" s="666"/>
    </row>
    <row r="41" spans="2:42" ht="12.75" customHeight="1">
      <c r="B41" s="131" t="s">
        <v>219</v>
      </c>
      <c r="C41" s="131"/>
      <c r="D41" s="131"/>
      <c r="E41" s="131"/>
      <c r="F41" s="131"/>
      <c r="G41" s="131"/>
      <c r="H41" s="131"/>
      <c r="I41" s="131"/>
      <c r="J41" s="131" t="s">
        <v>218</v>
      </c>
      <c r="K41" s="131"/>
      <c r="L41" s="131"/>
      <c r="M41" s="131"/>
      <c r="N41" s="131"/>
      <c r="O41" s="131"/>
      <c r="P41" s="264"/>
      <c r="Q41" s="264"/>
      <c r="R41" s="264"/>
      <c r="S41" s="131"/>
      <c r="T41" s="131"/>
      <c r="U41" s="264"/>
      <c r="V41" s="131"/>
      <c r="W41" s="131"/>
      <c r="X41" s="131"/>
      <c r="Y41" s="131"/>
      <c r="Z41" s="131"/>
      <c r="AA41" s="131"/>
      <c r="AB41" s="131"/>
      <c r="AC41" s="131"/>
      <c r="AD41" s="131"/>
      <c r="AE41" s="131"/>
      <c r="AF41" s="131"/>
      <c r="AG41" s="131"/>
      <c r="AH41" s="131"/>
      <c r="AI41" s="132" t="s">
        <v>217</v>
      </c>
      <c r="AJ41" s="138" t="s">
        <v>2178</v>
      </c>
    </row>
    <row r="42" spans="2:42" ht="3" customHeight="1" thickBot="1">
      <c r="B42" s="131"/>
      <c r="C42" s="131"/>
      <c r="D42" s="131"/>
      <c r="E42" s="131"/>
      <c r="F42" s="131"/>
      <c r="G42" s="131"/>
      <c r="H42" s="131"/>
      <c r="I42" s="131"/>
      <c r="J42" s="131"/>
      <c r="K42" s="131"/>
      <c r="L42" s="131"/>
      <c r="M42" s="131"/>
      <c r="N42" s="131"/>
      <c r="O42" s="131"/>
      <c r="P42" s="264"/>
      <c r="Q42" s="264"/>
      <c r="R42" s="264"/>
      <c r="S42" s="131"/>
      <c r="T42" s="131"/>
      <c r="U42" s="264"/>
      <c r="V42" s="131"/>
      <c r="W42" s="131"/>
      <c r="X42" s="131"/>
      <c r="Y42" s="131"/>
      <c r="Z42" s="131"/>
      <c r="AA42" s="131"/>
      <c r="AB42" s="131"/>
      <c r="AC42" s="131"/>
      <c r="AD42" s="131"/>
      <c r="AE42" s="131"/>
      <c r="AF42" s="131"/>
      <c r="AG42" s="131"/>
      <c r="AH42" s="131"/>
      <c r="AI42" s="131"/>
      <c r="AJ42" s="131"/>
    </row>
    <row r="43" spans="2:42">
      <c r="B43" s="92" t="s">
        <v>387</v>
      </c>
      <c r="C43" s="93"/>
      <c r="D43" s="93"/>
      <c r="E43" s="133"/>
      <c r="F43" s="93"/>
      <c r="G43" s="93"/>
      <c r="H43" s="93"/>
      <c r="I43" s="134" t="s">
        <v>285</v>
      </c>
      <c r="J43" s="639" t="s">
        <v>216</v>
      </c>
      <c r="K43" s="640"/>
      <c r="L43" s="640"/>
      <c r="M43" s="640"/>
      <c r="N43" s="640"/>
      <c r="O43" s="641"/>
      <c r="P43" s="639" t="s">
        <v>215</v>
      </c>
      <c r="Q43" s="640"/>
      <c r="R43" s="640"/>
      <c r="S43" s="640"/>
      <c r="T43" s="640"/>
      <c r="U43" s="640"/>
      <c r="V43" s="640"/>
      <c r="W43" s="641"/>
      <c r="X43" s="639" t="s">
        <v>214</v>
      </c>
      <c r="Y43" s="640"/>
      <c r="Z43" s="640"/>
      <c r="AA43" s="641"/>
      <c r="AB43" s="639" t="s">
        <v>213</v>
      </c>
      <c r="AC43" s="640"/>
      <c r="AD43" s="640"/>
      <c r="AE43" s="640"/>
      <c r="AF43" s="640"/>
      <c r="AG43" s="640"/>
      <c r="AH43" s="640"/>
      <c r="AI43" s="640"/>
      <c r="AJ43" s="641"/>
      <c r="AO43" s="660"/>
      <c r="AP43" s="660"/>
    </row>
    <row r="44" spans="2:42" ht="12" thickBot="1">
      <c r="B44" s="655" t="s">
        <v>74</v>
      </c>
      <c r="C44" s="656"/>
      <c r="D44" s="656"/>
      <c r="E44" s="656"/>
      <c r="F44" s="656"/>
      <c r="G44" s="656"/>
      <c r="H44" s="656"/>
      <c r="I44" s="657"/>
      <c r="J44" s="655" t="s">
        <v>212</v>
      </c>
      <c r="K44" s="656"/>
      <c r="L44" s="656"/>
      <c r="M44" s="656"/>
      <c r="N44" s="656"/>
      <c r="O44" s="657"/>
      <c r="P44" s="667">
        <v>43839</v>
      </c>
      <c r="Q44" s="649"/>
      <c r="R44" s="649"/>
      <c r="S44" s="649"/>
      <c r="T44" s="649"/>
      <c r="U44" s="649"/>
      <c r="V44" s="649"/>
      <c r="W44" s="650"/>
      <c r="X44" s="655"/>
      <c r="Y44" s="656"/>
      <c r="Z44" s="656"/>
      <c r="AA44" s="657"/>
      <c r="AB44" s="655"/>
      <c r="AC44" s="656"/>
      <c r="AD44" s="656"/>
      <c r="AE44" s="656"/>
      <c r="AF44" s="656"/>
      <c r="AG44" s="656"/>
      <c r="AH44" s="656"/>
      <c r="AI44" s="656"/>
      <c r="AJ44" s="657"/>
      <c r="AO44" s="660"/>
      <c r="AP44" s="660"/>
    </row>
    <row r="45" spans="2:42">
      <c r="B45" s="92" t="s">
        <v>211</v>
      </c>
      <c r="C45" s="93"/>
      <c r="D45" s="93" t="s">
        <v>210</v>
      </c>
      <c r="E45" s="133"/>
      <c r="F45" s="664"/>
      <c r="G45" s="664"/>
      <c r="H45" s="664"/>
      <c r="I45" s="665"/>
      <c r="J45" s="639" t="s">
        <v>209</v>
      </c>
      <c r="K45" s="640"/>
      <c r="L45" s="640"/>
      <c r="M45" s="640"/>
      <c r="N45" s="640"/>
      <c r="O45" s="641"/>
      <c r="P45" s="639" t="s">
        <v>208</v>
      </c>
      <c r="Q45" s="640"/>
      <c r="R45" s="640"/>
      <c r="S45" s="640"/>
      <c r="T45" s="640"/>
      <c r="U45" s="640"/>
      <c r="V45" s="640"/>
      <c r="W45" s="641"/>
      <c r="X45" s="639" t="s">
        <v>207</v>
      </c>
      <c r="Y45" s="640"/>
      <c r="Z45" s="640"/>
      <c r="AA45" s="640"/>
      <c r="AB45" s="640"/>
      <c r="AC45" s="640"/>
      <c r="AD45" s="640"/>
      <c r="AE45" s="640"/>
      <c r="AF45" s="640"/>
      <c r="AG45" s="640"/>
      <c r="AH45" s="640"/>
      <c r="AI45" s="640"/>
      <c r="AJ45" s="641"/>
      <c r="AO45" s="660"/>
      <c r="AP45" s="660"/>
    </row>
    <row r="46" spans="2:42" ht="12" thickBot="1">
      <c r="B46" s="648" t="s">
        <v>1182</v>
      </c>
      <c r="C46" s="649"/>
      <c r="D46" s="649"/>
      <c r="E46" s="649"/>
      <c r="F46" s="649"/>
      <c r="G46" s="649"/>
      <c r="H46" s="649"/>
      <c r="I46" s="650"/>
      <c r="J46" s="655" t="s">
        <v>206</v>
      </c>
      <c r="K46" s="656"/>
      <c r="L46" s="656"/>
      <c r="M46" s="656"/>
      <c r="N46" s="656"/>
      <c r="O46" s="657"/>
      <c r="P46" s="655"/>
      <c r="Q46" s="656"/>
      <c r="R46" s="656"/>
      <c r="S46" s="656"/>
      <c r="T46" s="656"/>
      <c r="U46" s="656"/>
      <c r="V46" s="656"/>
      <c r="W46" s="657"/>
      <c r="X46" s="648" t="s">
        <v>2170</v>
      </c>
      <c r="Y46" s="649"/>
      <c r="Z46" s="649"/>
      <c r="AA46" s="649"/>
      <c r="AB46" s="649"/>
      <c r="AC46" s="649"/>
      <c r="AD46" s="649"/>
      <c r="AE46" s="649"/>
      <c r="AF46" s="649"/>
      <c r="AG46" s="649"/>
      <c r="AH46" s="649"/>
      <c r="AI46" s="649"/>
      <c r="AJ46" s="650"/>
      <c r="AO46" s="660"/>
      <c r="AP46" s="660"/>
    </row>
    <row r="47" spans="2:42">
      <c r="B47" s="92" t="s">
        <v>388</v>
      </c>
      <c r="C47" s="93"/>
      <c r="D47" s="93"/>
      <c r="E47" s="93"/>
      <c r="F47" s="93"/>
      <c r="G47" s="93"/>
      <c r="H47" s="93"/>
      <c r="I47" s="254" t="s">
        <v>285</v>
      </c>
      <c r="J47" s="639" t="s">
        <v>205</v>
      </c>
      <c r="K47" s="640"/>
      <c r="L47" s="640"/>
      <c r="M47" s="640"/>
      <c r="N47" s="640"/>
      <c r="O47" s="641"/>
      <c r="P47" s="639" t="s">
        <v>204</v>
      </c>
      <c r="Q47" s="640"/>
      <c r="R47" s="640"/>
      <c r="S47" s="640"/>
      <c r="T47" s="640"/>
      <c r="U47" s="640"/>
      <c r="V47" s="640"/>
      <c r="W47" s="641"/>
      <c r="X47" s="639" t="s">
        <v>203</v>
      </c>
      <c r="Y47" s="640"/>
      <c r="Z47" s="640"/>
      <c r="AA47" s="640"/>
      <c r="AB47" s="640"/>
      <c r="AC47" s="640"/>
      <c r="AD47" s="640"/>
      <c r="AE47" s="640"/>
      <c r="AF47" s="640"/>
      <c r="AG47" s="640"/>
      <c r="AH47" s="640"/>
      <c r="AI47" s="640"/>
      <c r="AJ47" s="641"/>
      <c r="AO47" s="660"/>
      <c r="AP47" s="660"/>
    </row>
    <row r="48" spans="2:42" ht="12" thickBot="1">
      <c r="B48" s="655" t="s">
        <v>74</v>
      </c>
      <c r="C48" s="656"/>
      <c r="D48" s="656"/>
      <c r="E48" s="656"/>
      <c r="F48" s="656"/>
      <c r="G48" s="656"/>
      <c r="H48" s="656"/>
      <c r="I48" s="657"/>
      <c r="J48" s="655" t="s">
        <v>106</v>
      </c>
      <c r="K48" s="656"/>
      <c r="L48" s="656"/>
      <c r="M48" s="656"/>
      <c r="N48" s="656"/>
      <c r="O48" s="657"/>
      <c r="P48" s="655" t="s">
        <v>201</v>
      </c>
      <c r="Q48" s="656"/>
      <c r="R48" s="656"/>
      <c r="S48" s="656"/>
      <c r="T48" s="656"/>
      <c r="U48" s="656"/>
      <c r="V48" s="656"/>
      <c r="W48" s="657"/>
      <c r="X48" s="655"/>
      <c r="Y48" s="656"/>
      <c r="Z48" s="656"/>
      <c r="AA48" s="656"/>
      <c r="AB48" s="656"/>
      <c r="AC48" s="656"/>
      <c r="AD48" s="656"/>
      <c r="AE48" s="656"/>
      <c r="AF48" s="656"/>
      <c r="AG48" s="656"/>
      <c r="AH48" s="656"/>
      <c r="AI48" s="656"/>
      <c r="AJ48" s="657"/>
      <c r="AO48" s="660"/>
      <c r="AP48" s="660"/>
    </row>
    <row r="49" spans="2:42">
      <c r="B49" s="639" t="s">
        <v>200</v>
      </c>
      <c r="C49" s="640"/>
      <c r="D49" s="640"/>
      <c r="E49" s="640"/>
      <c r="F49" s="640"/>
      <c r="G49" s="640"/>
      <c r="H49" s="640"/>
      <c r="I49" s="641"/>
      <c r="J49" s="661" t="s">
        <v>283</v>
      </c>
      <c r="K49" s="661"/>
      <c r="L49" s="661"/>
      <c r="M49" s="661"/>
      <c r="N49" s="661"/>
      <c r="O49" s="661"/>
      <c r="P49" s="639" t="s">
        <v>284</v>
      </c>
      <c r="Q49" s="640"/>
      <c r="R49" s="640"/>
      <c r="S49" s="640"/>
      <c r="T49" s="640"/>
      <c r="U49" s="640"/>
      <c r="V49" s="640"/>
      <c r="W49" s="641"/>
      <c r="X49" s="639" t="s">
        <v>199</v>
      </c>
      <c r="Y49" s="640"/>
      <c r="Z49" s="640"/>
      <c r="AA49" s="640"/>
      <c r="AB49" s="639" t="s">
        <v>198</v>
      </c>
      <c r="AC49" s="640"/>
      <c r="AD49" s="640"/>
      <c r="AE49" s="640"/>
      <c r="AF49" s="640"/>
      <c r="AG49" s="640"/>
      <c r="AH49" s="640"/>
      <c r="AI49" s="640"/>
      <c r="AJ49" s="641"/>
      <c r="AO49" s="654"/>
      <c r="AP49" s="654"/>
    </row>
    <row r="50" spans="2:42" ht="12" thickBot="1">
      <c r="B50" s="655"/>
      <c r="C50" s="656"/>
      <c r="D50" s="656"/>
      <c r="E50" s="656"/>
      <c r="F50" s="656"/>
      <c r="G50" s="656"/>
      <c r="H50" s="656"/>
      <c r="I50" s="657"/>
      <c r="J50" s="646" t="s">
        <v>2171</v>
      </c>
      <c r="K50" s="646"/>
      <c r="L50" s="646"/>
      <c r="M50" s="646"/>
      <c r="N50" s="646"/>
      <c r="O50" s="646"/>
      <c r="P50" s="648" t="s">
        <v>2171</v>
      </c>
      <c r="Q50" s="649"/>
      <c r="R50" s="649"/>
      <c r="S50" s="649"/>
      <c r="T50" s="649"/>
      <c r="U50" s="649"/>
      <c r="V50" s="649"/>
      <c r="W50" s="650"/>
      <c r="X50" s="662" t="s">
        <v>2171</v>
      </c>
      <c r="Y50" s="663"/>
      <c r="Z50" s="663"/>
      <c r="AA50" s="663"/>
      <c r="AB50" s="655" t="s">
        <v>197</v>
      </c>
      <c r="AC50" s="656"/>
      <c r="AD50" s="656"/>
      <c r="AE50" s="656"/>
      <c r="AF50" s="656"/>
      <c r="AG50" s="656"/>
      <c r="AH50" s="656"/>
      <c r="AI50" s="656"/>
      <c r="AJ50" s="657"/>
      <c r="AO50" s="654"/>
      <c r="AP50" s="654"/>
    </row>
    <row r="51" spans="2:42">
      <c r="B51" s="639" t="s">
        <v>196</v>
      </c>
      <c r="C51" s="640"/>
      <c r="D51" s="640"/>
      <c r="E51" s="640"/>
      <c r="F51" s="640"/>
      <c r="G51" s="640"/>
      <c r="H51" s="640"/>
      <c r="I51" s="641"/>
      <c r="J51" s="639" t="s">
        <v>195</v>
      </c>
      <c r="K51" s="641"/>
      <c r="L51" s="639" t="s">
        <v>194</v>
      </c>
      <c r="M51" s="640"/>
      <c r="N51" s="640"/>
      <c r="O51" s="641"/>
      <c r="P51" s="639" t="s">
        <v>193</v>
      </c>
      <c r="Q51" s="640"/>
      <c r="R51" s="640"/>
      <c r="S51" s="640"/>
      <c r="T51" s="641"/>
      <c r="U51" s="639" t="s">
        <v>192</v>
      </c>
      <c r="V51" s="640"/>
      <c r="W51" s="641"/>
      <c r="X51" s="639" t="s">
        <v>191</v>
      </c>
      <c r="Y51" s="640"/>
      <c r="Z51" s="640"/>
      <c r="AA51" s="641"/>
      <c r="AB51" s="639" t="s">
        <v>190</v>
      </c>
      <c r="AC51" s="640"/>
      <c r="AD51" s="640"/>
      <c r="AE51" s="640"/>
      <c r="AF51" s="641"/>
      <c r="AG51" s="639" t="s">
        <v>189</v>
      </c>
      <c r="AH51" s="640"/>
      <c r="AI51" s="640"/>
      <c r="AJ51" s="641"/>
      <c r="AO51" s="654"/>
      <c r="AP51" s="654"/>
    </row>
    <row r="52" spans="2:42" ht="12.75" customHeight="1" thickBot="1">
      <c r="B52" s="655" t="s">
        <v>188</v>
      </c>
      <c r="C52" s="656"/>
      <c r="D52" s="656"/>
      <c r="E52" s="656"/>
      <c r="F52" s="656"/>
      <c r="G52" s="656"/>
      <c r="H52" s="656"/>
      <c r="I52" s="657"/>
      <c r="J52" s="648">
        <v>1</v>
      </c>
      <c r="K52" s="650"/>
      <c r="L52" s="648">
        <v>10</v>
      </c>
      <c r="M52" s="649"/>
      <c r="N52" s="649"/>
      <c r="O52" s="650"/>
      <c r="P52" s="648">
        <v>3266</v>
      </c>
      <c r="Q52" s="649"/>
      <c r="R52" s="649"/>
      <c r="S52" s="649"/>
      <c r="T52" s="650"/>
      <c r="U52" s="655" t="s">
        <v>187</v>
      </c>
      <c r="V52" s="656"/>
      <c r="W52" s="657"/>
      <c r="X52" s="655"/>
      <c r="Y52" s="658"/>
      <c r="Z52" s="658"/>
      <c r="AA52" s="659"/>
      <c r="AB52" s="655"/>
      <c r="AC52" s="656"/>
      <c r="AD52" s="656"/>
      <c r="AE52" s="656"/>
      <c r="AF52" s="657"/>
      <c r="AG52" s="655"/>
      <c r="AH52" s="656"/>
      <c r="AI52" s="656"/>
      <c r="AJ52" s="657"/>
      <c r="AO52" s="654"/>
      <c r="AP52" s="654"/>
    </row>
    <row r="53" spans="2:42">
      <c r="B53" s="639" t="s">
        <v>186</v>
      </c>
      <c r="C53" s="640"/>
      <c r="D53" s="640"/>
      <c r="E53" s="640"/>
      <c r="F53" s="640"/>
      <c r="G53" s="640"/>
      <c r="H53" s="640"/>
      <c r="I53" s="640"/>
      <c r="J53" s="640"/>
      <c r="K53" s="640"/>
      <c r="L53" s="640"/>
      <c r="M53" s="640"/>
      <c r="N53" s="640"/>
      <c r="O53" s="640"/>
      <c r="P53" s="640"/>
      <c r="Q53" s="640"/>
      <c r="R53" s="640"/>
      <c r="S53" s="640"/>
      <c r="T53" s="640"/>
      <c r="U53" s="640"/>
      <c r="V53" s="640"/>
      <c r="W53" s="640"/>
      <c r="X53" s="640"/>
      <c r="Y53" s="640"/>
      <c r="Z53" s="640"/>
      <c r="AA53" s="640"/>
      <c r="AB53" s="640"/>
      <c r="AC53" s="640"/>
      <c r="AD53" s="640"/>
      <c r="AE53" s="640"/>
      <c r="AF53" s="640"/>
      <c r="AG53" s="640"/>
      <c r="AH53" s="640"/>
      <c r="AI53" s="640"/>
      <c r="AJ53" s="641"/>
    </row>
    <row r="54" spans="2:42" ht="3" customHeight="1" thickBot="1">
      <c r="B54" s="642"/>
      <c r="C54" s="643"/>
      <c r="D54" s="643"/>
      <c r="E54" s="643"/>
      <c r="F54" s="643"/>
      <c r="G54" s="643"/>
      <c r="H54" s="643"/>
      <c r="I54" s="643"/>
      <c r="J54" s="643"/>
      <c r="K54" s="643"/>
      <c r="L54" s="643"/>
      <c r="M54" s="643"/>
      <c r="N54" s="643"/>
      <c r="O54" s="643"/>
      <c r="P54" s="643"/>
      <c r="Q54" s="643"/>
      <c r="R54" s="643"/>
      <c r="S54" s="643"/>
      <c r="T54" s="643"/>
      <c r="U54" s="643"/>
      <c r="V54" s="643"/>
      <c r="W54" s="643"/>
      <c r="X54" s="643"/>
      <c r="Y54" s="643"/>
      <c r="Z54" s="643"/>
      <c r="AA54" s="643"/>
      <c r="AB54" s="643"/>
      <c r="AC54" s="643"/>
      <c r="AD54" s="643"/>
      <c r="AE54" s="643"/>
      <c r="AF54" s="643"/>
      <c r="AG54" s="643"/>
      <c r="AH54" s="643"/>
      <c r="AI54" s="643"/>
      <c r="AJ54" s="644"/>
    </row>
    <row r="55" spans="2:42">
      <c r="B55" s="639" t="s">
        <v>185</v>
      </c>
      <c r="C55" s="640"/>
      <c r="D55" s="640"/>
      <c r="E55" s="640"/>
      <c r="F55" s="640"/>
      <c r="G55" s="640"/>
      <c r="H55" s="640"/>
      <c r="I55" s="640"/>
      <c r="J55" s="640"/>
      <c r="K55" s="640"/>
      <c r="L55" s="640"/>
      <c r="M55" s="640"/>
      <c r="N55" s="640"/>
      <c r="O55" s="640"/>
      <c r="P55" s="640"/>
      <c r="Q55" s="640"/>
      <c r="R55" s="640"/>
      <c r="S55" s="640"/>
      <c r="T55" s="640"/>
      <c r="U55" s="640"/>
      <c r="V55" s="640"/>
      <c r="W55" s="640"/>
      <c r="X55" s="640"/>
      <c r="Y55" s="640"/>
      <c r="Z55" s="640"/>
      <c r="AA55" s="640"/>
      <c r="AB55" s="640"/>
      <c r="AC55" s="640"/>
      <c r="AD55" s="640"/>
      <c r="AE55" s="640"/>
      <c r="AF55" s="640"/>
      <c r="AG55" s="640"/>
      <c r="AH55" s="640"/>
      <c r="AI55" s="640"/>
      <c r="AJ55" s="641"/>
    </row>
    <row r="56" spans="2:42">
      <c r="B56" s="645" t="s">
        <v>2172</v>
      </c>
      <c r="C56" s="646"/>
      <c r="D56" s="646"/>
      <c r="E56" s="646"/>
      <c r="F56" s="646"/>
      <c r="G56" s="646"/>
      <c r="H56" s="646"/>
      <c r="I56" s="646"/>
      <c r="J56" s="646"/>
      <c r="K56" s="646"/>
      <c r="L56" s="646"/>
      <c r="M56" s="646"/>
      <c r="N56" s="646"/>
      <c r="O56" s="646"/>
      <c r="P56" s="646"/>
      <c r="Q56" s="646"/>
      <c r="R56" s="646"/>
      <c r="S56" s="646"/>
      <c r="T56" s="646"/>
      <c r="U56" s="646"/>
      <c r="V56" s="646"/>
      <c r="W56" s="646"/>
      <c r="X56" s="646"/>
      <c r="Y56" s="646"/>
      <c r="Z56" s="646"/>
      <c r="AA56" s="646"/>
      <c r="AB56" s="646"/>
      <c r="AC56" s="646"/>
      <c r="AD56" s="646"/>
      <c r="AE56" s="646"/>
      <c r="AF56" s="646"/>
      <c r="AG56" s="646"/>
      <c r="AH56" s="646"/>
      <c r="AI56" s="646"/>
      <c r="AJ56" s="647"/>
    </row>
    <row r="57" spans="2:42" ht="3.75" customHeight="1" thickBot="1">
      <c r="B57" s="648"/>
      <c r="C57" s="649"/>
      <c r="D57" s="649"/>
      <c r="E57" s="649"/>
      <c r="F57" s="649"/>
      <c r="G57" s="649"/>
      <c r="H57" s="649"/>
      <c r="I57" s="649"/>
      <c r="J57" s="649"/>
      <c r="K57" s="649"/>
      <c r="L57" s="649"/>
      <c r="M57" s="649"/>
      <c r="N57" s="649"/>
      <c r="O57" s="649"/>
      <c r="P57" s="649"/>
      <c r="Q57" s="649"/>
      <c r="R57" s="649"/>
      <c r="S57" s="649"/>
      <c r="T57" s="649"/>
      <c r="U57" s="649"/>
      <c r="V57" s="649"/>
      <c r="W57" s="649"/>
      <c r="X57" s="649"/>
      <c r="Y57" s="649"/>
      <c r="Z57" s="649"/>
      <c r="AA57" s="649"/>
      <c r="AB57" s="649"/>
      <c r="AC57" s="649"/>
      <c r="AD57" s="649"/>
      <c r="AE57" s="649"/>
      <c r="AF57" s="649"/>
      <c r="AG57" s="649"/>
      <c r="AH57" s="649"/>
      <c r="AI57" s="649"/>
      <c r="AJ57" s="650"/>
    </row>
    <row r="58" spans="2:42" s="137" customFormat="1" ht="10.5" thickBot="1">
      <c r="B58" s="136" t="s">
        <v>184</v>
      </c>
      <c r="C58" s="651" t="s">
        <v>183</v>
      </c>
      <c r="D58" s="651"/>
      <c r="E58" s="651" t="s">
        <v>182</v>
      </c>
      <c r="F58" s="651"/>
      <c r="G58" s="651"/>
      <c r="H58" s="651"/>
      <c r="I58" s="651"/>
      <c r="J58" s="651"/>
      <c r="K58" s="651"/>
      <c r="L58" s="651"/>
      <c r="M58" s="651"/>
      <c r="N58" s="651"/>
      <c r="O58" s="651"/>
      <c r="P58" s="651" t="s">
        <v>181</v>
      </c>
      <c r="Q58" s="651"/>
      <c r="R58" s="651"/>
      <c r="S58" s="651"/>
      <c r="T58" s="651" t="s">
        <v>180</v>
      </c>
      <c r="U58" s="651"/>
      <c r="V58" s="651"/>
      <c r="W58" s="651" t="s">
        <v>179</v>
      </c>
      <c r="X58" s="651"/>
      <c r="Y58" s="652" t="s">
        <v>178</v>
      </c>
      <c r="Z58" s="652"/>
      <c r="AA58" s="652"/>
      <c r="AB58" s="652"/>
      <c r="AC58" s="652" t="s">
        <v>177</v>
      </c>
      <c r="AD58" s="652"/>
      <c r="AE58" s="652"/>
      <c r="AF58" s="652"/>
      <c r="AG58" s="652"/>
      <c r="AH58" s="652"/>
      <c r="AI58" s="651" t="s">
        <v>176</v>
      </c>
      <c r="AJ58" s="653"/>
    </row>
    <row r="59" spans="2:42" s="156" customFormat="1" ht="25.5" customHeight="1" thickBot="1">
      <c r="B59" s="152" t="s">
        <v>2179</v>
      </c>
      <c r="C59" s="634" t="s">
        <v>1198</v>
      </c>
      <c r="D59" s="634"/>
      <c r="E59" s="635" t="s">
        <v>1198</v>
      </c>
      <c r="F59" s="635"/>
      <c r="G59" s="635"/>
      <c r="H59" s="635"/>
      <c r="I59" s="635"/>
      <c r="J59" s="635"/>
      <c r="K59" s="635"/>
      <c r="L59" s="635"/>
      <c r="M59" s="635"/>
      <c r="N59" s="635"/>
      <c r="O59" s="635"/>
      <c r="P59" s="636">
        <v>0</v>
      </c>
      <c r="Q59" s="636"/>
      <c r="R59" s="636"/>
      <c r="S59" s="251" t="s">
        <v>2179</v>
      </c>
      <c r="T59" s="157" t="s">
        <v>1198</v>
      </c>
      <c r="U59" s="270">
        <v>0</v>
      </c>
      <c r="V59" s="154" t="s">
        <v>2179</v>
      </c>
      <c r="W59" s="634" t="s">
        <v>2179</v>
      </c>
      <c r="X59" s="634"/>
      <c r="Y59" s="634" t="s">
        <v>2179</v>
      </c>
      <c r="Z59" s="634"/>
      <c r="AA59" s="634"/>
      <c r="AB59" s="637" t="s">
        <v>2179</v>
      </c>
      <c r="AC59" s="637"/>
      <c r="AD59" s="637"/>
      <c r="AE59" s="637"/>
      <c r="AF59" s="637"/>
      <c r="AG59" s="637"/>
      <c r="AH59" s="252"/>
      <c r="AI59" s="634" t="s">
        <v>2179</v>
      </c>
      <c r="AJ59" s="638"/>
    </row>
    <row r="60" spans="2:42" s="156" customFormat="1" ht="25.5" customHeight="1" thickBot="1">
      <c r="B60" s="152" t="s">
        <v>2179</v>
      </c>
      <c r="C60" s="634" t="s">
        <v>1198</v>
      </c>
      <c r="D60" s="634"/>
      <c r="E60" s="635" t="s">
        <v>1198</v>
      </c>
      <c r="F60" s="635"/>
      <c r="G60" s="635"/>
      <c r="H60" s="635"/>
      <c r="I60" s="635"/>
      <c r="J60" s="635"/>
      <c r="K60" s="635"/>
      <c r="L60" s="635"/>
      <c r="M60" s="635"/>
      <c r="N60" s="635"/>
      <c r="O60" s="635"/>
      <c r="P60" s="636">
        <v>0</v>
      </c>
      <c r="Q60" s="636"/>
      <c r="R60" s="636"/>
      <c r="S60" s="251" t="s">
        <v>2179</v>
      </c>
      <c r="T60" s="157" t="s">
        <v>1198</v>
      </c>
      <c r="U60" s="270">
        <v>0</v>
      </c>
      <c r="V60" s="154" t="s">
        <v>2179</v>
      </c>
      <c r="W60" s="634" t="s">
        <v>2179</v>
      </c>
      <c r="X60" s="634"/>
      <c r="Y60" s="634" t="s">
        <v>2179</v>
      </c>
      <c r="Z60" s="634"/>
      <c r="AA60" s="634"/>
      <c r="AB60" s="637" t="s">
        <v>2179</v>
      </c>
      <c r="AC60" s="637"/>
      <c r="AD60" s="637"/>
      <c r="AE60" s="637"/>
      <c r="AF60" s="637"/>
      <c r="AG60" s="637"/>
      <c r="AH60" s="252"/>
      <c r="AI60" s="634" t="s">
        <v>2179</v>
      </c>
      <c r="AJ60" s="638"/>
    </row>
    <row r="61" spans="2:42" s="156" customFormat="1" ht="25.5" customHeight="1" thickBot="1">
      <c r="B61" s="152" t="s">
        <v>2179</v>
      </c>
      <c r="C61" s="634" t="s">
        <v>1198</v>
      </c>
      <c r="D61" s="634"/>
      <c r="E61" s="635" t="s">
        <v>1198</v>
      </c>
      <c r="F61" s="635"/>
      <c r="G61" s="635"/>
      <c r="H61" s="635"/>
      <c r="I61" s="635"/>
      <c r="J61" s="635"/>
      <c r="K61" s="635"/>
      <c r="L61" s="635"/>
      <c r="M61" s="635"/>
      <c r="N61" s="635"/>
      <c r="O61" s="635"/>
      <c r="P61" s="636">
        <v>0</v>
      </c>
      <c r="Q61" s="636"/>
      <c r="R61" s="636"/>
      <c r="S61" s="251" t="s">
        <v>2179</v>
      </c>
      <c r="T61" s="157" t="s">
        <v>1198</v>
      </c>
      <c r="U61" s="270">
        <v>0</v>
      </c>
      <c r="V61" s="154" t="s">
        <v>2179</v>
      </c>
      <c r="W61" s="634" t="s">
        <v>2179</v>
      </c>
      <c r="X61" s="634"/>
      <c r="Y61" s="634" t="s">
        <v>2179</v>
      </c>
      <c r="Z61" s="634"/>
      <c r="AA61" s="634"/>
      <c r="AB61" s="637" t="s">
        <v>2179</v>
      </c>
      <c r="AC61" s="637"/>
      <c r="AD61" s="637"/>
      <c r="AE61" s="637"/>
      <c r="AF61" s="637"/>
      <c r="AG61" s="637"/>
      <c r="AH61" s="252"/>
      <c r="AI61" s="634" t="s">
        <v>2179</v>
      </c>
      <c r="AJ61" s="638"/>
    </row>
    <row r="62" spans="2:42" s="156" customFormat="1" ht="25.5" customHeight="1" thickBot="1">
      <c r="B62" s="152" t="s">
        <v>2179</v>
      </c>
      <c r="C62" s="634" t="s">
        <v>1198</v>
      </c>
      <c r="D62" s="634"/>
      <c r="E62" s="635" t="s">
        <v>1198</v>
      </c>
      <c r="F62" s="635"/>
      <c r="G62" s="635"/>
      <c r="H62" s="635"/>
      <c r="I62" s="635"/>
      <c r="J62" s="635"/>
      <c r="K62" s="635"/>
      <c r="L62" s="635"/>
      <c r="M62" s="635"/>
      <c r="N62" s="635"/>
      <c r="O62" s="635"/>
      <c r="P62" s="636">
        <v>0</v>
      </c>
      <c r="Q62" s="636"/>
      <c r="R62" s="636"/>
      <c r="S62" s="251" t="s">
        <v>2179</v>
      </c>
      <c r="T62" s="157" t="s">
        <v>1198</v>
      </c>
      <c r="U62" s="270">
        <v>0</v>
      </c>
      <c r="V62" s="154" t="s">
        <v>2179</v>
      </c>
      <c r="W62" s="634" t="s">
        <v>2179</v>
      </c>
      <c r="X62" s="634"/>
      <c r="Y62" s="634" t="s">
        <v>2179</v>
      </c>
      <c r="Z62" s="634"/>
      <c r="AA62" s="634"/>
      <c r="AB62" s="637" t="s">
        <v>2179</v>
      </c>
      <c r="AC62" s="637"/>
      <c r="AD62" s="637"/>
      <c r="AE62" s="637"/>
      <c r="AF62" s="637"/>
      <c r="AG62" s="637"/>
      <c r="AH62" s="252"/>
      <c r="AI62" s="634" t="s">
        <v>2179</v>
      </c>
      <c r="AJ62" s="638"/>
    </row>
    <row r="63" spans="2:42" s="156" customFormat="1" ht="25.5" customHeight="1" thickBot="1">
      <c r="B63" s="152" t="s">
        <v>2179</v>
      </c>
      <c r="C63" s="634" t="s">
        <v>1198</v>
      </c>
      <c r="D63" s="634"/>
      <c r="E63" s="635" t="s">
        <v>1198</v>
      </c>
      <c r="F63" s="635"/>
      <c r="G63" s="635"/>
      <c r="H63" s="635"/>
      <c r="I63" s="635"/>
      <c r="J63" s="635"/>
      <c r="K63" s="635"/>
      <c r="L63" s="635"/>
      <c r="M63" s="635"/>
      <c r="N63" s="635"/>
      <c r="O63" s="635"/>
      <c r="P63" s="636">
        <v>0</v>
      </c>
      <c r="Q63" s="636"/>
      <c r="R63" s="636"/>
      <c r="S63" s="251" t="s">
        <v>2179</v>
      </c>
      <c r="T63" s="157" t="s">
        <v>1198</v>
      </c>
      <c r="U63" s="270">
        <v>0</v>
      </c>
      <c r="V63" s="154" t="s">
        <v>2179</v>
      </c>
      <c r="W63" s="634" t="s">
        <v>2179</v>
      </c>
      <c r="X63" s="634"/>
      <c r="Y63" s="634" t="s">
        <v>2179</v>
      </c>
      <c r="Z63" s="634"/>
      <c r="AA63" s="634"/>
      <c r="AB63" s="637" t="s">
        <v>2179</v>
      </c>
      <c r="AC63" s="637"/>
      <c r="AD63" s="637"/>
      <c r="AE63" s="637"/>
      <c r="AF63" s="637"/>
      <c r="AG63" s="637"/>
      <c r="AH63" s="252"/>
      <c r="AI63" s="634" t="s">
        <v>2179</v>
      </c>
      <c r="AJ63" s="638"/>
    </row>
    <row r="64" spans="2:42" s="156" customFormat="1" ht="25.5" customHeight="1" thickBot="1">
      <c r="B64" s="152" t="s">
        <v>2179</v>
      </c>
      <c r="C64" s="634" t="s">
        <v>1198</v>
      </c>
      <c r="D64" s="634"/>
      <c r="E64" s="635" t="s">
        <v>1198</v>
      </c>
      <c r="F64" s="635"/>
      <c r="G64" s="635"/>
      <c r="H64" s="635"/>
      <c r="I64" s="635"/>
      <c r="J64" s="635"/>
      <c r="K64" s="635"/>
      <c r="L64" s="635"/>
      <c r="M64" s="635"/>
      <c r="N64" s="635"/>
      <c r="O64" s="635"/>
      <c r="P64" s="636">
        <v>0</v>
      </c>
      <c r="Q64" s="636"/>
      <c r="R64" s="636"/>
      <c r="S64" s="251" t="s">
        <v>2179</v>
      </c>
      <c r="T64" s="157" t="s">
        <v>1198</v>
      </c>
      <c r="U64" s="270">
        <v>0</v>
      </c>
      <c r="V64" s="154" t="s">
        <v>2179</v>
      </c>
      <c r="W64" s="634" t="s">
        <v>2179</v>
      </c>
      <c r="X64" s="634"/>
      <c r="Y64" s="634" t="s">
        <v>2179</v>
      </c>
      <c r="Z64" s="634"/>
      <c r="AA64" s="634"/>
      <c r="AB64" s="637" t="s">
        <v>2179</v>
      </c>
      <c r="AC64" s="637"/>
      <c r="AD64" s="637"/>
      <c r="AE64" s="637"/>
      <c r="AF64" s="637"/>
      <c r="AG64" s="637"/>
      <c r="AH64" s="252"/>
      <c r="AI64" s="634" t="s">
        <v>2179</v>
      </c>
      <c r="AJ64" s="638"/>
    </row>
    <row r="65" spans="2:42" s="156" customFormat="1" ht="25.5" customHeight="1" thickBot="1">
      <c r="B65" s="152" t="s">
        <v>2179</v>
      </c>
      <c r="C65" s="634" t="s">
        <v>1198</v>
      </c>
      <c r="D65" s="634"/>
      <c r="E65" s="635" t="s">
        <v>1198</v>
      </c>
      <c r="F65" s="635"/>
      <c r="G65" s="635"/>
      <c r="H65" s="635"/>
      <c r="I65" s="635"/>
      <c r="J65" s="635"/>
      <c r="K65" s="635"/>
      <c r="L65" s="635"/>
      <c r="M65" s="635"/>
      <c r="N65" s="635"/>
      <c r="O65" s="635"/>
      <c r="P65" s="636">
        <v>0</v>
      </c>
      <c r="Q65" s="636"/>
      <c r="R65" s="636"/>
      <c r="S65" s="251" t="s">
        <v>2179</v>
      </c>
      <c r="T65" s="157" t="s">
        <v>1198</v>
      </c>
      <c r="U65" s="270">
        <v>0</v>
      </c>
      <c r="V65" s="154" t="s">
        <v>2179</v>
      </c>
      <c r="W65" s="634" t="s">
        <v>2179</v>
      </c>
      <c r="X65" s="634"/>
      <c r="Y65" s="634" t="s">
        <v>2179</v>
      </c>
      <c r="Z65" s="634"/>
      <c r="AA65" s="634"/>
      <c r="AB65" s="637" t="s">
        <v>2179</v>
      </c>
      <c r="AC65" s="637"/>
      <c r="AD65" s="637"/>
      <c r="AE65" s="637"/>
      <c r="AF65" s="637"/>
      <c r="AG65" s="637"/>
      <c r="AH65" s="252"/>
      <c r="AI65" s="634" t="s">
        <v>2179</v>
      </c>
      <c r="AJ65" s="638"/>
    </row>
    <row r="66" spans="2:42" s="156" customFormat="1" ht="25.5" customHeight="1" thickBot="1">
      <c r="B66" s="152" t="s">
        <v>2179</v>
      </c>
      <c r="C66" s="634" t="s">
        <v>1198</v>
      </c>
      <c r="D66" s="634"/>
      <c r="E66" s="635" t="s">
        <v>1198</v>
      </c>
      <c r="F66" s="635"/>
      <c r="G66" s="635"/>
      <c r="H66" s="635"/>
      <c r="I66" s="635"/>
      <c r="J66" s="635"/>
      <c r="K66" s="635"/>
      <c r="L66" s="635"/>
      <c r="M66" s="635"/>
      <c r="N66" s="635"/>
      <c r="O66" s="635"/>
      <c r="P66" s="636">
        <v>0</v>
      </c>
      <c r="Q66" s="636"/>
      <c r="R66" s="636"/>
      <c r="S66" s="251" t="s">
        <v>2179</v>
      </c>
      <c r="T66" s="157" t="s">
        <v>1198</v>
      </c>
      <c r="U66" s="270">
        <v>0</v>
      </c>
      <c r="V66" s="154" t="s">
        <v>2179</v>
      </c>
      <c r="W66" s="634" t="s">
        <v>2179</v>
      </c>
      <c r="X66" s="634"/>
      <c r="Y66" s="634" t="s">
        <v>2179</v>
      </c>
      <c r="Z66" s="634"/>
      <c r="AA66" s="634"/>
      <c r="AB66" s="637" t="s">
        <v>2179</v>
      </c>
      <c r="AC66" s="637"/>
      <c r="AD66" s="637"/>
      <c r="AE66" s="637"/>
      <c r="AF66" s="637"/>
      <c r="AG66" s="637"/>
      <c r="AH66" s="252"/>
      <c r="AI66" s="634" t="s">
        <v>2179</v>
      </c>
      <c r="AJ66" s="638"/>
    </row>
    <row r="67" spans="2:42" s="156" customFormat="1" ht="25.5" customHeight="1" thickBot="1">
      <c r="B67" s="152" t="s">
        <v>2179</v>
      </c>
      <c r="C67" s="634" t="s">
        <v>1198</v>
      </c>
      <c r="D67" s="634"/>
      <c r="E67" s="635" t="s">
        <v>1198</v>
      </c>
      <c r="F67" s="635"/>
      <c r="G67" s="635"/>
      <c r="H67" s="635"/>
      <c r="I67" s="635"/>
      <c r="J67" s="635"/>
      <c r="K67" s="635"/>
      <c r="L67" s="635"/>
      <c r="M67" s="635"/>
      <c r="N67" s="635"/>
      <c r="O67" s="635"/>
      <c r="P67" s="636">
        <v>0</v>
      </c>
      <c r="Q67" s="636"/>
      <c r="R67" s="636"/>
      <c r="S67" s="251" t="s">
        <v>2179</v>
      </c>
      <c r="T67" s="157" t="s">
        <v>1198</v>
      </c>
      <c r="U67" s="270">
        <v>0</v>
      </c>
      <c r="V67" s="154" t="s">
        <v>2179</v>
      </c>
      <c r="W67" s="634" t="s">
        <v>2179</v>
      </c>
      <c r="X67" s="634"/>
      <c r="Y67" s="634" t="s">
        <v>2179</v>
      </c>
      <c r="Z67" s="634"/>
      <c r="AA67" s="634"/>
      <c r="AB67" s="637" t="s">
        <v>2179</v>
      </c>
      <c r="AC67" s="637"/>
      <c r="AD67" s="637"/>
      <c r="AE67" s="637"/>
      <c r="AF67" s="637"/>
      <c r="AG67" s="637"/>
      <c r="AH67" s="252"/>
      <c r="AI67" s="634" t="s">
        <v>2179</v>
      </c>
      <c r="AJ67" s="638"/>
    </row>
    <row r="68" spans="2:42" s="156" customFormat="1" ht="25.5" customHeight="1" thickBot="1">
      <c r="B68" s="152" t="s">
        <v>2179</v>
      </c>
      <c r="C68" s="634" t="s">
        <v>1198</v>
      </c>
      <c r="D68" s="634"/>
      <c r="E68" s="635" t="s">
        <v>1198</v>
      </c>
      <c r="F68" s="635"/>
      <c r="G68" s="635"/>
      <c r="H68" s="635"/>
      <c r="I68" s="635"/>
      <c r="J68" s="635"/>
      <c r="K68" s="635"/>
      <c r="L68" s="635"/>
      <c r="M68" s="635"/>
      <c r="N68" s="635"/>
      <c r="O68" s="635"/>
      <c r="P68" s="636">
        <v>0</v>
      </c>
      <c r="Q68" s="636"/>
      <c r="R68" s="636"/>
      <c r="S68" s="251" t="s">
        <v>2179</v>
      </c>
      <c r="T68" s="157" t="s">
        <v>1198</v>
      </c>
      <c r="U68" s="270">
        <v>0</v>
      </c>
      <c r="V68" s="154" t="s">
        <v>2179</v>
      </c>
      <c r="W68" s="634" t="s">
        <v>2179</v>
      </c>
      <c r="X68" s="634"/>
      <c r="Y68" s="634" t="s">
        <v>2179</v>
      </c>
      <c r="Z68" s="634"/>
      <c r="AA68" s="634"/>
      <c r="AB68" s="637" t="s">
        <v>2179</v>
      </c>
      <c r="AC68" s="637"/>
      <c r="AD68" s="637"/>
      <c r="AE68" s="637"/>
      <c r="AF68" s="637"/>
      <c r="AG68" s="637"/>
      <c r="AH68" s="252"/>
      <c r="AI68" s="634" t="s">
        <v>2179</v>
      </c>
      <c r="AJ68" s="638"/>
    </row>
    <row r="69" spans="2:42" s="138" customFormat="1" ht="13.5" customHeight="1" thickBot="1">
      <c r="B69" s="139"/>
      <c r="C69" s="140"/>
      <c r="D69" s="140" t="s">
        <v>171</v>
      </c>
      <c r="E69" s="140"/>
      <c r="F69" s="140"/>
      <c r="G69" s="140"/>
      <c r="H69" s="140"/>
      <c r="I69" s="140"/>
      <c r="J69" s="140"/>
      <c r="K69" s="140" t="s">
        <v>170</v>
      </c>
      <c r="L69" s="140"/>
      <c r="M69" s="140"/>
      <c r="N69" s="140"/>
      <c r="O69" s="140"/>
      <c r="P69" s="265"/>
      <c r="Q69" s="265"/>
      <c r="R69" s="265"/>
      <c r="S69" s="140"/>
      <c r="T69" s="157" t="s">
        <v>1198</v>
      </c>
      <c r="U69" s="265"/>
      <c r="V69" s="140"/>
      <c r="W69" s="140"/>
      <c r="X69" s="140"/>
      <c r="Y69" s="140"/>
      <c r="Z69" s="140"/>
      <c r="AA69" s="140"/>
      <c r="AB69" s="140"/>
      <c r="AC69" s="140"/>
      <c r="AD69" s="140" t="s">
        <v>168</v>
      </c>
      <c r="AE69" s="140"/>
      <c r="AF69" s="140"/>
      <c r="AG69" s="140"/>
      <c r="AH69" s="140"/>
      <c r="AI69" s="140"/>
      <c r="AJ69" s="141"/>
    </row>
    <row r="70" spans="2:42" s="138" customFormat="1" ht="13.5" customHeight="1">
      <c r="B70" s="255" t="s">
        <v>167</v>
      </c>
      <c r="C70" s="256"/>
      <c r="D70" s="256"/>
      <c r="E70" s="256" t="s">
        <v>166</v>
      </c>
      <c r="F70" s="256"/>
      <c r="G70" s="256"/>
      <c r="H70" s="256"/>
      <c r="I70" s="256" t="s">
        <v>165</v>
      </c>
      <c r="J70" s="256"/>
      <c r="K70" s="256"/>
      <c r="L70" s="256" t="s">
        <v>164</v>
      </c>
      <c r="M70" s="256"/>
      <c r="N70" s="256"/>
      <c r="O70" s="256"/>
      <c r="P70" s="266"/>
      <c r="Q70" s="266"/>
      <c r="R70" s="266"/>
      <c r="S70" s="256"/>
      <c r="T70" s="256"/>
      <c r="U70" s="266"/>
      <c r="V70" s="256"/>
      <c r="W70" s="257"/>
      <c r="X70" s="255" t="s">
        <v>163</v>
      </c>
      <c r="Y70" s="256"/>
      <c r="Z70" s="256"/>
      <c r="AA70" s="256"/>
      <c r="AB70" s="256"/>
      <c r="AC70" s="256"/>
      <c r="AD70" s="256"/>
      <c r="AE70" s="256"/>
      <c r="AF70" s="256"/>
      <c r="AG70" s="256"/>
      <c r="AH70" s="256"/>
      <c r="AI70" s="256"/>
      <c r="AJ70" s="257"/>
    </row>
    <row r="71" spans="2:42" s="138" customFormat="1" ht="7.5" customHeight="1">
      <c r="B71" s="142"/>
      <c r="C71" s="258"/>
      <c r="D71" s="258"/>
      <c r="E71" s="144"/>
      <c r="F71" s="258"/>
      <c r="G71" s="258"/>
      <c r="H71" s="258"/>
      <c r="I71" s="144"/>
      <c r="J71" s="258"/>
      <c r="K71" s="258"/>
      <c r="L71" s="258"/>
      <c r="M71" s="258"/>
      <c r="N71" s="258"/>
      <c r="O71" s="258"/>
      <c r="P71" s="267"/>
      <c r="Q71" s="267"/>
      <c r="R71" s="267"/>
      <c r="S71" s="258"/>
      <c r="T71" s="258"/>
      <c r="U71" s="267"/>
      <c r="V71" s="258"/>
      <c r="W71" s="145"/>
      <c r="X71" s="146"/>
      <c r="Y71" s="258"/>
      <c r="Z71" s="258"/>
      <c r="AA71" s="258"/>
      <c r="AB71" s="258"/>
      <c r="AC71" s="258"/>
      <c r="AD71" s="258"/>
      <c r="AE71" s="258"/>
      <c r="AF71" s="258"/>
      <c r="AG71" s="258"/>
      <c r="AH71" s="258"/>
      <c r="AI71" s="258"/>
      <c r="AJ71" s="145"/>
    </row>
    <row r="72" spans="2:42" s="138" customFormat="1" ht="13.5" customHeight="1" thickBot="1">
      <c r="B72" s="259"/>
      <c r="C72" s="260"/>
      <c r="D72" s="253"/>
      <c r="E72" s="260"/>
      <c r="F72" s="260"/>
      <c r="G72" s="260"/>
      <c r="H72" s="260"/>
      <c r="I72" s="260"/>
      <c r="J72" s="260"/>
      <c r="K72" s="260"/>
      <c r="L72" s="260"/>
      <c r="M72" s="260"/>
      <c r="N72" s="260"/>
      <c r="O72" s="260"/>
      <c r="P72" s="268"/>
      <c r="Q72" s="268" t="s">
        <v>162</v>
      </c>
      <c r="R72" s="268"/>
      <c r="S72" s="260"/>
      <c r="T72" s="260"/>
      <c r="U72" s="268"/>
      <c r="V72" s="260"/>
      <c r="W72" s="261"/>
      <c r="X72" s="259"/>
      <c r="Y72" s="260"/>
      <c r="Z72" s="260"/>
      <c r="AA72" s="260"/>
      <c r="AB72" s="260"/>
      <c r="AC72" s="260"/>
      <c r="AD72" s="260"/>
      <c r="AE72" s="260"/>
      <c r="AF72" s="260"/>
      <c r="AG72" s="260"/>
      <c r="AH72" s="260"/>
      <c r="AI72" s="260"/>
      <c r="AJ72" s="261"/>
    </row>
    <row r="73" spans="2:42" ht="8.25" customHeight="1">
      <c r="H73" s="666" t="s">
        <v>220</v>
      </c>
      <c r="I73" s="666"/>
      <c r="J73" s="666"/>
      <c r="K73" s="666"/>
      <c r="L73" s="666"/>
      <c r="M73" s="666"/>
      <c r="N73" s="666"/>
      <c r="O73" s="666"/>
      <c r="P73" s="666"/>
      <c r="Q73" s="666"/>
      <c r="R73" s="666"/>
      <c r="S73" s="666"/>
      <c r="T73" s="666"/>
      <c r="U73" s="666"/>
      <c r="V73" s="666"/>
      <c r="W73" s="666"/>
      <c r="X73" s="666"/>
      <c r="Y73" s="666"/>
      <c r="Z73" s="666"/>
    </row>
    <row r="74" spans="2:42" ht="12" customHeight="1">
      <c r="H74" s="666"/>
      <c r="I74" s="666"/>
      <c r="J74" s="666"/>
      <c r="K74" s="666"/>
      <c r="L74" s="666"/>
      <c r="M74" s="666"/>
      <c r="N74" s="666"/>
      <c r="O74" s="666"/>
      <c r="P74" s="666"/>
      <c r="Q74" s="666"/>
      <c r="R74" s="666"/>
      <c r="S74" s="666"/>
      <c r="T74" s="666"/>
      <c r="U74" s="666"/>
      <c r="V74" s="666"/>
      <c r="W74" s="666"/>
      <c r="X74" s="666"/>
      <c r="Y74" s="666"/>
      <c r="Z74" s="666"/>
    </row>
    <row r="75" spans="2:42">
      <c r="H75" s="666"/>
      <c r="I75" s="666"/>
      <c r="J75" s="666"/>
      <c r="K75" s="666"/>
      <c r="L75" s="666"/>
      <c r="M75" s="666"/>
      <c r="N75" s="666"/>
      <c r="O75" s="666"/>
      <c r="P75" s="666"/>
      <c r="Q75" s="666"/>
      <c r="R75" s="666"/>
      <c r="S75" s="666"/>
      <c r="T75" s="666"/>
      <c r="U75" s="666"/>
      <c r="V75" s="666"/>
      <c r="W75" s="666"/>
      <c r="X75" s="666"/>
      <c r="Y75" s="666"/>
      <c r="Z75" s="666"/>
    </row>
    <row r="76" spans="2:42" ht="9.75" customHeight="1">
      <c r="H76" s="666"/>
      <c r="I76" s="666"/>
      <c r="J76" s="666"/>
      <c r="K76" s="666"/>
      <c r="L76" s="666"/>
      <c r="M76" s="666"/>
      <c r="N76" s="666"/>
      <c r="O76" s="666"/>
      <c r="P76" s="666"/>
      <c r="Q76" s="666"/>
      <c r="R76" s="666"/>
      <c r="S76" s="666"/>
      <c r="T76" s="666"/>
      <c r="U76" s="666"/>
      <c r="V76" s="666"/>
      <c r="W76" s="666"/>
      <c r="X76" s="666"/>
      <c r="Y76" s="666"/>
      <c r="Z76" s="666"/>
    </row>
    <row r="77" spans="2:42" ht="12.75" customHeight="1">
      <c r="B77" s="131" t="s">
        <v>219</v>
      </c>
      <c r="C77" s="131"/>
      <c r="D77" s="131"/>
      <c r="E77" s="131"/>
      <c r="F77" s="131"/>
      <c r="G77" s="131"/>
      <c r="H77" s="131"/>
      <c r="I77" s="131"/>
      <c r="J77" s="131" t="s">
        <v>218</v>
      </c>
      <c r="K77" s="131"/>
      <c r="L77" s="131"/>
      <c r="M77" s="131"/>
      <c r="N77" s="131"/>
      <c r="O77" s="131"/>
      <c r="P77" s="264"/>
      <c r="Q77" s="264"/>
      <c r="R77" s="264"/>
      <c r="S77" s="131"/>
      <c r="T77" s="131"/>
      <c r="U77" s="264"/>
      <c r="V77" s="131"/>
      <c r="W77" s="131"/>
      <c r="X77" s="131"/>
      <c r="Y77" s="131"/>
      <c r="Z77" s="131"/>
      <c r="AA77" s="131"/>
      <c r="AB77" s="131"/>
      <c r="AC77" s="131"/>
      <c r="AD77" s="131"/>
      <c r="AE77" s="131"/>
      <c r="AF77" s="131"/>
      <c r="AG77" s="131"/>
      <c r="AH77" s="131"/>
      <c r="AI77" s="132" t="s">
        <v>217</v>
      </c>
      <c r="AJ77" s="138" t="s">
        <v>2180</v>
      </c>
    </row>
    <row r="78" spans="2:42" ht="3" customHeight="1" thickBot="1">
      <c r="B78" s="131"/>
      <c r="C78" s="131"/>
      <c r="D78" s="131"/>
      <c r="E78" s="131"/>
      <c r="F78" s="131"/>
      <c r="G78" s="131"/>
      <c r="H78" s="131"/>
      <c r="I78" s="131"/>
      <c r="J78" s="131"/>
      <c r="K78" s="131"/>
      <c r="L78" s="131"/>
      <c r="M78" s="131"/>
      <c r="N78" s="131"/>
      <c r="O78" s="131"/>
      <c r="P78" s="264"/>
      <c r="Q78" s="264"/>
      <c r="R78" s="264"/>
      <c r="S78" s="131"/>
      <c r="T78" s="131"/>
      <c r="U78" s="264"/>
      <c r="V78" s="131"/>
      <c r="W78" s="131"/>
      <c r="X78" s="131"/>
      <c r="Y78" s="131"/>
      <c r="Z78" s="131"/>
      <c r="AA78" s="131"/>
      <c r="AB78" s="131"/>
      <c r="AC78" s="131"/>
      <c r="AD78" s="131"/>
      <c r="AE78" s="131"/>
      <c r="AF78" s="131"/>
      <c r="AG78" s="131"/>
      <c r="AH78" s="131"/>
      <c r="AI78" s="131"/>
      <c r="AJ78" s="131"/>
    </row>
    <row r="79" spans="2:42">
      <c r="B79" s="92" t="s">
        <v>387</v>
      </c>
      <c r="C79" s="93"/>
      <c r="D79" s="93"/>
      <c r="E79" s="133"/>
      <c r="F79" s="93"/>
      <c r="G79" s="93"/>
      <c r="H79" s="93"/>
      <c r="I79" s="134" t="s">
        <v>285</v>
      </c>
      <c r="J79" s="639" t="s">
        <v>216</v>
      </c>
      <c r="K79" s="640"/>
      <c r="L79" s="640"/>
      <c r="M79" s="640"/>
      <c r="N79" s="640"/>
      <c r="O79" s="641"/>
      <c r="P79" s="639" t="s">
        <v>215</v>
      </c>
      <c r="Q79" s="640"/>
      <c r="R79" s="640"/>
      <c r="S79" s="640"/>
      <c r="T79" s="640"/>
      <c r="U79" s="640"/>
      <c r="V79" s="640"/>
      <c r="W79" s="641"/>
      <c r="X79" s="639" t="s">
        <v>214</v>
      </c>
      <c r="Y79" s="640"/>
      <c r="Z79" s="640"/>
      <c r="AA79" s="641"/>
      <c r="AB79" s="639" t="s">
        <v>213</v>
      </c>
      <c r="AC79" s="640"/>
      <c r="AD79" s="640"/>
      <c r="AE79" s="640"/>
      <c r="AF79" s="640"/>
      <c r="AG79" s="640"/>
      <c r="AH79" s="640"/>
      <c r="AI79" s="640"/>
      <c r="AJ79" s="641"/>
      <c r="AO79" s="660"/>
      <c r="AP79" s="660"/>
    </row>
    <row r="80" spans="2:42" ht="12" thickBot="1">
      <c r="B80" s="655" t="s">
        <v>74</v>
      </c>
      <c r="C80" s="656"/>
      <c r="D80" s="656"/>
      <c r="E80" s="656"/>
      <c r="F80" s="656"/>
      <c r="G80" s="656"/>
      <c r="H80" s="656"/>
      <c r="I80" s="657"/>
      <c r="J80" s="655" t="s">
        <v>212</v>
      </c>
      <c r="K80" s="656"/>
      <c r="L80" s="656"/>
      <c r="M80" s="656"/>
      <c r="N80" s="656"/>
      <c r="O80" s="657"/>
      <c r="P80" s="667">
        <v>43839</v>
      </c>
      <c r="Q80" s="649"/>
      <c r="R80" s="649"/>
      <c r="S80" s="649"/>
      <c r="T80" s="649"/>
      <c r="U80" s="649"/>
      <c r="V80" s="649"/>
      <c r="W80" s="650"/>
      <c r="X80" s="655"/>
      <c r="Y80" s="656"/>
      <c r="Z80" s="656"/>
      <c r="AA80" s="657"/>
      <c r="AB80" s="655"/>
      <c r="AC80" s="656"/>
      <c r="AD80" s="656"/>
      <c r="AE80" s="656"/>
      <c r="AF80" s="656"/>
      <c r="AG80" s="656"/>
      <c r="AH80" s="656"/>
      <c r="AI80" s="656"/>
      <c r="AJ80" s="657"/>
      <c r="AO80" s="660"/>
      <c r="AP80" s="660"/>
    </row>
    <row r="81" spans="2:42">
      <c r="B81" s="92" t="s">
        <v>211</v>
      </c>
      <c r="C81" s="93"/>
      <c r="D81" s="93" t="s">
        <v>210</v>
      </c>
      <c r="E81" s="133"/>
      <c r="F81" s="664"/>
      <c r="G81" s="664"/>
      <c r="H81" s="664"/>
      <c r="I81" s="665"/>
      <c r="J81" s="639" t="s">
        <v>209</v>
      </c>
      <c r="K81" s="640"/>
      <c r="L81" s="640"/>
      <c r="M81" s="640"/>
      <c r="N81" s="640"/>
      <c r="O81" s="641"/>
      <c r="P81" s="639" t="s">
        <v>208</v>
      </c>
      <c r="Q81" s="640"/>
      <c r="R81" s="640"/>
      <c r="S81" s="640"/>
      <c r="T81" s="640"/>
      <c r="U81" s="640"/>
      <c r="V81" s="640"/>
      <c r="W81" s="641"/>
      <c r="X81" s="639" t="s">
        <v>207</v>
      </c>
      <c r="Y81" s="640"/>
      <c r="Z81" s="640"/>
      <c r="AA81" s="640"/>
      <c r="AB81" s="640"/>
      <c r="AC81" s="640"/>
      <c r="AD81" s="640"/>
      <c r="AE81" s="640"/>
      <c r="AF81" s="640"/>
      <c r="AG81" s="640"/>
      <c r="AH81" s="640"/>
      <c r="AI81" s="640"/>
      <c r="AJ81" s="641"/>
      <c r="AO81" s="660"/>
      <c r="AP81" s="660"/>
    </row>
    <row r="82" spans="2:42" ht="12" thickBot="1">
      <c r="B82" s="648" t="s">
        <v>1182</v>
      </c>
      <c r="C82" s="649"/>
      <c r="D82" s="649"/>
      <c r="E82" s="649"/>
      <c r="F82" s="649"/>
      <c r="G82" s="649"/>
      <c r="H82" s="649"/>
      <c r="I82" s="650"/>
      <c r="J82" s="655" t="s">
        <v>206</v>
      </c>
      <c r="K82" s="656"/>
      <c r="L82" s="656"/>
      <c r="M82" s="656"/>
      <c r="N82" s="656"/>
      <c r="O82" s="657"/>
      <c r="P82" s="655"/>
      <c r="Q82" s="656"/>
      <c r="R82" s="656"/>
      <c r="S82" s="656"/>
      <c r="T82" s="656"/>
      <c r="U82" s="656"/>
      <c r="V82" s="656"/>
      <c r="W82" s="657"/>
      <c r="X82" s="648" t="s">
        <v>2170</v>
      </c>
      <c r="Y82" s="649"/>
      <c r="Z82" s="649"/>
      <c r="AA82" s="649"/>
      <c r="AB82" s="649"/>
      <c r="AC82" s="649"/>
      <c r="AD82" s="649"/>
      <c r="AE82" s="649"/>
      <c r="AF82" s="649"/>
      <c r="AG82" s="649"/>
      <c r="AH82" s="649"/>
      <c r="AI82" s="649"/>
      <c r="AJ82" s="650"/>
      <c r="AO82" s="660"/>
      <c r="AP82" s="660"/>
    </row>
    <row r="83" spans="2:42">
      <c r="B83" s="92" t="s">
        <v>388</v>
      </c>
      <c r="C83" s="93"/>
      <c r="D83" s="93"/>
      <c r="E83" s="93"/>
      <c r="F83" s="93"/>
      <c r="G83" s="93"/>
      <c r="H83" s="93"/>
      <c r="I83" s="254" t="s">
        <v>285</v>
      </c>
      <c r="J83" s="639" t="s">
        <v>205</v>
      </c>
      <c r="K83" s="640"/>
      <c r="L83" s="640"/>
      <c r="M83" s="640"/>
      <c r="N83" s="640"/>
      <c r="O83" s="641"/>
      <c r="P83" s="639" t="s">
        <v>204</v>
      </c>
      <c r="Q83" s="640"/>
      <c r="R83" s="640"/>
      <c r="S83" s="640"/>
      <c r="T83" s="640"/>
      <c r="U83" s="640"/>
      <c r="V83" s="640"/>
      <c r="W83" s="641"/>
      <c r="X83" s="639" t="s">
        <v>203</v>
      </c>
      <c r="Y83" s="640"/>
      <c r="Z83" s="640"/>
      <c r="AA83" s="640"/>
      <c r="AB83" s="640"/>
      <c r="AC83" s="640"/>
      <c r="AD83" s="640"/>
      <c r="AE83" s="640"/>
      <c r="AF83" s="640"/>
      <c r="AG83" s="640"/>
      <c r="AH83" s="640"/>
      <c r="AI83" s="640"/>
      <c r="AJ83" s="641"/>
      <c r="AO83" s="660"/>
      <c r="AP83" s="660"/>
    </row>
    <row r="84" spans="2:42" ht="12" thickBot="1">
      <c r="B84" s="655" t="s">
        <v>74</v>
      </c>
      <c r="C84" s="656"/>
      <c r="D84" s="656"/>
      <c r="E84" s="656"/>
      <c r="F84" s="656"/>
      <c r="G84" s="656"/>
      <c r="H84" s="656"/>
      <c r="I84" s="657"/>
      <c r="J84" s="655" t="s">
        <v>106</v>
      </c>
      <c r="K84" s="656"/>
      <c r="L84" s="656"/>
      <c r="M84" s="656"/>
      <c r="N84" s="656"/>
      <c r="O84" s="657"/>
      <c r="P84" s="655" t="s">
        <v>201</v>
      </c>
      <c r="Q84" s="656"/>
      <c r="R84" s="656"/>
      <c r="S84" s="656"/>
      <c r="T84" s="656"/>
      <c r="U84" s="656"/>
      <c r="V84" s="656"/>
      <c r="W84" s="657"/>
      <c r="X84" s="655"/>
      <c r="Y84" s="656"/>
      <c r="Z84" s="656"/>
      <c r="AA84" s="656"/>
      <c r="AB84" s="656"/>
      <c r="AC84" s="656"/>
      <c r="AD84" s="656"/>
      <c r="AE84" s="656"/>
      <c r="AF84" s="656"/>
      <c r="AG84" s="656"/>
      <c r="AH84" s="656"/>
      <c r="AI84" s="656"/>
      <c r="AJ84" s="657"/>
      <c r="AO84" s="660"/>
      <c r="AP84" s="660"/>
    </row>
    <row r="85" spans="2:42">
      <c r="B85" s="639" t="s">
        <v>200</v>
      </c>
      <c r="C85" s="640"/>
      <c r="D85" s="640"/>
      <c r="E85" s="640"/>
      <c r="F85" s="640"/>
      <c r="G85" s="640"/>
      <c r="H85" s="640"/>
      <c r="I85" s="641"/>
      <c r="J85" s="661" t="s">
        <v>283</v>
      </c>
      <c r="K85" s="661"/>
      <c r="L85" s="661"/>
      <c r="M85" s="661"/>
      <c r="N85" s="661"/>
      <c r="O85" s="661"/>
      <c r="P85" s="639" t="s">
        <v>284</v>
      </c>
      <c r="Q85" s="640"/>
      <c r="R85" s="640"/>
      <c r="S85" s="640"/>
      <c r="T85" s="640"/>
      <c r="U85" s="640"/>
      <c r="V85" s="640"/>
      <c r="W85" s="641"/>
      <c r="X85" s="639" t="s">
        <v>199</v>
      </c>
      <c r="Y85" s="640"/>
      <c r="Z85" s="640"/>
      <c r="AA85" s="640"/>
      <c r="AB85" s="639" t="s">
        <v>198</v>
      </c>
      <c r="AC85" s="640"/>
      <c r="AD85" s="640"/>
      <c r="AE85" s="640"/>
      <c r="AF85" s="640"/>
      <c r="AG85" s="640"/>
      <c r="AH85" s="640"/>
      <c r="AI85" s="640"/>
      <c r="AJ85" s="641"/>
      <c r="AO85" s="654"/>
      <c r="AP85" s="654"/>
    </row>
    <row r="86" spans="2:42" ht="12" thickBot="1">
      <c r="B86" s="655"/>
      <c r="C86" s="656"/>
      <c r="D86" s="656"/>
      <c r="E86" s="656"/>
      <c r="F86" s="656"/>
      <c r="G86" s="656"/>
      <c r="H86" s="656"/>
      <c r="I86" s="657"/>
      <c r="J86" s="646" t="s">
        <v>2171</v>
      </c>
      <c r="K86" s="646"/>
      <c r="L86" s="646"/>
      <c r="M86" s="646"/>
      <c r="N86" s="646"/>
      <c r="O86" s="646"/>
      <c r="P86" s="648" t="s">
        <v>2171</v>
      </c>
      <c r="Q86" s="649"/>
      <c r="R86" s="649"/>
      <c r="S86" s="649"/>
      <c r="T86" s="649"/>
      <c r="U86" s="649"/>
      <c r="V86" s="649"/>
      <c r="W86" s="650"/>
      <c r="X86" s="662" t="s">
        <v>2171</v>
      </c>
      <c r="Y86" s="663"/>
      <c r="Z86" s="663"/>
      <c r="AA86" s="663"/>
      <c r="AB86" s="655" t="s">
        <v>197</v>
      </c>
      <c r="AC86" s="656"/>
      <c r="AD86" s="656"/>
      <c r="AE86" s="656"/>
      <c r="AF86" s="656"/>
      <c r="AG86" s="656"/>
      <c r="AH86" s="656"/>
      <c r="AI86" s="656"/>
      <c r="AJ86" s="657"/>
      <c r="AO86" s="654"/>
      <c r="AP86" s="654"/>
    </row>
    <row r="87" spans="2:42">
      <c r="B87" s="639" t="s">
        <v>196</v>
      </c>
      <c r="C87" s="640"/>
      <c r="D87" s="640"/>
      <c r="E87" s="640"/>
      <c r="F87" s="640"/>
      <c r="G87" s="640"/>
      <c r="H87" s="640"/>
      <c r="I87" s="641"/>
      <c r="J87" s="639" t="s">
        <v>195</v>
      </c>
      <c r="K87" s="641"/>
      <c r="L87" s="639" t="s">
        <v>194</v>
      </c>
      <c r="M87" s="640"/>
      <c r="N87" s="640"/>
      <c r="O87" s="641"/>
      <c r="P87" s="639" t="s">
        <v>193</v>
      </c>
      <c r="Q87" s="640"/>
      <c r="R87" s="640"/>
      <c r="S87" s="640"/>
      <c r="T87" s="641"/>
      <c r="U87" s="639" t="s">
        <v>192</v>
      </c>
      <c r="V87" s="640"/>
      <c r="W87" s="641"/>
      <c r="X87" s="639" t="s">
        <v>191</v>
      </c>
      <c r="Y87" s="640"/>
      <c r="Z87" s="640"/>
      <c r="AA87" s="641"/>
      <c r="AB87" s="639" t="s">
        <v>190</v>
      </c>
      <c r="AC87" s="640"/>
      <c r="AD87" s="640"/>
      <c r="AE87" s="640"/>
      <c r="AF87" s="641"/>
      <c r="AG87" s="639" t="s">
        <v>189</v>
      </c>
      <c r="AH87" s="640"/>
      <c r="AI87" s="640"/>
      <c r="AJ87" s="641"/>
      <c r="AO87" s="654"/>
      <c r="AP87" s="654"/>
    </row>
    <row r="88" spans="2:42" ht="12.75" customHeight="1" thickBot="1">
      <c r="B88" s="655" t="s">
        <v>188</v>
      </c>
      <c r="C88" s="656"/>
      <c r="D88" s="656"/>
      <c r="E88" s="656"/>
      <c r="F88" s="656"/>
      <c r="G88" s="656"/>
      <c r="H88" s="656"/>
      <c r="I88" s="657"/>
      <c r="J88" s="648">
        <v>1</v>
      </c>
      <c r="K88" s="650"/>
      <c r="L88" s="648">
        <v>10</v>
      </c>
      <c r="M88" s="649"/>
      <c r="N88" s="649"/>
      <c r="O88" s="650"/>
      <c r="P88" s="648">
        <v>3266</v>
      </c>
      <c r="Q88" s="649"/>
      <c r="R88" s="649"/>
      <c r="S88" s="649"/>
      <c r="T88" s="650"/>
      <c r="U88" s="655" t="s">
        <v>187</v>
      </c>
      <c r="V88" s="656"/>
      <c r="W88" s="657"/>
      <c r="X88" s="655"/>
      <c r="Y88" s="658"/>
      <c r="Z88" s="658"/>
      <c r="AA88" s="659"/>
      <c r="AB88" s="655"/>
      <c r="AC88" s="656"/>
      <c r="AD88" s="656"/>
      <c r="AE88" s="656"/>
      <c r="AF88" s="657"/>
      <c r="AG88" s="655"/>
      <c r="AH88" s="656"/>
      <c r="AI88" s="656"/>
      <c r="AJ88" s="657"/>
      <c r="AO88" s="654"/>
      <c r="AP88" s="654"/>
    </row>
    <row r="89" spans="2:42">
      <c r="B89" s="639" t="s">
        <v>186</v>
      </c>
      <c r="C89" s="640"/>
      <c r="D89" s="640"/>
      <c r="E89" s="640"/>
      <c r="F89" s="640"/>
      <c r="G89" s="640"/>
      <c r="H89" s="640"/>
      <c r="I89" s="640"/>
      <c r="J89" s="640"/>
      <c r="K89" s="640"/>
      <c r="L89" s="640"/>
      <c r="M89" s="640"/>
      <c r="N89" s="640"/>
      <c r="O89" s="640"/>
      <c r="P89" s="640"/>
      <c r="Q89" s="640"/>
      <c r="R89" s="640"/>
      <c r="S89" s="640"/>
      <c r="T89" s="640"/>
      <c r="U89" s="640"/>
      <c r="V89" s="640"/>
      <c r="W89" s="640"/>
      <c r="X89" s="640"/>
      <c r="Y89" s="640"/>
      <c r="Z89" s="640"/>
      <c r="AA89" s="640"/>
      <c r="AB89" s="640"/>
      <c r="AC89" s="640"/>
      <c r="AD89" s="640"/>
      <c r="AE89" s="640"/>
      <c r="AF89" s="640"/>
      <c r="AG89" s="640"/>
      <c r="AH89" s="640"/>
      <c r="AI89" s="640"/>
      <c r="AJ89" s="641"/>
    </row>
    <row r="90" spans="2:42" ht="3" customHeight="1" thickBot="1">
      <c r="B90" s="642"/>
      <c r="C90" s="643"/>
      <c r="D90" s="643"/>
      <c r="E90" s="643"/>
      <c r="F90" s="643"/>
      <c r="G90" s="643"/>
      <c r="H90" s="643"/>
      <c r="I90" s="643"/>
      <c r="J90" s="643"/>
      <c r="K90" s="643"/>
      <c r="L90" s="643"/>
      <c r="M90" s="643"/>
      <c r="N90" s="643"/>
      <c r="O90" s="643"/>
      <c r="P90" s="643"/>
      <c r="Q90" s="643"/>
      <c r="R90" s="643"/>
      <c r="S90" s="643"/>
      <c r="T90" s="643"/>
      <c r="U90" s="643"/>
      <c r="V90" s="643"/>
      <c r="W90" s="643"/>
      <c r="X90" s="643"/>
      <c r="Y90" s="643"/>
      <c r="Z90" s="643"/>
      <c r="AA90" s="643"/>
      <c r="AB90" s="643"/>
      <c r="AC90" s="643"/>
      <c r="AD90" s="643"/>
      <c r="AE90" s="643"/>
      <c r="AF90" s="643"/>
      <c r="AG90" s="643"/>
      <c r="AH90" s="643"/>
      <c r="AI90" s="643"/>
      <c r="AJ90" s="644"/>
    </row>
    <row r="91" spans="2:42">
      <c r="B91" s="639" t="s">
        <v>185</v>
      </c>
      <c r="C91" s="640"/>
      <c r="D91" s="640"/>
      <c r="E91" s="640"/>
      <c r="F91" s="640"/>
      <c r="G91" s="640"/>
      <c r="H91" s="640"/>
      <c r="I91" s="640"/>
      <c r="J91" s="640"/>
      <c r="K91" s="640"/>
      <c r="L91" s="640"/>
      <c r="M91" s="640"/>
      <c r="N91" s="640"/>
      <c r="O91" s="640"/>
      <c r="P91" s="640"/>
      <c r="Q91" s="640"/>
      <c r="R91" s="640"/>
      <c r="S91" s="640"/>
      <c r="T91" s="640"/>
      <c r="U91" s="640"/>
      <c r="V91" s="640"/>
      <c r="W91" s="640"/>
      <c r="X91" s="640"/>
      <c r="Y91" s="640"/>
      <c r="Z91" s="640"/>
      <c r="AA91" s="640"/>
      <c r="AB91" s="640"/>
      <c r="AC91" s="640"/>
      <c r="AD91" s="640"/>
      <c r="AE91" s="640"/>
      <c r="AF91" s="640"/>
      <c r="AG91" s="640"/>
      <c r="AH91" s="640"/>
      <c r="AI91" s="640"/>
      <c r="AJ91" s="641"/>
    </row>
    <row r="92" spans="2:42">
      <c r="B92" s="645" t="s">
        <v>2172</v>
      </c>
      <c r="C92" s="646"/>
      <c r="D92" s="646"/>
      <c r="E92" s="646"/>
      <c r="F92" s="646"/>
      <c r="G92" s="646"/>
      <c r="H92" s="646"/>
      <c r="I92" s="646"/>
      <c r="J92" s="646"/>
      <c r="K92" s="646"/>
      <c r="L92" s="646"/>
      <c r="M92" s="646"/>
      <c r="N92" s="646"/>
      <c r="O92" s="646"/>
      <c r="P92" s="646"/>
      <c r="Q92" s="646"/>
      <c r="R92" s="646"/>
      <c r="S92" s="646"/>
      <c r="T92" s="646"/>
      <c r="U92" s="646"/>
      <c r="V92" s="646"/>
      <c r="W92" s="646"/>
      <c r="X92" s="646"/>
      <c r="Y92" s="646"/>
      <c r="Z92" s="646"/>
      <c r="AA92" s="646"/>
      <c r="AB92" s="646"/>
      <c r="AC92" s="646"/>
      <c r="AD92" s="646"/>
      <c r="AE92" s="646"/>
      <c r="AF92" s="646"/>
      <c r="AG92" s="646"/>
      <c r="AH92" s="646"/>
      <c r="AI92" s="646"/>
      <c r="AJ92" s="647"/>
    </row>
    <row r="93" spans="2:42" ht="3.75" customHeight="1" thickBot="1">
      <c r="B93" s="648"/>
      <c r="C93" s="649"/>
      <c r="D93" s="649"/>
      <c r="E93" s="649"/>
      <c r="F93" s="649"/>
      <c r="G93" s="649"/>
      <c r="H93" s="649"/>
      <c r="I93" s="649"/>
      <c r="J93" s="649"/>
      <c r="K93" s="649"/>
      <c r="L93" s="649"/>
      <c r="M93" s="649"/>
      <c r="N93" s="649"/>
      <c r="O93" s="649"/>
      <c r="P93" s="649"/>
      <c r="Q93" s="649"/>
      <c r="R93" s="649"/>
      <c r="S93" s="649"/>
      <c r="T93" s="649"/>
      <c r="U93" s="649"/>
      <c r="V93" s="649"/>
      <c r="W93" s="649"/>
      <c r="X93" s="649"/>
      <c r="Y93" s="649"/>
      <c r="Z93" s="649"/>
      <c r="AA93" s="649"/>
      <c r="AB93" s="649"/>
      <c r="AC93" s="649"/>
      <c r="AD93" s="649"/>
      <c r="AE93" s="649"/>
      <c r="AF93" s="649"/>
      <c r="AG93" s="649"/>
      <c r="AH93" s="649"/>
      <c r="AI93" s="649"/>
      <c r="AJ93" s="650"/>
    </row>
    <row r="94" spans="2:42" s="137" customFormat="1" ht="10.5" thickBot="1">
      <c r="B94" s="136" t="s">
        <v>184</v>
      </c>
      <c r="C94" s="651" t="s">
        <v>183</v>
      </c>
      <c r="D94" s="651"/>
      <c r="E94" s="651" t="s">
        <v>182</v>
      </c>
      <c r="F94" s="651"/>
      <c r="G94" s="651"/>
      <c r="H94" s="651"/>
      <c r="I94" s="651"/>
      <c r="J94" s="651"/>
      <c r="K94" s="651"/>
      <c r="L94" s="651"/>
      <c r="M94" s="651"/>
      <c r="N94" s="651"/>
      <c r="O94" s="651"/>
      <c r="P94" s="651" t="s">
        <v>181</v>
      </c>
      <c r="Q94" s="651"/>
      <c r="R94" s="651"/>
      <c r="S94" s="651"/>
      <c r="T94" s="651" t="s">
        <v>180</v>
      </c>
      <c r="U94" s="651"/>
      <c r="V94" s="651"/>
      <c r="W94" s="651" t="s">
        <v>179</v>
      </c>
      <c r="X94" s="651"/>
      <c r="Y94" s="652" t="s">
        <v>178</v>
      </c>
      <c r="Z94" s="652"/>
      <c r="AA94" s="652"/>
      <c r="AB94" s="652"/>
      <c r="AC94" s="652" t="s">
        <v>177</v>
      </c>
      <c r="AD94" s="652"/>
      <c r="AE94" s="652"/>
      <c r="AF94" s="652"/>
      <c r="AG94" s="652"/>
      <c r="AH94" s="652"/>
      <c r="AI94" s="651" t="s">
        <v>176</v>
      </c>
      <c r="AJ94" s="653"/>
    </row>
    <row r="95" spans="2:42" s="156" customFormat="1" ht="22.5" customHeight="1" thickBot="1">
      <c r="B95" s="152" t="s">
        <v>2179</v>
      </c>
      <c r="C95" s="634" t="s">
        <v>1198</v>
      </c>
      <c r="D95" s="634"/>
      <c r="E95" s="635" t="s">
        <v>1198</v>
      </c>
      <c r="F95" s="635"/>
      <c r="G95" s="635"/>
      <c r="H95" s="635"/>
      <c r="I95" s="635"/>
      <c r="J95" s="635"/>
      <c r="K95" s="635"/>
      <c r="L95" s="635"/>
      <c r="M95" s="635"/>
      <c r="N95" s="635"/>
      <c r="O95" s="635"/>
      <c r="P95" s="636">
        <v>0</v>
      </c>
      <c r="Q95" s="636"/>
      <c r="R95" s="636"/>
      <c r="S95" s="271" t="s">
        <v>2179</v>
      </c>
      <c r="T95" s="157" t="s">
        <v>1198</v>
      </c>
      <c r="U95" s="270">
        <v>0</v>
      </c>
      <c r="V95" s="154" t="s">
        <v>2179</v>
      </c>
      <c r="W95" s="634" t="s">
        <v>2179</v>
      </c>
      <c r="X95" s="634"/>
      <c r="Y95" s="634" t="s">
        <v>2179</v>
      </c>
      <c r="Z95" s="634"/>
      <c r="AA95" s="634"/>
      <c r="AB95" s="637" t="s">
        <v>2179</v>
      </c>
      <c r="AC95" s="637"/>
      <c r="AD95" s="637"/>
      <c r="AE95" s="637"/>
      <c r="AF95" s="637"/>
      <c r="AG95" s="637"/>
      <c r="AH95" s="252"/>
      <c r="AI95" s="634" t="s">
        <v>2179</v>
      </c>
      <c r="AJ95" s="638"/>
    </row>
    <row r="96" spans="2:42" s="156" customFormat="1" ht="22.5" customHeight="1" thickBot="1">
      <c r="B96" s="152" t="s">
        <v>2179</v>
      </c>
      <c r="C96" s="634" t="s">
        <v>1198</v>
      </c>
      <c r="D96" s="634"/>
      <c r="E96" s="635" t="s">
        <v>1198</v>
      </c>
      <c r="F96" s="635"/>
      <c r="G96" s="635"/>
      <c r="H96" s="635"/>
      <c r="I96" s="635"/>
      <c r="J96" s="635"/>
      <c r="K96" s="635"/>
      <c r="L96" s="635"/>
      <c r="M96" s="635"/>
      <c r="N96" s="635"/>
      <c r="O96" s="635"/>
      <c r="P96" s="636">
        <v>0</v>
      </c>
      <c r="Q96" s="636"/>
      <c r="R96" s="636"/>
      <c r="S96" s="251" t="s">
        <v>2179</v>
      </c>
      <c r="T96" s="157" t="s">
        <v>1198</v>
      </c>
      <c r="U96" s="272">
        <v>0</v>
      </c>
      <c r="V96" s="154" t="s">
        <v>2179</v>
      </c>
      <c r="W96" s="634" t="s">
        <v>2179</v>
      </c>
      <c r="X96" s="634"/>
      <c r="Y96" s="634" t="s">
        <v>2179</v>
      </c>
      <c r="Z96" s="634"/>
      <c r="AA96" s="634"/>
      <c r="AB96" s="637" t="s">
        <v>2179</v>
      </c>
      <c r="AC96" s="637"/>
      <c r="AD96" s="637"/>
      <c r="AE96" s="637"/>
      <c r="AF96" s="637"/>
      <c r="AG96" s="637"/>
      <c r="AH96" s="252"/>
      <c r="AI96" s="634" t="s">
        <v>2179</v>
      </c>
      <c r="AJ96" s="638"/>
    </row>
    <row r="97" spans="2:36" s="156" customFormat="1" ht="22.5" customHeight="1" thickBot="1">
      <c r="B97" s="152" t="s">
        <v>2179</v>
      </c>
      <c r="C97" s="634" t="s">
        <v>1198</v>
      </c>
      <c r="D97" s="634"/>
      <c r="E97" s="635" t="s">
        <v>1198</v>
      </c>
      <c r="F97" s="635"/>
      <c r="G97" s="635"/>
      <c r="H97" s="635"/>
      <c r="I97" s="635"/>
      <c r="J97" s="635"/>
      <c r="K97" s="635"/>
      <c r="L97" s="635"/>
      <c r="M97" s="635"/>
      <c r="N97" s="635"/>
      <c r="O97" s="635"/>
      <c r="P97" s="636">
        <v>0</v>
      </c>
      <c r="Q97" s="636"/>
      <c r="R97" s="636"/>
      <c r="S97" s="251" t="s">
        <v>2179</v>
      </c>
      <c r="T97" s="157" t="s">
        <v>1198</v>
      </c>
      <c r="U97" s="272">
        <v>0</v>
      </c>
      <c r="V97" s="154" t="s">
        <v>2179</v>
      </c>
      <c r="W97" s="634" t="s">
        <v>2179</v>
      </c>
      <c r="X97" s="634"/>
      <c r="Y97" s="634" t="s">
        <v>2179</v>
      </c>
      <c r="Z97" s="634"/>
      <c r="AA97" s="634"/>
      <c r="AB97" s="637" t="s">
        <v>2179</v>
      </c>
      <c r="AC97" s="637"/>
      <c r="AD97" s="637"/>
      <c r="AE97" s="637"/>
      <c r="AF97" s="637"/>
      <c r="AG97" s="637"/>
      <c r="AH97" s="252"/>
      <c r="AI97" s="634" t="s">
        <v>2179</v>
      </c>
      <c r="AJ97" s="638"/>
    </row>
    <row r="98" spans="2:36" s="156" customFormat="1" ht="22.5" customHeight="1" thickBot="1">
      <c r="B98" s="152" t="s">
        <v>2179</v>
      </c>
      <c r="C98" s="634" t="s">
        <v>1198</v>
      </c>
      <c r="D98" s="634"/>
      <c r="E98" s="635" t="s">
        <v>1198</v>
      </c>
      <c r="F98" s="635"/>
      <c r="G98" s="635"/>
      <c r="H98" s="635"/>
      <c r="I98" s="635"/>
      <c r="J98" s="635"/>
      <c r="K98" s="635"/>
      <c r="L98" s="635"/>
      <c r="M98" s="635"/>
      <c r="N98" s="635"/>
      <c r="O98" s="635"/>
      <c r="P98" s="636">
        <v>0</v>
      </c>
      <c r="Q98" s="636"/>
      <c r="R98" s="636"/>
      <c r="S98" s="251" t="s">
        <v>2179</v>
      </c>
      <c r="T98" s="157" t="s">
        <v>1198</v>
      </c>
      <c r="U98" s="272">
        <v>0</v>
      </c>
      <c r="V98" s="154" t="s">
        <v>2179</v>
      </c>
      <c r="W98" s="634" t="s">
        <v>2179</v>
      </c>
      <c r="X98" s="634"/>
      <c r="Y98" s="634" t="s">
        <v>2179</v>
      </c>
      <c r="Z98" s="634"/>
      <c r="AA98" s="634"/>
      <c r="AB98" s="637" t="s">
        <v>2179</v>
      </c>
      <c r="AC98" s="637"/>
      <c r="AD98" s="637"/>
      <c r="AE98" s="637"/>
      <c r="AF98" s="637"/>
      <c r="AG98" s="637"/>
      <c r="AH98" s="252"/>
      <c r="AI98" s="634" t="s">
        <v>2179</v>
      </c>
      <c r="AJ98" s="638"/>
    </row>
    <row r="99" spans="2:36" s="156" customFormat="1" ht="22.5" customHeight="1" thickBot="1">
      <c r="B99" s="152" t="s">
        <v>2179</v>
      </c>
      <c r="C99" s="634" t="s">
        <v>1198</v>
      </c>
      <c r="D99" s="634"/>
      <c r="E99" s="635" t="s">
        <v>1198</v>
      </c>
      <c r="F99" s="635"/>
      <c r="G99" s="635"/>
      <c r="H99" s="635"/>
      <c r="I99" s="635"/>
      <c r="J99" s="635"/>
      <c r="K99" s="635"/>
      <c r="L99" s="635"/>
      <c r="M99" s="635"/>
      <c r="N99" s="635"/>
      <c r="O99" s="635"/>
      <c r="P99" s="636">
        <v>0</v>
      </c>
      <c r="Q99" s="636"/>
      <c r="R99" s="636"/>
      <c r="S99" s="251" t="s">
        <v>2179</v>
      </c>
      <c r="T99" s="157" t="s">
        <v>1198</v>
      </c>
      <c r="U99" s="272">
        <v>0</v>
      </c>
      <c r="V99" s="154" t="s">
        <v>2179</v>
      </c>
      <c r="W99" s="634" t="s">
        <v>2179</v>
      </c>
      <c r="X99" s="634"/>
      <c r="Y99" s="634" t="s">
        <v>2179</v>
      </c>
      <c r="Z99" s="634"/>
      <c r="AA99" s="634"/>
      <c r="AB99" s="637" t="s">
        <v>2179</v>
      </c>
      <c r="AC99" s="637"/>
      <c r="AD99" s="637"/>
      <c r="AE99" s="637"/>
      <c r="AF99" s="637"/>
      <c r="AG99" s="637"/>
      <c r="AH99" s="252"/>
      <c r="AI99" s="634" t="s">
        <v>2179</v>
      </c>
      <c r="AJ99" s="638"/>
    </row>
    <row r="100" spans="2:36" s="156" customFormat="1" ht="22.5" customHeight="1" thickBot="1">
      <c r="B100" s="152" t="s">
        <v>2179</v>
      </c>
      <c r="C100" s="634" t="s">
        <v>1198</v>
      </c>
      <c r="D100" s="634"/>
      <c r="E100" s="635" t="s">
        <v>1198</v>
      </c>
      <c r="F100" s="635"/>
      <c r="G100" s="635"/>
      <c r="H100" s="635"/>
      <c r="I100" s="635"/>
      <c r="J100" s="635"/>
      <c r="K100" s="635"/>
      <c r="L100" s="635"/>
      <c r="M100" s="635"/>
      <c r="N100" s="635"/>
      <c r="O100" s="635"/>
      <c r="P100" s="636">
        <v>0</v>
      </c>
      <c r="Q100" s="636"/>
      <c r="R100" s="636"/>
      <c r="S100" s="251" t="s">
        <v>2179</v>
      </c>
      <c r="T100" s="157" t="s">
        <v>1198</v>
      </c>
      <c r="U100" s="272">
        <v>0</v>
      </c>
      <c r="V100" s="154" t="s">
        <v>2179</v>
      </c>
      <c r="W100" s="634" t="s">
        <v>2179</v>
      </c>
      <c r="X100" s="634"/>
      <c r="Y100" s="634" t="s">
        <v>2179</v>
      </c>
      <c r="Z100" s="634"/>
      <c r="AA100" s="634"/>
      <c r="AB100" s="637" t="s">
        <v>2179</v>
      </c>
      <c r="AC100" s="637"/>
      <c r="AD100" s="637"/>
      <c r="AE100" s="637"/>
      <c r="AF100" s="637"/>
      <c r="AG100" s="637"/>
      <c r="AH100" s="252"/>
      <c r="AI100" s="634" t="s">
        <v>2179</v>
      </c>
      <c r="AJ100" s="638"/>
    </row>
    <row r="101" spans="2:36" s="156" customFormat="1" ht="22.5" customHeight="1" thickBot="1">
      <c r="B101" s="152" t="s">
        <v>2179</v>
      </c>
      <c r="C101" s="634" t="s">
        <v>1198</v>
      </c>
      <c r="D101" s="634"/>
      <c r="E101" s="635" t="s">
        <v>1198</v>
      </c>
      <c r="F101" s="635"/>
      <c r="G101" s="635"/>
      <c r="H101" s="635"/>
      <c r="I101" s="635"/>
      <c r="J101" s="635"/>
      <c r="K101" s="635"/>
      <c r="L101" s="635"/>
      <c r="M101" s="635"/>
      <c r="N101" s="635"/>
      <c r="O101" s="635"/>
      <c r="P101" s="636">
        <v>0</v>
      </c>
      <c r="Q101" s="636"/>
      <c r="R101" s="636"/>
      <c r="S101" s="251" t="s">
        <v>2179</v>
      </c>
      <c r="T101" s="157" t="s">
        <v>1198</v>
      </c>
      <c r="U101" s="272">
        <v>0</v>
      </c>
      <c r="V101" s="154" t="s">
        <v>2179</v>
      </c>
      <c r="W101" s="634" t="s">
        <v>2179</v>
      </c>
      <c r="X101" s="634"/>
      <c r="Y101" s="634" t="s">
        <v>2179</v>
      </c>
      <c r="Z101" s="634"/>
      <c r="AA101" s="634"/>
      <c r="AB101" s="637" t="s">
        <v>2179</v>
      </c>
      <c r="AC101" s="637"/>
      <c r="AD101" s="637"/>
      <c r="AE101" s="637"/>
      <c r="AF101" s="637"/>
      <c r="AG101" s="637"/>
      <c r="AH101" s="252"/>
      <c r="AI101" s="634" t="s">
        <v>2179</v>
      </c>
      <c r="AJ101" s="638"/>
    </row>
    <row r="102" spans="2:36" s="156" customFormat="1" ht="22.5" customHeight="1" thickBot="1">
      <c r="B102" s="152" t="s">
        <v>2179</v>
      </c>
      <c r="C102" s="634" t="s">
        <v>1198</v>
      </c>
      <c r="D102" s="634"/>
      <c r="E102" s="635" t="s">
        <v>1198</v>
      </c>
      <c r="F102" s="635"/>
      <c r="G102" s="635"/>
      <c r="H102" s="635"/>
      <c r="I102" s="635"/>
      <c r="J102" s="635"/>
      <c r="K102" s="635"/>
      <c r="L102" s="635"/>
      <c r="M102" s="635"/>
      <c r="N102" s="635"/>
      <c r="O102" s="635"/>
      <c r="P102" s="636">
        <v>0</v>
      </c>
      <c r="Q102" s="636"/>
      <c r="R102" s="636"/>
      <c r="S102" s="251" t="s">
        <v>2179</v>
      </c>
      <c r="T102" s="157" t="s">
        <v>1198</v>
      </c>
      <c r="U102" s="272">
        <v>0</v>
      </c>
      <c r="V102" s="154" t="s">
        <v>2179</v>
      </c>
      <c r="W102" s="634" t="s">
        <v>2179</v>
      </c>
      <c r="X102" s="634"/>
      <c r="Y102" s="634" t="s">
        <v>2179</v>
      </c>
      <c r="Z102" s="634"/>
      <c r="AA102" s="634"/>
      <c r="AB102" s="637" t="s">
        <v>2179</v>
      </c>
      <c r="AC102" s="637"/>
      <c r="AD102" s="637"/>
      <c r="AE102" s="637"/>
      <c r="AF102" s="637"/>
      <c r="AG102" s="637"/>
      <c r="AH102" s="252"/>
      <c r="AI102" s="634" t="s">
        <v>2179</v>
      </c>
      <c r="AJ102" s="638"/>
    </row>
    <row r="103" spans="2:36" s="156" customFormat="1" ht="22.5" customHeight="1" thickBot="1">
      <c r="B103" s="152" t="s">
        <v>2179</v>
      </c>
      <c r="C103" s="634" t="s">
        <v>1198</v>
      </c>
      <c r="D103" s="634"/>
      <c r="E103" s="635" t="s">
        <v>1198</v>
      </c>
      <c r="F103" s="635"/>
      <c r="G103" s="635"/>
      <c r="H103" s="635"/>
      <c r="I103" s="635"/>
      <c r="J103" s="635"/>
      <c r="K103" s="635"/>
      <c r="L103" s="635"/>
      <c r="M103" s="635"/>
      <c r="N103" s="635"/>
      <c r="O103" s="635"/>
      <c r="P103" s="636">
        <v>0</v>
      </c>
      <c r="Q103" s="636"/>
      <c r="R103" s="636"/>
      <c r="S103" s="251" t="s">
        <v>2179</v>
      </c>
      <c r="T103" s="157" t="s">
        <v>1198</v>
      </c>
      <c r="U103" s="272">
        <v>0</v>
      </c>
      <c r="V103" s="154" t="s">
        <v>2179</v>
      </c>
      <c r="W103" s="634" t="s">
        <v>2179</v>
      </c>
      <c r="X103" s="634"/>
      <c r="Y103" s="634" t="s">
        <v>2179</v>
      </c>
      <c r="Z103" s="634"/>
      <c r="AA103" s="634"/>
      <c r="AB103" s="637" t="s">
        <v>2179</v>
      </c>
      <c r="AC103" s="637"/>
      <c r="AD103" s="637"/>
      <c r="AE103" s="637"/>
      <c r="AF103" s="637"/>
      <c r="AG103" s="637"/>
      <c r="AH103" s="252"/>
      <c r="AI103" s="634" t="s">
        <v>2179</v>
      </c>
      <c r="AJ103" s="638"/>
    </row>
    <row r="104" spans="2:36" s="156" customFormat="1" ht="22.5" customHeight="1" thickBot="1">
      <c r="B104" s="152" t="s">
        <v>2179</v>
      </c>
      <c r="C104" s="634" t="s">
        <v>1198</v>
      </c>
      <c r="D104" s="634"/>
      <c r="E104" s="635" t="s">
        <v>1198</v>
      </c>
      <c r="F104" s="635"/>
      <c r="G104" s="635"/>
      <c r="H104" s="635"/>
      <c r="I104" s="635"/>
      <c r="J104" s="635"/>
      <c r="K104" s="635"/>
      <c r="L104" s="635"/>
      <c r="M104" s="635"/>
      <c r="N104" s="635"/>
      <c r="O104" s="635"/>
      <c r="P104" s="636">
        <v>0</v>
      </c>
      <c r="Q104" s="636"/>
      <c r="R104" s="636"/>
      <c r="S104" s="251" t="s">
        <v>2179</v>
      </c>
      <c r="T104" s="157" t="s">
        <v>1198</v>
      </c>
      <c r="U104" s="272">
        <v>0</v>
      </c>
      <c r="V104" s="154" t="s">
        <v>2179</v>
      </c>
      <c r="W104" s="634" t="s">
        <v>2179</v>
      </c>
      <c r="X104" s="634"/>
      <c r="Y104" s="634" t="s">
        <v>2179</v>
      </c>
      <c r="Z104" s="634"/>
      <c r="AA104" s="634"/>
      <c r="AB104" s="637" t="s">
        <v>2179</v>
      </c>
      <c r="AC104" s="637"/>
      <c r="AD104" s="637"/>
      <c r="AE104" s="637"/>
      <c r="AF104" s="637"/>
      <c r="AG104" s="637"/>
      <c r="AH104" s="252"/>
      <c r="AI104" s="634" t="s">
        <v>2179</v>
      </c>
      <c r="AJ104" s="638"/>
    </row>
    <row r="105" spans="2:36" s="138" customFormat="1" ht="13.5" customHeight="1" thickBot="1">
      <c r="B105" s="139"/>
      <c r="C105" s="140"/>
      <c r="D105" s="140" t="s">
        <v>171</v>
      </c>
      <c r="E105" s="140"/>
      <c r="F105" s="140"/>
      <c r="G105" s="140"/>
      <c r="H105" s="140"/>
      <c r="I105" s="140"/>
      <c r="J105" s="140"/>
      <c r="K105" s="140" t="s">
        <v>170</v>
      </c>
      <c r="L105" s="140"/>
      <c r="M105" s="140"/>
      <c r="N105" s="140"/>
      <c r="O105" s="140"/>
      <c r="P105" s="265"/>
      <c r="Q105" s="265"/>
      <c r="R105" s="265"/>
      <c r="S105" s="140"/>
      <c r="T105" s="140" t="s">
        <v>169</v>
      </c>
      <c r="U105" s="265"/>
      <c r="V105" s="140"/>
      <c r="W105" s="140"/>
      <c r="X105" s="140"/>
      <c r="Y105" s="140"/>
      <c r="Z105" s="140"/>
      <c r="AA105" s="140"/>
      <c r="AB105" s="140"/>
      <c r="AC105" s="140"/>
      <c r="AD105" s="140" t="s">
        <v>168</v>
      </c>
      <c r="AE105" s="140"/>
      <c r="AF105" s="140"/>
      <c r="AG105" s="140"/>
      <c r="AH105" s="140"/>
      <c r="AI105" s="140"/>
      <c r="AJ105" s="141"/>
    </row>
    <row r="106" spans="2:36" s="138" customFormat="1" ht="13.5" customHeight="1">
      <c r="B106" s="255" t="s">
        <v>167</v>
      </c>
      <c r="C106" s="256"/>
      <c r="D106" s="256"/>
      <c r="E106" s="256" t="s">
        <v>166</v>
      </c>
      <c r="F106" s="256"/>
      <c r="G106" s="256"/>
      <c r="H106" s="256"/>
      <c r="I106" s="256" t="s">
        <v>165</v>
      </c>
      <c r="J106" s="256"/>
      <c r="K106" s="256"/>
      <c r="L106" s="256" t="s">
        <v>164</v>
      </c>
      <c r="M106" s="256"/>
      <c r="N106" s="256"/>
      <c r="O106" s="256"/>
      <c r="P106" s="266"/>
      <c r="Q106" s="266"/>
      <c r="R106" s="266"/>
      <c r="S106" s="256"/>
      <c r="T106" s="256"/>
      <c r="U106" s="266"/>
      <c r="V106" s="256"/>
      <c r="W106" s="257"/>
      <c r="X106" s="255" t="s">
        <v>163</v>
      </c>
      <c r="Y106" s="256"/>
      <c r="Z106" s="256"/>
      <c r="AA106" s="256"/>
      <c r="AB106" s="256"/>
      <c r="AC106" s="256"/>
      <c r="AD106" s="256"/>
      <c r="AE106" s="256"/>
      <c r="AF106" s="256"/>
      <c r="AG106" s="256"/>
      <c r="AH106" s="256"/>
      <c r="AI106" s="256"/>
      <c r="AJ106" s="257"/>
    </row>
    <row r="107" spans="2:36" s="138" customFormat="1" ht="7.5" customHeight="1">
      <c r="B107" s="142"/>
      <c r="C107" s="258"/>
      <c r="D107" s="258"/>
      <c r="E107" s="144"/>
      <c r="F107" s="258"/>
      <c r="G107" s="258"/>
      <c r="H107" s="258"/>
      <c r="I107" s="144"/>
      <c r="J107" s="258"/>
      <c r="K107" s="258"/>
      <c r="L107" s="258"/>
      <c r="M107" s="258"/>
      <c r="N107" s="258"/>
      <c r="O107" s="258"/>
      <c r="P107" s="267"/>
      <c r="Q107" s="267"/>
      <c r="R107" s="267"/>
      <c r="S107" s="258"/>
      <c r="T107" s="258"/>
      <c r="U107" s="267"/>
      <c r="V107" s="258"/>
      <c r="W107" s="145"/>
      <c r="X107" s="146"/>
      <c r="Y107" s="258"/>
      <c r="Z107" s="258"/>
      <c r="AA107" s="258"/>
      <c r="AB107" s="258"/>
      <c r="AC107" s="258"/>
      <c r="AD107" s="258"/>
      <c r="AE107" s="258"/>
      <c r="AF107" s="258"/>
      <c r="AG107" s="258"/>
      <c r="AH107" s="258"/>
      <c r="AI107" s="258"/>
      <c r="AJ107" s="145"/>
    </row>
    <row r="108" spans="2:36" s="138" customFormat="1" ht="13.5" customHeight="1" thickBot="1">
      <c r="B108" s="259"/>
      <c r="C108" s="260"/>
      <c r="D108" s="253"/>
      <c r="E108" s="260"/>
      <c r="F108" s="260"/>
      <c r="G108" s="260"/>
      <c r="H108" s="260"/>
      <c r="I108" s="260"/>
      <c r="J108" s="260"/>
      <c r="K108" s="260"/>
      <c r="L108" s="260"/>
      <c r="M108" s="260"/>
      <c r="N108" s="260"/>
      <c r="O108" s="260"/>
      <c r="P108" s="268"/>
      <c r="Q108" s="268" t="s">
        <v>162</v>
      </c>
      <c r="R108" s="268"/>
      <c r="S108" s="260"/>
      <c r="T108" s="260"/>
      <c r="U108" s="268"/>
      <c r="V108" s="260"/>
      <c r="W108" s="261"/>
      <c r="X108" s="259"/>
      <c r="Y108" s="260"/>
      <c r="Z108" s="260"/>
      <c r="AA108" s="260"/>
      <c r="AB108" s="260"/>
      <c r="AC108" s="260"/>
      <c r="AD108" s="260"/>
      <c r="AE108" s="260"/>
      <c r="AF108" s="260"/>
      <c r="AG108" s="260"/>
      <c r="AH108" s="260"/>
      <c r="AI108" s="260"/>
      <c r="AJ108" s="261"/>
    </row>
    <row r="111" spans="2:36" ht="8.25" customHeight="1">
      <c r="H111" s="666" t="s">
        <v>220</v>
      </c>
      <c r="I111" s="666"/>
      <c r="J111" s="666"/>
      <c r="K111" s="666"/>
      <c r="L111" s="666"/>
      <c r="M111" s="666"/>
      <c r="N111" s="666"/>
      <c r="O111" s="666"/>
      <c r="P111" s="666"/>
      <c r="Q111" s="666"/>
      <c r="R111" s="666"/>
      <c r="S111" s="666"/>
      <c r="T111" s="666"/>
      <c r="U111" s="666"/>
      <c r="V111" s="666"/>
      <c r="W111" s="666"/>
      <c r="X111" s="666"/>
      <c r="Y111" s="666"/>
      <c r="Z111" s="666"/>
    </row>
    <row r="112" spans="2:36" ht="12" customHeight="1">
      <c r="H112" s="666"/>
      <c r="I112" s="666"/>
      <c r="J112" s="666"/>
      <c r="K112" s="666"/>
      <c r="L112" s="666"/>
      <c r="M112" s="666"/>
      <c r="N112" s="666"/>
      <c r="O112" s="666"/>
      <c r="P112" s="666"/>
      <c r="Q112" s="666"/>
      <c r="R112" s="666"/>
      <c r="S112" s="666"/>
      <c r="T112" s="666"/>
      <c r="U112" s="666"/>
      <c r="V112" s="666"/>
      <c r="W112" s="666"/>
      <c r="X112" s="666"/>
      <c r="Y112" s="666"/>
      <c r="Z112" s="666"/>
    </row>
    <row r="113" spans="2:42">
      <c r="H113" s="666"/>
      <c r="I113" s="666"/>
      <c r="J113" s="666"/>
      <c r="K113" s="666"/>
      <c r="L113" s="666"/>
      <c r="M113" s="666"/>
      <c r="N113" s="666"/>
      <c r="O113" s="666"/>
      <c r="P113" s="666"/>
      <c r="Q113" s="666"/>
      <c r="R113" s="666"/>
      <c r="S113" s="666"/>
      <c r="T113" s="666"/>
      <c r="U113" s="666"/>
      <c r="V113" s="666"/>
      <c r="W113" s="666"/>
      <c r="X113" s="666"/>
      <c r="Y113" s="666"/>
      <c r="Z113" s="666"/>
    </row>
    <row r="114" spans="2:42" ht="9.75" customHeight="1">
      <c r="H114" s="666"/>
      <c r="I114" s="666"/>
      <c r="J114" s="666"/>
      <c r="K114" s="666"/>
      <c r="L114" s="666"/>
      <c r="M114" s="666"/>
      <c r="N114" s="666"/>
      <c r="O114" s="666"/>
      <c r="P114" s="666"/>
      <c r="Q114" s="666"/>
      <c r="R114" s="666"/>
      <c r="S114" s="666"/>
      <c r="T114" s="666"/>
      <c r="U114" s="666"/>
      <c r="V114" s="666"/>
      <c r="W114" s="666"/>
      <c r="X114" s="666"/>
      <c r="Y114" s="666"/>
      <c r="Z114" s="666"/>
    </row>
    <row r="115" spans="2:42" ht="12.75" customHeight="1">
      <c r="B115" s="131" t="s">
        <v>219</v>
      </c>
      <c r="C115" s="131"/>
      <c r="D115" s="131"/>
      <c r="E115" s="131"/>
      <c r="F115" s="131"/>
      <c r="G115" s="131"/>
      <c r="H115" s="131"/>
      <c r="I115" s="131"/>
      <c r="J115" s="131" t="s">
        <v>218</v>
      </c>
      <c r="K115" s="131"/>
      <c r="L115" s="131"/>
      <c r="M115" s="131"/>
      <c r="N115" s="131"/>
      <c r="O115" s="131"/>
      <c r="P115" s="264"/>
      <c r="Q115" s="264"/>
      <c r="R115" s="264"/>
      <c r="S115" s="131"/>
      <c r="T115" s="131"/>
      <c r="U115" s="264"/>
      <c r="V115" s="131"/>
      <c r="W115" s="131"/>
      <c r="X115" s="131"/>
      <c r="Y115" s="131"/>
      <c r="Z115" s="131"/>
      <c r="AA115" s="131"/>
      <c r="AB115" s="131"/>
      <c r="AC115" s="131"/>
      <c r="AD115" s="131"/>
      <c r="AE115" s="131"/>
      <c r="AF115" s="131"/>
      <c r="AG115" s="131"/>
      <c r="AH115" s="131"/>
      <c r="AI115" s="132" t="s">
        <v>217</v>
      </c>
      <c r="AJ115" s="138" t="s">
        <v>2181</v>
      </c>
    </row>
    <row r="116" spans="2:42" ht="3" customHeight="1" thickBot="1">
      <c r="B116" s="131"/>
      <c r="C116" s="131"/>
      <c r="D116" s="131"/>
      <c r="E116" s="131"/>
      <c r="F116" s="131"/>
      <c r="G116" s="131"/>
      <c r="H116" s="131"/>
      <c r="I116" s="131"/>
      <c r="J116" s="131"/>
      <c r="K116" s="131"/>
      <c r="L116" s="131"/>
      <c r="M116" s="131"/>
      <c r="N116" s="131"/>
      <c r="O116" s="131"/>
      <c r="P116" s="264"/>
      <c r="Q116" s="264"/>
      <c r="R116" s="264"/>
      <c r="S116" s="131"/>
      <c r="T116" s="131"/>
      <c r="U116" s="264"/>
      <c r="V116" s="131"/>
      <c r="W116" s="131"/>
      <c r="X116" s="131"/>
      <c r="Y116" s="131"/>
      <c r="Z116" s="131"/>
      <c r="AA116" s="131"/>
      <c r="AB116" s="131"/>
      <c r="AC116" s="131"/>
      <c r="AD116" s="131"/>
      <c r="AE116" s="131"/>
      <c r="AF116" s="131"/>
      <c r="AG116" s="131"/>
      <c r="AH116" s="131"/>
      <c r="AI116" s="131"/>
      <c r="AJ116" s="131"/>
    </row>
    <row r="117" spans="2:42">
      <c r="B117" s="92" t="s">
        <v>387</v>
      </c>
      <c r="C117" s="93"/>
      <c r="D117" s="93"/>
      <c r="E117" s="133"/>
      <c r="F117" s="93"/>
      <c r="G117" s="93"/>
      <c r="H117" s="93"/>
      <c r="I117" s="134" t="s">
        <v>285</v>
      </c>
      <c r="J117" s="639" t="s">
        <v>216</v>
      </c>
      <c r="K117" s="640"/>
      <c r="L117" s="640"/>
      <c r="M117" s="640"/>
      <c r="N117" s="640"/>
      <c r="O117" s="641"/>
      <c r="P117" s="639" t="s">
        <v>215</v>
      </c>
      <c r="Q117" s="640"/>
      <c r="R117" s="640"/>
      <c r="S117" s="640"/>
      <c r="T117" s="640"/>
      <c r="U117" s="640"/>
      <c r="V117" s="640"/>
      <c r="W117" s="641"/>
      <c r="X117" s="639" t="s">
        <v>214</v>
      </c>
      <c r="Y117" s="640"/>
      <c r="Z117" s="640"/>
      <c r="AA117" s="641"/>
      <c r="AB117" s="639" t="s">
        <v>213</v>
      </c>
      <c r="AC117" s="640"/>
      <c r="AD117" s="640"/>
      <c r="AE117" s="640"/>
      <c r="AF117" s="640"/>
      <c r="AG117" s="640"/>
      <c r="AH117" s="640"/>
      <c r="AI117" s="640"/>
      <c r="AJ117" s="641"/>
      <c r="AO117" s="660"/>
      <c r="AP117" s="660"/>
    </row>
    <row r="118" spans="2:42" ht="12" thickBot="1">
      <c r="B118" s="655" t="s">
        <v>74</v>
      </c>
      <c r="C118" s="656"/>
      <c r="D118" s="656"/>
      <c r="E118" s="656"/>
      <c r="F118" s="656"/>
      <c r="G118" s="656"/>
      <c r="H118" s="656"/>
      <c r="I118" s="657"/>
      <c r="J118" s="655" t="s">
        <v>212</v>
      </c>
      <c r="K118" s="656"/>
      <c r="L118" s="656"/>
      <c r="M118" s="656"/>
      <c r="N118" s="656"/>
      <c r="O118" s="657"/>
      <c r="P118" s="667">
        <v>43839</v>
      </c>
      <c r="Q118" s="649"/>
      <c r="R118" s="649"/>
      <c r="S118" s="649"/>
      <c r="T118" s="649"/>
      <c r="U118" s="649"/>
      <c r="V118" s="649"/>
      <c r="W118" s="650"/>
      <c r="X118" s="655"/>
      <c r="Y118" s="656"/>
      <c r="Z118" s="656"/>
      <c r="AA118" s="657"/>
      <c r="AB118" s="655"/>
      <c r="AC118" s="656"/>
      <c r="AD118" s="656"/>
      <c r="AE118" s="656"/>
      <c r="AF118" s="656"/>
      <c r="AG118" s="656"/>
      <c r="AH118" s="656"/>
      <c r="AI118" s="656"/>
      <c r="AJ118" s="657"/>
      <c r="AO118" s="660"/>
      <c r="AP118" s="660"/>
    </row>
    <row r="119" spans="2:42">
      <c r="B119" s="92" t="s">
        <v>211</v>
      </c>
      <c r="C119" s="93"/>
      <c r="D119" s="93" t="s">
        <v>210</v>
      </c>
      <c r="E119" s="133"/>
      <c r="F119" s="664"/>
      <c r="G119" s="664"/>
      <c r="H119" s="664"/>
      <c r="I119" s="665"/>
      <c r="J119" s="639" t="s">
        <v>209</v>
      </c>
      <c r="K119" s="640"/>
      <c r="L119" s="640"/>
      <c r="M119" s="640"/>
      <c r="N119" s="640"/>
      <c r="O119" s="641"/>
      <c r="P119" s="639" t="s">
        <v>208</v>
      </c>
      <c r="Q119" s="640"/>
      <c r="R119" s="640"/>
      <c r="S119" s="640"/>
      <c r="T119" s="640"/>
      <c r="U119" s="640"/>
      <c r="V119" s="640"/>
      <c r="W119" s="641"/>
      <c r="X119" s="639" t="s">
        <v>207</v>
      </c>
      <c r="Y119" s="640"/>
      <c r="Z119" s="640"/>
      <c r="AA119" s="640"/>
      <c r="AB119" s="640"/>
      <c r="AC119" s="640"/>
      <c r="AD119" s="640"/>
      <c r="AE119" s="640"/>
      <c r="AF119" s="640"/>
      <c r="AG119" s="640"/>
      <c r="AH119" s="640"/>
      <c r="AI119" s="640"/>
      <c r="AJ119" s="641"/>
      <c r="AO119" s="660"/>
      <c r="AP119" s="660"/>
    </row>
    <row r="120" spans="2:42" ht="12" thickBot="1">
      <c r="B120" s="648" t="s">
        <v>1182</v>
      </c>
      <c r="C120" s="649"/>
      <c r="D120" s="649"/>
      <c r="E120" s="649"/>
      <c r="F120" s="649"/>
      <c r="G120" s="649"/>
      <c r="H120" s="649"/>
      <c r="I120" s="650"/>
      <c r="J120" s="655" t="s">
        <v>206</v>
      </c>
      <c r="K120" s="656"/>
      <c r="L120" s="656"/>
      <c r="M120" s="656"/>
      <c r="N120" s="656"/>
      <c r="O120" s="657"/>
      <c r="P120" s="655"/>
      <c r="Q120" s="656"/>
      <c r="R120" s="656"/>
      <c r="S120" s="656"/>
      <c r="T120" s="656"/>
      <c r="U120" s="656"/>
      <c r="V120" s="656"/>
      <c r="W120" s="657"/>
      <c r="X120" s="648" t="s">
        <v>2170</v>
      </c>
      <c r="Y120" s="649"/>
      <c r="Z120" s="649"/>
      <c r="AA120" s="649"/>
      <c r="AB120" s="649"/>
      <c r="AC120" s="649"/>
      <c r="AD120" s="649"/>
      <c r="AE120" s="649"/>
      <c r="AF120" s="649"/>
      <c r="AG120" s="649"/>
      <c r="AH120" s="649"/>
      <c r="AI120" s="649"/>
      <c r="AJ120" s="650"/>
      <c r="AO120" s="660"/>
      <c r="AP120" s="660"/>
    </row>
    <row r="121" spans="2:42">
      <c r="B121" s="92" t="s">
        <v>388</v>
      </c>
      <c r="C121" s="93"/>
      <c r="D121" s="93"/>
      <c r="E121" s="93"/>
      <c r="F121" s="93"/>
      <c r="G121" s="93"/>
      <c r="H121" s="93"/>
      <c r="I121" s="368" t="s">
        <v>285</v>
      </c>
      <c r="J121" s="639" t="s">
        <v>205</v>
      </c>
      <c r="K121" s="640"/>
      <c r="L121" s="640"/>
      <c r="M121" s="640"/>
      <c r="N121" s="640"/>
      <c r="O121" s="641"/>
      <c r="P121" s="639" t="s">
        <v>204</v>
      </c>
      <c r="Q121" s="640"/>
      <c r="R121" s="640"/>
      <c r="S121" s="640"/>
      <c r="T121" s="640"/>
      <c r="U121" s="640"/>
      <c r="V121" s="640"/>
      <c r="W121" s="641"/>
      <c r="X121" s="639" t="s">
        <v>203</v>
      </c>
      <c r="Y121" s="640"/>
      <c r="Z121" s="640"/>
      <c r="AA121" s="640"/>
      <c r="AB121" s="640"/>
      <c r="AC121" s="640"/>
      <c r="AD121" s="640"/>
      <c r="AE121" s="640"/>
      <c r="AF121" s="640"/>
      <c r="AG121" s="640"/>
      <c r="AH121" s="640"/>
      <c r="AI121" s="640"/>
      <c r="AJ121" s="641"/>
      <c r="AO121" s="660"/>
      <c r="AP121" s="660"/>
    </row>
    <row r="122" spans="2:42" ht="12" thickBot="1">
      <c r="B122" s="655" t="s">
        <v>74</v>
      </c>
      <c r="C122" s="656"/>
      <c r="D122" s="656"/>
      <c r="E122" s="656"/>
      <c r="F122" s="656"/>
      <c r="G122" s="656"/>
      <c r="H122" s="656"/>
      <c r="I122" s="657"/>
      <c r="J122" s="655" t="s">
        <v>106</v>
      </c>
      <c r="K122" s="656"/>
      <c r="L122" s="656"/>
      <c r="M122" s="656"/>
      <c r="N122" s="656"/>
      <c r="O122" s="657"/>
      <c r="P122" s="655" t="s">
        <v>201</v>
      </c>
      <c r="Q122" s="656"/>
      <c r="R122" s="656"/>
      <c r="S122" s="656"/>
      <c r="T122" s="656"/>
      <c r="U122" s="656"/>
      <c r="V122" s="656"/>
      <c r="W122" s="657"/>
      <c r="X122" s="655"/>
      <c r="Y122" s="656"/>
      <c r="Z122" s="656"/>
      <c r="AA122" s="656"/>
      <c r="AB122" s="656"/>
      <c r="AC122" s="656"/>
      <c r="AD122" s="656"/>
      <c r="AE122" s="656"/>
      <c r="AF122" s="656"/>
      <c r="AG122" s="656"/>
      <c r="AH122" s="656"/>
      <c r="AI122" s="656"/>
      <c r="AJ122" s="657"/>
      <c r="AO122" s="660"/>
      <c r="AP122" s="660"/>
    </row>
    <row r="123" spans="2:42">
      <c r="B123" s="639" t="s">
        <v>200</v>
      </c>
      <c r="C123" s="640"/>
      <c r="D123" s="640"/>
      <c r="E123" s="640"/>
      <c r="F123" s="640"/>
      <c r="G123" s="640"/>
      <c r="H123" s="640"/>
      <c r="I123" s="641"/>
      <c r="J123" s="661" t="s">
        <v>283</v>
      </c>
      <c r="K123" s="661"/>
      <c r="L123" s="661"/>
      <c r="M123" s="661"/>
      <c r="N123" s="661"/>
      <c r="O123" s="661"/>
      <c r="P123" s="639" t="s">
        <v>284</v>
      </c>
      <c r="Q123" s="640"/>
      <c r="R123" s="640"/>
      <c r="S123" s="640"/>
      <c r="T123" s="640"/>
      <c r="U123" s="640"/>
      <c r="V123" s="640"/>
      <c r="W123" s="641"/>
      <c r="X123" s="639" t="s">
        <v>199</v>
      </c>
      <c r="Y123" s="640"/>
      <c r="Z123" s="640"/>
      <c r="AA123" s="640"/>
      <c r="AB123" s="639" t="s">
        <v>198</v>
      </c>
      <c r="AC123" s="640"/>
      <c r="AD123" s="640"/>
      <c r="AE123" s="640"/>
      <c r="AF123" s="640"/>
      <c r="AG123" s="640"/>
      <c r="AH123" s="640"/>
      <c r="AI123" s="640"/>
      <c r="AJ123" s="641"/>
      <c r="AO123" s="654"/>
      <c r="AP123" s="654"/>
    </row>
    <row r="124" spans="2:42" ht="12" thickBot="1">
      <c r="B124" s="655"/>
      <c r="C124" s="656"/>
      <c r="D124" s="656"/>
      <c r="E124" s="656"/>
      <c r="F124" s="656"/>
      <c r="G124" s="656"/>
      <c r="H124" s="656"/>
      <c r="I124" s="657"/>
      <c r="J124" s="646" t="s">
        <v>2171</v>
      </c>
      <c r="K124" s="646"/>
      <c r="L124" s="646"/>
      <c r="M124" s="646"/>
      <c r="N124" s="646"/>
      <c r="O124" s="646"/>
      <c r="P124" s="648" t="s">
        <v>2171</v>
      </c>
      <c r="Q124" s="649"/>
      <c r="R124" s="649"/>
      <c r="S124" s="649"/>
      <c r="T124" s="649"/>
      <c r="U124" s="649"/>
      <c r="V124" s="649"/>
      <c r="W124" s="650"/>
      <c r="X124" s="662" t="s">
        <v>2171</v>
      </c>
      <c r="Y124" s="663"/>
      <c r="Z124" s="663"/>
      <c r="AA124" s="663"/>
      <c r="AB124" s="655" t="s">
        <v>197</v>
      </c>
      <c r="AC124" s="656"/>
      <c r="AD124" s="656"/>
      <c r="AE124" s="656"/>
      <c r="AF124" s="656"/>
      <c r="AG124" s="656"/>
      <c r="AH124" s="656"/>
      <c r="AI124" s="656"/>
      <c r="AJ124" s="657"/>
      <c r="AO124" s="654"/>
      <c r="AP124" s="654"/>
    </row>
    <row r="125" spans="2:42">
      <c r="B125" s="639" t="s">
        <v>196</v>
      </c>
      <c r="C125" s="640"/>
      <c r="D125" s="640"/>
      <c r="E125" s="640"/>
      <c r="F125" s="640"/>
      <c r="G125" s="640"/>
      <c r="H125" s="640"/>
      <c r="I125" s="641"/>
      <c r="J125" s="639" t="s">
        <v>195</v>
      </c>
      <c r="K125" s="641"/>
      <c r="L125" s="639" t="s">
        <v>194</v>
      </c>
      <c r="M125" s="640"/>
      <c r="N125" s="640"/>
      <c r="O125" s="641"/>
      <c r="P125" s="639" t="s">
        <v>193</v>
      </c>
      <c r="Q125" s="640"/>
      <c r="R125" s="640"/>
      <c r="S125" s="640"/>
      <c r="T125" s="641"/>
      <c r="U125" s="639" t="s">
        <v>192</v>
      </c>
      <c r="V125" s="640"/>
      <c r="W125" s="641"/>
      <c r="X125" s="639" t="s">
        <v>191</v>
      </c>
      <c r="Y125" s="640"/>
      <c r="Z125" s="640"/>
      <c r="AA125" s="641"/>
      <c r="AB125" s="639" t="s">
        <v>190</v>
      </c>
      <c r="AC125" s="640"/>
      <c r="AD125" s="640"/>
      <c r="AE125" s="640"/>
      <c r="AF125" s="641"/>
      <c r="AG125" s="639" t="s">
        <v>189</v>
      </c>
      <c r="AH125" s="640"/>
      <c r="AI125" s="640"/>
      <c r="AJ125" s="641"/>
      <c r="AO125" s="654"/>
      <c r="AP125" s="654"/>
    </row>
    <row r="126" spans="2:42" ht="12.75" customHeight="1" thickBot="1">
      <c r="B126" s="655" t="s">
        <v>188</v>
      </c>
      <c r="C126" s="656"/>
      <c r="D126" s="656"/>
      <c r="E126" s="656"/>
      <c r="F126" s="656"/>
      <c r="G126" s="656"/>
      <c r="H126" s="656"/>
      <c r="I126" s="657"/>
      <c r="J126" s="648">
        <v>1</v>
      </c>
      <c r="K126" s="650"/>
      <c r="L126" s="648">
        <v>10</v>
      </c>
      <c r="M126" s="649"/>
      <c r="N126" s="649"/>
      <c r="O126" s="650"/>
      <c r="P126" s="648">
        <v>3266</v>
      </c>
      <c r="Q126" s="649"/>
      <c r="R126" s="649"/>
      <c r="S126" s="649"/>
      <c r="T126" s="650"/>
      <c r="U126" s="655" t="s">
        <v>187</v>
      </c>
      <c r="V126" s="656"/>
      <c r="W126" s="657"/>
      <c r="X126" s="655"/>
      <c r="Y126" s="658"/>
      <c r="Z126" s="658"/>
      <c r="AA126" s="659"/>
      <c r="AB126" s="655"/>
      <c r="AC126" s="656"/>
      <c r="AD126" s="656"/>
      <c r="AE126" s="656"/>
      <c r="AF126" s="657"/>
      <c r="AG126" s="655"/>
      <c r="AH126" s="656"/>
      <c r="AI126" s="656"/>
      <c r="AJ126" s="657"/>
      <c r="AO126" s="654"/>
      <c r="AP126" s="654"/>
    </row>
    <row r="127" spans="2:42">
      <c r="B127" s="639" t="s">
        <v>186</v>
      </c>
      <c r="C127" s="640"/>
      <c r="D127" s="640"/>
      <c r="E127" s="640"/>
      <c r="F127" s="640"/>
      <c r="G127" s="640"/>
      <c r="H127" s="640"/>
      <c r="I127" s="640"/>
      <c r="J127" s="640"/>
      <c r="K127" s="640"/>
      <c r="L127" s="640"/>
      <c r="M127" s="640"/>
      <c r="N127" s="640"/>
      <c r="O127" s="640"/>
      <c r="P127" s="640"/>
      <c r="Q127" s="640"/>
      <c r="R127" s="640"/>
      <c r="S127" s="640"/>
      <c r="T127" s="640"/>
      <c r="U127" s="640"/>
      <c r="V127" s="640"/>
      <c r="W127" s="640"/>
      <c r="X127" s="640"/>
      <c r="Y127" s="640"/>
      <c r="Z127" s="640"/>
      <c r="AA127" s="640"/>
      <c r="AB127" s="640"/>
      <c r="AC127" s="640"/>
      <c r="AD127" s="640"/>
      <c r="AE127" s="640"/>
      <c r="AF127" s="640"/>
      <c r="AG127" s="640"/>
      <c r="AH127" s="640"/>
      <c r="AI127" s="640"/>
      <c r="AJ127" s="641"/>
    </row>
    <row r="128" spans="2:42" ht="3" customHeight="1" thickBot="1">
      <c r="B128" s="642"/>
      <c r="C128" s="643"/>
      <c r="D128" s="643"/>
      <c r="E128" s="643"/>
      <c r="F128" s="643"/>
      <c r="G128" s="643"/>
      <c r="H128" s="643"/>
      <c r="I128" s="643"/>
      <c r="J128" s="643"/>
      <c r="K128" s="643"/>
      <c r="L128" s="643"/>
      <c r="M128" s="643"/>
      <c r="N128" s="643"/>
      <c r="O128" s="643"/>
      <c r="P128" s="643"/>
      <c r="Q128" s="643"/>
      <c r="R128" s="643"/>
      <c r="S128" s="643"/>
      <c r="T128" s="643"/>
      <c r="U128" s="643"/>
      <c r="V128" s="643"/>
      <c r="W128" s="643"/>
      <c r="X128" s="643"/>
      <c r="Y128" s="643"/>
      <c r="Z128" s="643"/>
      <c r="AA128" s="643"/>
      <c r="AB128" s="643"/>
      <c r="AC128" s="643"/>
      <c r="AD128" s="643"/>
      <c r="AE128" s="643"/>
      <c r="AF128" s="643"/>
      <c r="AG128" s="643"/>
      <c r="AH128" s="643"/>
      <c r="AI128" s="643"/>
      <c r="AJ128" s="644"/>
    </row>
    <row r="129" spans="2:36">
      <c r="B129" s="639" t="s">
        <v>185</v>
      </c>
      <c r="C129" s="640"/>
      <c r="D129" s="640"/>
      <c r="E129" s="640"/>
      <c r="F129" s="640"/>
      <c r="G129" s="640"/>
      <c r="H129" s="640"/>
      <c r="I129" s="640"/>
      <c r="J129" s="640"/>
      <c r="K129" s="640"/>
      <c r="L129" s="640"/>
      <c r="M129" s="640"/>
      <c r="N129" s="640"/>
      <c r="O129" s="640"/>
      <c r="P129" s="640"/>
      <c r="Q129" s="640"/>
      <c r="R129" s="640"/>
      <c r="S129" s="640"/>
      <c r="T129" s="640"/>
      <c r="U129" s="640"/>
      <c r="V129" s="640"/>
      <c r="W129" s="640"/>
      <c r="X129" s="640"/>
      <c r="Y129" s="640"/>
      <c r="Z129" s="640"/>
      <c r="AA129" s="640"/>
      <c r="AB129" s="640"/>
      <c r="AC129" s="640"/>
      <c r="AD129" s="640"/>
      <c r="AE129" s="640"/>
      <c r="AF129" s="640"/>
      <c r="AG129" s="640"/>
      <c r="AH129" s="640"/>
      <c r="AI129" s="640"/>
      <c r="AJ129" s="641"/>
    </row>
    <row r="130" spans="2:36">
      <c r="B130" s="645" t="s">
        <v>2172</v>
      </c>
      <c r="C130" s="646"/>
      <c r="D130" s="646"/>
      <c r="E130" s="646"/>
      <c r="F130" s="646"/>
      <c r="G130" s="646"/>
      <c r="H130" s="646"/>
      <c r="I130" s="646"/>
      <c r="J130" s="646"/>
      <c r="K130" s="646"/>
      <c r="L130" s="646"/>
      <c r="M130" s="646"/>
      <c r="N130" s="646"/>
      <c r="O130" s="646"/>
      <c r="P130" s="646"/>
      <c r="Q130" s="646"/>
      <c r="R130" s="646"/>
      <c r="S130" s="646"/>
      <c r="T130" s="646"/>
      <c r="U130" s="646"/>
      <c r="V130" s="646"/>
      <c r="W130" s="646"/>
      <c r="X130" s="646"/>
      <c r="Y130" s="646"/>
      <c r="Z130" s="646"/>
      <c r="AA130" s="646"/>
      <c r="AB130" s="646"/>
      <c r="AC130" s="646"/>
      <c r="AD130" s="646"/>
      <c r="AE130" s="646"/>
      <c r="AF130" s="646"/>
      <c r="AG130" s="646"/>
      <c r="AH130" s="646"/>
      <c r="AI130" s="646"/>
      <c r="AJ130" s="647"/>
    </row>
    <row r="131" spans="2:36" ht="3.75" customHeight="1" thickBot="1">
      <c r="B131" s="648"/>
      <c r="C131" s="649"/>
      <c r="D131" s="649"/>
      <c r="E131" s="649"/>
      <c r="F131" s="649"/>
      <c r="G131" s="649"/>
      <c r="H131" s="649"/>
      <c r="I131" s="649"/>
      <c r="J131" s="649"/>
      <c r="K131" s="649"/>
      <c r="L131" s="649"/>
      <c r="M131" s="649"/>
      <c r="N131" s="649"/>
      <c r="O131" s="649"/>
      <c r="P131" s="649"/>
      <c r="Q131" s="649"/>
      <c r="R131" s="649"/>
      <c r="S131" s="649"/>
      <c r="T131" s="649"/>
      <c r="U131" s="649"/>
      <c r="V131" s="649"/>
      <c r="W131" s="649"/>
      <c r="X131" s="649"/>
      <c r="Y131" s="649"/>
      <c r="Z131" s="649"/>
      <c r="AA131" s="649"/>
      <c r="AB131" s="649"/>
      <c r="AC131" s="649"/>
      <c r="AD131" s="649"/>
      <c r="AE131" s="649"/>
      <c r="AF131" s="649"/>
      <c r="AG131" s="649"/>
      <c r="AH131" s="649"/>
      <c r="AI131" s="649"/>
      <c r="AJ131" s="650"/>
    </row>
    <row r="132" spans="2:36" s="137" customFormat="1" ht="10.5" thickBot="1">
      <c r="B132" s="136" t="s">
        <v>184</v>
      </c>
      <c r="C132" s="651" t="s">
        <v>183</v>
      </c>
      <c r="D132" s="651"/>
      <c r="E132" s="651" t="s">
        <v>182</v>
      </c>
      <c r="F132" s="651"/>
      <c r="G132" s="651"/>
      <c r="H132" s="651"/>
      <c r="I132" s="651"/>
      <c r="J132" s="651"/>
      <c r="K132" s="651"/>
      <c r="L132" s="651"/>
      <c r="M132" s="651"/>
      <c r="N132" s="651"/>
      <c r="O132" s="651"/>
      <c r="P132" s="651" t="s">
        <v>181</v>
      </c>
      <c r="Q132" s="651"/>
      <c r="R132" s="651"/>
      <c r="S132" s="651"/>
      <c r="T132" s="651" t="s">
        <v>180</v>
      </c>
      <c r="U132" s="651"/>
      <c r="V132" s="651"/>
      <c r="W132" s="651" t="s">
        <v>179</v>
      </c>
      <c r="X132" s="651"/>
      <c r="Y132" s="652" t="s">
        <v>178</v>
      </c>
      <c r="Z132" s="652"/>
      <c r="AA132" s="652"/>
      <c r="AB132" s="652"/>
      <c r="AC132" s="652" t="s">
        <v>177</v>
      </c>
      <c r="AD132" s="652"/>
      <c r="AE132" s="652"/>
      <c r="AF132" s="652"/>
      <c r="AG132" s="652"/>
      <c r="AH132" s="652"/>
      <c r="AI132" s="651" t="s">
        <v>176</v>
      </c>
      <c r="AJ132" s="653"/>
    </row>
    <row r="133" spans="2:36" s="156" customFormat="1" ht="22.5" customHeight="1" thickBot="1">
      <c r="B133" s="152" t="s">
        <v>2179</v>
      </c>
      <c r="C133" s="634" t="s">
        <v>1198</v>
      </c>
      <c r="D133" s="634"/>
      <c r="E133" s="635" t="s">
        <v>1198</v>
      </c>
      <c r="F133" s="635"/>
      <c r="G133" s="635"/>
      <c r="H133" s="635"/>
      <c r="I133" s="635"/>
      <c r="J133" s="635"/>
      <c r="K133" s="635"/>
      <c r="L133" s="635"/>
      <c r="M133" s="635"/>
      <c r="N133" s="635"/>
      <c r="O133" s="635"/>
      <c r="P133" s="636">
        <v>0</v>
      </c>
      <c r="Q133" s="636"/>
      <c r="R133" s="636"/>
      <c r="S133" s="357" t="s">
        <v>2179</v>
      </c>
      <c r="T133" s="157" t="s">
        <v>1198</v>
      </c>
      <c r="U133" s="359">
        <v>0</v>
      </c>
      <c r="V133" s="154" t="s">
        <v>2179</v>
      </c>
      <c r="W133" s="634" t="s">
        <v>2179</v>
      </c>
      <c r="X133" s="634"/>
      <c r="Y133" s="634" t="s">
        <v>2179</v>
      </c>
      <c r="Z133" s="634"/>
      <c r="AA133" s="634"/>
      <c r="AB133" s="637" t="s">
        <v>2179</v>
      </c>
      <c r="AC133" s="637"/>
      <c r="AD133" s="637"/>
      <c r="AE133" s="637"/>
      <c r="AF133" s="637"/>
      <c r="AG133" s="637"/>
      <c r="AH133" s="358"/>
      <c r="AI133" s="634" t="s">
        <v>2179</v>
      </c>
      <c r="AJ133" s="638"/>
    </row>
    <row r="134" spans="2:36" s="156" customFormat="1" ht="22.5" customHeight="1" thickBot="1">
      <c r="B134" s="152" t="s">
        <v>2179</v>
      </c>
      <c r="C134" s="634" t="s">
        <v>1198</v>
      </c>
      <c r="D134" s="634"/>
      <c r="E134" s="635" t="s">
        <v>1198</v>
      </c>
      <c r="F134" s="635"/>
      <c r="G134" s="635"/>
      <c r="H134" s="635"/>
      <c r="I134" s="635"/>
      <c r="J134" s="635"/>
      <c r="K134" s="635"/>
      <c r="L134" s="635"/>
      <c r="M134" s="635"/>
      <c r="N134" s="635"/>
      <c r="O134" s="635"/>
      <c r="P134" s="636">
        <v>0</v>
      </c>
      <c r="Q134" s="636"/>
      <c r="R134" s="636"/>
      <c r="S134" s="357" t="s">
        <v>2179</v>
      </c>
      <c r="T134" s="157" t="s">
        <v>1198</v>
      </c>
      <c r="U134" s="359">
        <v>0</v>
      </c>
      <c r="V134" s="154" t="s">
        <v>2179</v>
      </c>
      <c r="W134" s="634" t="s">
        <v>2179</v>
      </c>
      <c r="X134" s="634"/>
      <c r="Y134" s="634" t="s">
        <v>2179</v>
      </c>
      <c r="Z134" s="634"/>
      <c r="AA134" s="634"/>
      <c r="AB134" s="637" t="s">
        <v>2179</v>
      </c>
      <c r="AC134" s="637"/>
      <c r="AD134" s="637"/>
      <c r="AE134" s="637"/>
      <c r="AF134" s="637"/>
      <c r="AG134" s="637"/>
      <c r="AH134" s="358"/>
      <c r="AI134" s="634" t="s">
        <v>2179</v>
      </c>
      <c r="AJ134" s="638"/>
    </row>
    <row r="135" spans="2:36" s="156" customFormat="1" ht="22.5" customHeight="1" thickBot="1">
      <c r="B135" s="152" t="s">
        <v>2179</v>
      </c>
      <c r="C135" s="634" t="s">
        <v>1198</v>
      </c>
      <c r="D135" s="634"/>
      <c r="E135" s="635" t="s">
        <v>1198</v>
      </c>
      <c r="F135" s="635"/>
      <c r="G135" s="635"/>
      <c r="H135" s="635"/>
      <c r="I135" s="635"/>
      <c r="J135" s="635"/>
      <c r="K135" s="635"/>
      <c r="L135" s="635"/>
      <c r="M135" s="635"/>
      <c r="N135" s="635"/>
      <c r="O135" s="635"/>
      <c r="P135" s="636">
        <v>0</v>
      </c>
      <c r="Q135" s="636"/>
      <c r="R135" s="636"/>
      <c r="S135" s="357" t="s">
        <v>2179</v>
      </c>
      <c r="T135" s="157" t="s">
        <v>1198</v>
      </c>
      <c r="U135" s="359">
        <v>0</v>
      </c>
      <c r="V135" s="154" t="s">
        <v>2179</v>
      </c>
      <c r="W135" s="634" t="s">
        <v>2179</v>
      </c>
      <c r="X135" s="634"/>
      <c r="Y135" s="634" t="s">
        <v>2179</v>
      </c>
      <c r="Z135" s="634"/>
      <c r="AA135" s="634"/>
      <c r="AB135" s="637" t="s">
        <v>2179</v>
      </c>
      <c r="AC135" s="637"/>
      <c r="AD135" s="637"/>
      <c r="AE135" s="637"/>
      <c r="AF135" s="637"/>
      <c r="AG135" s="637"/>
      <c r="AH135" s="358"/>
      <c r="AI135" s="634" t="s">
        <v>2179</v>
      </c>
      <c r="AJ135" s="638"/>
    </row>
    <row r="136" spans="2:36" s="156" customFormat="1" ht="22.5" customHeight="1" thickBot="1">
      <c r="B136" s="152" t="s">
        <v>2179</v>
      </c>
      <c r="C136" s="634" t="s">
        <v>1198</v>
      </c>
      <c r="D136" s="634"/>
      <c r="E136" s="635" t="s">
        <v>1198</v>
      </c>
      <c r="F136" s="635"/>
      <c r="G136" s="635"/>
      <c r="H136" s="635"/>
      <c r="I136" s="635"/>
      <c r="J136" s="635"/>
      <c r="K136" s="635"/>
      <c r="L136" s="635"/>
      <c r="M136" s="635"/>
      <c r="N136" s="635"/>
      <c r="O136" s="635"/>
      <c r="P136" s="636">
        <v>0</v>
      </c>
      <c r="Q136" s="636"/>
      <c r="R136" s="636"/>
      <c r="S136" s="357" t="s">
        <v>2179</v>
      </c>
      <c r="T136" s="157" t="s">
        <v>1198</v>
      </c>
      <c r="U136" s="359">
        <v>0</v>
      </c>
      <c r="V136" s="154" t="s">
        <v>2179</v>
      </c>
      <c r="W136" s="634" t="s">
        <v>2179</v>
      </c>
      <c r="X136" s="634"/>
      <c r="Y136" s="634" t="s">
        <v>2179</v>
      </c>
      <c r="Z136" s="634"/>
      <c r="AA136" s="634"/>
      <c r="AB136" s="637" t="s">
        <v>2179</v>
      </c>
      <c r="AC136" s="637"/>
      <c r="AD136" s="637"/>
      <c r="AE136" s="637"/>
      <c r="AF136" s="637"/>
      <c r="AG136" s="637"/>
      <c r="AH136" s="358"/>
      <c r="AI136" s="634" t="s">
        <v>2179</v>
      </c>
      <c r="AJ136" s="638"/>
    </row>
    <row r="137" spans="2:36" s="156" customFormat="1" ht="22.5" customHeight="1" thickBot="1">
      <c r="B137" s="152" t="s">
        <v>2179</v>
      </c>
      <c r="C137" s="634" t="s">
        <v>1198</v>
      </c>
      <c r="D137" s="634"/>
      <c r="E137" s="635" t="s">
        <v>1198</v>
      </c>
      <c r="F137" s="635"/>
      <c r="G137" s="635"/>
      <c r="H137" s="635"/>
      <c r="I137" s="635"/>
      <c r="J137" s="635"/>
      <c r="K137" s="635"/>
      <c r="L137" s="635"/>
      <c r="M137" s="635"/>
      <c r="N137" s="635"/>
      <c r="O137" s="635"/>
      <c r="P137" s="636">
        <v>0</v>
      </c>
      <c r="Q137" s="636"/>
      <c r="R137" s="636"/>
      <c r="S137" s="357" t="s">
        <v>2179</v>
      </c>
      <c r="T137" s="157" t="s">
        <v>1198</v>
      </c>
      <c r="U137" s="359">
        <v>0</v>
      </c>
      <c r="V137" s="154" t="s">
        <v>2179</v>
      </c>
      <c r="W137" s="634" t="s">
        <v>2179</v>
      </c>
      <c r="X137" s="634"/>
      <c r="Y137" s="634" t="s">
        <v>2179</v>
      </c>
      <c r="Z137" s="634"/>
      <c r="AA137" s="634"/>
      <c r="AB137" s="637" t="s">
        <v>2179</v>
      </c>
      <c r="AC137" s="637"/>
      <c r="AD137" s="637"/>
      <c r="AE137" s="637"/>
      <c r="AF137" s="637"/>
      <c r="AG137" s="637"/>
      <c r="AH137" s="358"/>
      <c r="AI137" s="634" t="s">
        <v>2179</v>
      </c>
      <c r="AJ137" s="638"/>
    </row>
    <row r="138" spans="2:36" s="156" customFormat="1" ht="22.5" customHeight="1" thickBot="1">
      <c r="B138" s="152" t="s">
        <v>2179</v>
      </c>
      <c r="C138" s="634" t="s">
        <v>1198</v>
      </c>
      <c r="D138" s="634"/>
      <c r="E138" s="635" t="s">
        <v>1198</v>
      </c>
      <c r="F138" s="635"/>
      <c r="G138" s="635"/>
      <c r="H138" s="635"/>
      <c r="I138" s="635"/>
      <c r="J138" s="635"/>
      <c r="K138" s="635"/>
      <c r="L138" s="635"/>
      <c r="M138" s="635"/>
      <c r="N138" s="635"/>
      <c r="O138" s="635"/>
      <c r="P138" s="636">
        <v>0</v>
      </c>
      <c r="Q138" s="636"/>
      <c r="R138" s="636"/>
      <c r="S138" s="357" t="s">
        <v>2179</v>
      </c>
      <c r="T138" s="157" t="s">
        <v>1198</v>
      </c>
      <c r="U138" s="359">
        <v>0</v>
      </c>
      <c r="V138" s="154" t="s">
        <v>2179</v>
      </c>
      <c r="W138" s="634" t="s">
        <v>2179</v>
      </c>
      <c r="X138" s="634"/>
      <c r="Y138" s="634" t="s">
        <v>2179</v>
      </c>
      <c r="Z138" s="634"/>
      <c r="AA138" s="634"/>
      <c r="AB138" s="637" t="s">
        <v>2179</v>
      </c>
      <c r="AC138" s="637"/>
      <c r="AD138" s="637"/>
      <c r="AE138" s="637"/>
      <c r="AF138" s="637"/>
      <c r="AG138" s="637"/>
      <c r="AH138" s="358"/>
      <c r="AI138" s="634" t="s">
        <v>2179</v>
      </c>
      <c r="AJ138" s="638"/>
    </row>
    <row r="139" spans="2:36" s="156" customFormat="1" ht="22.5" customHeight="1" thickBot="1">
      <c r="B139" s="152" t="s">
        <v>2179</v>
      </c>
      <c r="C139" s="634" t="s">
        <v>1198</v>
      </c>
      <c r="D139" s="634"/>
      <c r="E139" s="635" t="s">
        <v>1198</v>
      </c>
      <c r="F139" s="635"/>
      <c r="G139" s="635"/>
      <c r="H139" s="635"/>
      <c r="I139" s="635"/>
      <c r="J139" s="635"/>
      <c r="K139" s="635"/>
      <c r="L139" s="635"/>
      <c r="M139" s="635"/>
      <c r="N139" s="635"/>
      <c r="O139" s="635"/>
      <c r="P139" s="636">
        <v>0</v>
      </c>
      <c r="Q139" s="636"/>
      <c r="R139" s="636"/>
      <c r="S139" s="357" t="s">
        <v>2179</v>
      </c>
      <c r="T139" s="157" t="s">
        <v>1198</v>
      </c>
      <c r="U139" s="359">
        <v>0</v>
      </c>
      <c r="V139" s="154" t="s">
        <v>2179</v>
      </c>
      <c r="W139" s="634" t="s">
        <v>2179</v>
      </c>
      <c r="X139" s="634"/>
      <c r="Y139" s="634" t="s">
        <v>2179</v>
      </c>
      <c r="Z139" s="634"/>
      <c r="AA139" s="634"/>
      <c r="AB139" s="637" t="s">
        <v>2179</v>
      </c>
      <c r="AC139" s="637"/>
      <c r="AD139" s="637"/>
      <c r="AE139" s="637"/>
      <c r="AF139" s="637"/>
      <c r="AG139" s="637"/>
      <c r="AH139" s="358"/>
      <c r="AI139" s="634" t="s">
        <v>2179</v>
      </c>
      <c r="AJ139" s="638"/>
    </row>
    <row r="140" spans="2:36" s="156" customFormat="1" ht="22.5" customHeight="1" thickBot="1">
      <c r="B140" s="152" t="s">
        <v>2179</v>
      </c>
      <c r="C140" s="634" t="s">
        <v>1198</v>
      </c>
      <c r="D140" s="634"/>
      <c r="E140" s="635" t="s">
        <v>1198</v>
      </c>
      <c r="F140" s="635"/>
      <c r="G140" s="635"/>
      <c r="H140" s="635"/>
      <c r="I140" s="635"/>
      <c r="J140" s="635"/>
      <c r="K140" s="635"/>
      <c r="L140" s="635"/>
      <c r="M140" s="635"/>
      <c r="N140" s="635"/>
      <c r="O140" s="635"/>
      <c r="P140" s="636">
        <v>0</v>
      </c>
      <c r="Q140" s="636"/>
      <c r="R140" s="636"/>
      <c r="S140" s="357" t="s">
        <v>2179</v>
      </c>
      <c r="T140" s="157" t="s">
        <v>1198</v>
      </c>
      <c r="U140" s="359">
        <v>0</v>
      </c>
      <c r="V140" s="154" t="s">
        <v>2179</v>
      </c>
      <c r="W140" s="634" t="s">
        <v>2179</v>
      </c>
      <c r="X140" s="634"/>
      <c r="Y140" s="634" t="s">
        <v>2179</v>
      </c>
      <c r="Z140" s="634"/>
      <c r="AA140" s="634"/>
      <c r="AB140" s="637" t="s">
        <v>2179</v>
      </c>
      <c r="AC140" s="637"/>
      <c r="AD140" s="637"/>
      <c r="AE140" s="637"/>
      <c r="AF140" s="637"/>
      <c r="AG140" s="637"/>
      <c r="AH140" s="358"/>
      <c r="AI140" s="634" t="s">
        <v>2179</v>
      </c>
      <c r="AJ140" s="638"/>
    </row>
    <row r="141" spans="2:36" s="156" customFormat="1" ht="22.5" customHeight="1" thickBot="1">
      <c r="B141" s="152" t="s">
        <v>2179</v>
      </c>
      <c r="C141" s="634" t="s">
        <v>1198</v>
      </c>
      <c r="D141" s="634"/>
      <c r="E141" s="635" t="s">
        <v>1198</v>
      </c>
      <c r="F141" s="635"/>
      <c r="G141" s="635"/>
      <c r="H141" s="635"/>
      <c r="I141" s="635"/>
      <c r="J141" s="635"/>
      <c r="K141" s="635"/>
      <c r="L141" s="635"/>
      <c r="M141" s="635"/>
      <c r="N141" s="635"/>
      <c r="O141" s="635"/>
      <c r="P141" s="636">
        <v>0</v>
      </c>
      <c r="Q141" s="636"/>
      <c r="R141" s="636"/>
      <c r="S141" s="357" t="s">
        <v>2179</v>
      </c>
      <c r="T141" s="157" t="s">
        <v>1198</v>
      </c>
      <c r="U141" s="359">
        <v>0</v>
      </c>
      <c r="V141" s="154" t="s">
        <v>2179</v>
      </c>
      <c r="W141" s="634" t="s">
        <v>2179</v>
      </c>
      <c r="X141" s="634"/>
      <c r="Y141" s="634" t="s">
        <v>2179</v>
      </c>
      <c r="Z141" s="634"/>
      <c r="AA141" s="634"/>
      <c r="AB141" s="637" t="s">
        <v>2179</v>
      </c>
      <c r="AC141" s="637"/>
      <c r="AD141" s="637"/>
      <c r="AE141" s="637"/>
      <c r="AF141" s="637"/>
      <c r="AG141" s="637"/>
      <c r="AH141" s="358"/>
      <c r="AI141" s="634" t="s">
        <v>2179</v>
      </c>
      <c r="AJ141" s="638"/>
    </row>
    <row r="142" spans="2:36" s="156" customFormat="1" ht="22.5" customHeight="1" thickBot="1">
      <c r="B142" s="152" t="s">
        <v>2179</v>
      </c>
      <c r="C142" s="634" t="s">
        <v>1198</v>
      </c>
      <c r="D142" s="634"/>
      <c r="E142" s="635" t="s">
        <v>1198</v>
      </c>
      <c r="F142" s="635"/>
      <c r="G142" s="635"/>
      <c r="H142" s="635"/>
      <c r="I142" s="635"/>
      <c r="J142" s="635"/>
      <c r="K142" s="635"/>
      <c r="L142" s="635"/>
      <c r="M142" s="635"/>
      <c r="N142" s="635"/>
      <c r="O142" s="635"/>
      <c r="P142" s="636">
        <v>0</v>
      </c>
      <c r="Q142" s="636"/>
      <c r="R142" s="636"/>
      <c r="S142" s="357" t="s">
        <v>2179</v>
      </c>
      <c r="T142" s="157" t="s">
        <v>1198</v>
      </c>
      <c r="U142" s="359">
        <v>0</v>
      </c>
      <c r="V142" s="154" t="s">
        <v>2179</v>
      </c>
      <c r="W142" s="634" t="s">
        <v>2179</v>
      </c>
      <c r="X142" s="634"/>
      <c r="Y142" s="634" t="s">
        <v>2179</v>
      </c>
      <c r="Z142" s="634"/>
      <c r="AA142" s="634"/>
      <c r="AB142" s="637" t="s">
        <v>2179</v>
      </c>
      <c r="AC142" s="637"/>
      <c r="AD142" s="637"/>
      <c r="AE142" s="637"/>
      <c r="AF142" s="637"/>
      <c r="AG142" s="637"/>
      <c r="AH142" s="358"/>
      <c r="AI142" s="634" t="s">
        <v>2179</v>
      </c>
      <c r="AJ142" s="638"/>
    </row>
    <row r="143" spans="2:36" s="138" customFormat="1" ht="13.5" customHeight="1" thickBot="1">
      <c r="B143" s="139"/>
      <c r="C143" s="140"/>
      <c r="D143" s="140" t="s">
        <v>171</v>
      </c>
      <c r="E143" s="140"/>
      <c r="F143" s="140"/>
      <c r="G143" s="140"/>
      <c r="H143" s="140"/>
      <c r="I143" s="140"/>
      <c r="J143" s="140"/>
      <c r="K143" s="140" t="s">
        <v>170</v>
      </c>
      <c r="L143" s="140"/>
      <c r="M143" s="140"/>
      <c r="N143" s="140"/>
      <c r="O143" s="140"/>
      <c r="P143" s="265"/>
      <c r="Q143" s="265"/>
      <c r="R143" s="265"/>
      <c r="S143" s="140"/>
      <c r="T143" s="140" t="s">
        <v>169</v>
      </c>
      <c r="U143" s="265"/>
      <c r="V143" s="140"/>
      <c r="W143" s="140"/>
      <c r="X143" s="140"/>
      <c r="Y143" s="140"/>
      <c r="Z143" s="140"/>
      <c r="AA143" s="140"/>
      <c r="AB143" s="140"/>
      <c r="AC143" s="140"/>
      <c r="AD143" s="140" t="s">
        <v>168</v>
      </c>
      <c r="AE143" s="140"/>
      <c r="AF143" s="140"/>
      <c r="AG143" s="140"/>
      <c r="AH143" s="140"/>
      <c r="AI143" s="140"/>
      <c r="AJ143" s="141"/>
    </row>
    <row r="144" spans="2:36" s="138" customFormat="1" ht="13.5" customHeight="1">
      <c r="B144" s="360" t="s">
        <v>167</v>
      </c>
      <c r="C144" s="361"/>
      <c r="D144" s="361"/>
      <c r="E144" s="361" t="s">
        <v>166</v>
      </c>
      <c r="F144" s="361"/>
      <c r="G144" s="361"/>
      <c r="H144" s="361"/>
      <c r="I144" s="361" t="s">
        <v>165</v>
      </c>
      <c r="J144" s="361"/>
      <c r="K144" s="361"/>
      <c r="L144" s="361" t="s">
        <v>164</v>
      </c>
      <c r="M144" s="361"/>
      <c r="N144" s="361"/>
      <c r="O144" s="361"/>
      <c r="P144" s="266"/>
      <c r="Q144" s="266"/>
      <c r="R144" s="266"/>
      <c r="S144" s="361"/>
      <c r="T144" s="361"/>
      <c r="U144" s="266"/>
      <c r="V144" s="361"/>
      <c r="W144" s="362"/>
      <c r="X144" s="360" t="s">
        <v>163</v>
      </c>
      <c r="Y144" s="361"/>
      <c r="Z144" s="361"/>
      <c r="AA144" s="361"/>
      <c r="AB144" s="361"/>
      <c r="AC144" s="361"/>
      <c r="AD144" s="361"/>
      <c r="AE144" s="361"/>
      <c r="AF144" s="361"/>
      <c r="AG144" s="361"/>
      <c r="AH144" s="361"/>
      <c r="AI144" s="361"/>
      <c r="AJ144" s="362"/>
    </row>
    <row r="145" spans="2:36" s="138" customFormat="1" ht="7.5" customHeight="1">
      <c r="B145" s="142"/>
      <c r="C145" s="367"/>
      <c r="D145" s="367"/>
      <c r="E145" s="144"/>
      <c r="F145" s="367"/>
      <c r="G145" s="367"/>
      <c r="H145" s="367"/>
      <c r="I145" s="144"/>
      <c r="J145" s="367"/>
      <c r="K145" s="367"/>
      <c r="L145" s="367"/>
      <c r="M145" s="367"/>
      <c r="N145" s="367"/>
      <c r="O145" s="367"/>
      <c r="P145" s="267"/>
      <c r="Q145" s="267"/>
      <c r="R145" s="267"/>
      <c r="S145" s="367"/>
      <c r="T145" s="367"/>
      <c r="U145" s="267"/>
      <c r="V145" s="367"/>
      <c r="W145" s="145"/>
      <c r="X145" s="146"/>
      <c r="Y145" s="367"/>
      <c r="Z145" s="367"/>
      <c r="AA145" s="367"/>
      <c r="AB145" s="367"/>
      <c r="AC145" s="367"/>
      <c r="AD145" s="367"/>
      <c r="AE145" s="367"/>
      <c r="AF145" s="367"/>
      <c r="AG145" s="367"/>
      <c r="AH145" s="367"/>
      <c r="AI145" s="367"/>
      <c r="AJ145" s="145"/>
    </row>
    <row r="146" spans="2:36" s="138" customFormat="1" ht="13.5" customHeight="1" thickBot="1">
      <c r="B146" s="363"/>
      <c r="C146" s="364"/>
      <c r="D146" s="366"/>
      <c r="E146" s="364"/>
      <c r="F146" s="364"/>
      <c r="G146" s="364"/>
      <c r="H146" s="364"/>
      <c r="I146" s="364"/>
      <c r="J146" s="364"/>
      <c r="K146" s="364"/>
      <c r="L146" s="364"/>
      <c r="M146" s="364"/>
      <c r="N146" s="364"/>
      <c r="O146" s="364"/>
      <c r="P146" s="268"/>
      <c r="Q146" s="268" t="s">
        <v>162</v>
      </c>
      <c r="R146" s="268"/>
      <c r="S146" s="364"/>
      <c r="T146" s="364"/>
      <c r="U146" s="268"/>
      <c r="V146" s="364"/>
      <c r="W146" s="365"/>
      <c r="X146" s="363"/>
      <c r="Y146" s="364"/>
      <c r="Z146" s="364"/>
      <c r="AA146" s="364"/>
      <c r="AB146" s="364"/>
      <c r="AC146" s="364"/>
      <c r="AD146" s="364"/>
      <c r="AE146" s="364"/>
      <c r="AF146" s="364"/>
      <c r="AG146" s="364"/>
      <c r="AH146" s="364"/>
      <c r="AI146" s="364"/>
      <c r="AJ146" s="365"/>
    </row>
  </sheetData>
  <mergeCells count="552">
    <mergeCell ref="C141:D141"/>
    <mergeCell ref="E141:O141"/>
    <mergeCell ref="P141:R141"/>
    <mergeCell ref="W141:X141"/>
    <mergeCell ref="Y141:AA141"/>
    <mergeCell ref="AB141:AG141"/>
    <mergeCell ref="AI141:AJ141"/>
    <mergeCell ref="C142:D142"/>
    <mergeCell ref="E142:O142"/>
    <mergeCell ref="P142:R142"/>
    <mergeCell ref="W142:X142"/>
    <mergeCell ref="Y142:AA142"/>
    <mergeCell ref="AB142:AG142"/>
    <mergeCell ref="AI142:AJ142"/>
    <mergeCell ref="C139:D139"/>
    <mergeCell ref="E139:O139"/>
    <mergeCell ref="P139:R139"/>
    <mergeCell ref="W139:X139"/>
    <mergeCell ref="Y139:AA139"/>
    <mergeCell ref="AB139:AG139"/>
    <mergeCell ref="AI139:AJ139"/>
    <mergeCell ref="C140:D140"/>
    <mergeCell ref="E140:O140"/>
    <mergeCell ref="P140:R140"/>
    <mergeCell ref="W140:X140"/>
    <mergeCell ref="Y140:AA140"/>
    <mergeCell ref="AB140:AG140"/>
    <mergeCell ref="AI140:AJ140"/>
    <mergeCell ref="C137:D137"/>
    <mergeCell ref="E137:O137"/>
    <mergeCell ref="P137:R137"/>
    <mergeCell ref="W137:X137"/>
    <mergeCell ref="Y137:AA137"/>
    <mergeCell ref="AB137:AG137"/>
    <mergeCell ref="AI137:AJ137"/>
    <mergeCell ref="C138:D138"/>
    <mergeCell ref="E138:O138"/>
    <mergeCell ref="P138:R138"/>
    <mergeCell ref="W138:X138"/>
    <mergeCell ref="Y138:AA138"/>
    <mergeCell ref="AB138:AG138"/>
    <mergeCell ref="AI138:AJ138"/>
    <mergeCell ref="C135:D135"/>
    <mergeCell ref="E135:O135"/>
    <mergeCell ref="P135:R135"/>
    <mergeCell ref="W135:X135"/>
    <mergeCell ref="Y135:AA135"/>
    <mergeCell ref="AB135:AG135"/>
    <mergeCell ref="AI135:AJ135"/>
    <mergeCell ref="C136:D136"/>
    <mergeCell ref="E136:O136"/>
    <mergeCell ref="P136:R136"/>
    <mergeCell ref="W136:X136"/>
    <mergeCell ref="Y136:AA136"/>
    <mergeCell ref="AB136:AG136"/>
    <mergeCell ref="AI136:AJ136"/>
    <mergeCell ref="C133:D133"/>
    <mergeCell ref="E133:O133"/>
    <mergeCell ref="P133:R133"/>
    <mergeCell ref="W133:X133"/>
    <mergeCell ref="Y133:AA133"/>
    <mergeCell ref="AB133:AG133"/>
    <mergeCell ref="AI133:AJ133"/>
    <mergeCell ref="C134:D134"/>
    <mergeCell ref="E134:O134"/>
    <mergeCell ref="P134:R134"/>
    <mergeCell ref="W134:X134"/>
    <mergeCell ref="Y134:AA134"/>
    <mergeCell ref="AB134:AG134"/>
    <mergeCell ref="AI134:AJ134"/>
    <mergeCell ref="B127:AJ127"/>
    <mergeCell ref="B128:AJ128"/>
    <mergeCell ref="B129:AJ129"/>
    <mergeCell ref="B130:AJ131"/>
    <mergeCell ref="C132:D132"/>
    <mergeCell ref="E132:O132"/>
    <mergeCell ref="P132:S132"/>
    <mergeCell ref="T132:V132"/>
    <mergeCell ref="W132:X132"/>
    <mergeCell ref="Y132:AB132"/>
    <mergeCell ref="AC132:AH132"/>
    <mergeCell ref="AI132:AJ132"/>
    <mergeCell ref="B125:I125"/>
    <mergeCell ref="J125:K125"/>
    <mergeCell ref="L125:O125"/>
    <mergeCell ref="P125:T125"/>
    <mergeCell ref="U125:W125"/>
    <mergeCell ref="X125:AA125"/>
    <mergeCell ref="AB125:AF125"/>
    <mergeCell ref="AG125:AJ125"/>
    <mergeCell ref="AO125:AP126"/>
    <mergeCell ref="B126:I126"/>
    <mergeCell ref="J126:K126"/>
    <mergeCell ref="L126:O126"/>
    <mergeCell ref="P126:T126"/>
    <mergeCell ref="U126:W126"/>
    <mergeCell ref="X126:AA126"/>
    <mergeCell ref="AB126:AF126"/>
    <mergeCell ref="AG126:AJ126"/>
    <mergeCell ref="J121:O121"/>
    <mergeCell ref="P121:W121"/>
    <mergeCell ref="X121:AJ121"/>
    <mergeCell ref="AO121:AP122"/>
    <mergeCell ref="B122:I122"/>
    <mergeCell ref="J122:O122"/>
    <mergeCell ref="P122:W122"/>
    <mergeCell ref="X122:AJ122"/>
    <mergeCell ref="B123:I123"/>
    <mergeCell ref="J123:O123"/>
    <mergeCell ref="P123:W123"/>
    <mergeCell ref="X123:AA123"/>
    <mergeCell ref="AB123:AJ123"/>
    <mergeCell ref="AO123:AP124"/>
    <mergeCell ref="B124:I124"/>
    <mergeCell ref="J124:O124"/>
    <mergeCell ref="P124:W124"/>
    <mergeCell ref="X124:AA124"/>
    <mergeCell ref="AB124:AJ124"/>
    <mergeCell ref="F119:I119"/>
    <mergeCell ref="J119:O119"/>
    <mergeCell ref="P119:W119"/>
    <mergeCell ref="X119:AJ119"/>
    <mergeCell ref="AO119:AP120"/>
    <mergeCell ref="B120:I120"/>
    <mergeCell ref="J120:O120"/>
    <mergeCell ref="P120:W120"/>
    <mergeCell ref="X120:AJ120"/>
    <mergeCell ref="H111:Z114"/>
    <mergeCell ref="J117:O117"/>
    <mergeCell ref="P117:W117"/>
    <mergeCell ref="X117:AA117"/>
    <mergeCell ref="AB117:AJ117"/>
    <mergeCell ref="AO117:AP118"/>
    <mergeCell ref="B118:I118"/>
    <mergeCell ref="J118:O118"/>
    <mergeCell ref="P118:W118"/>
    <mergeCell ref="X118:AA118"/>
    <mergeCell ref="AB118:AJ118"/>
    <mergeCell ref="C28:D28"/>
    <mergeCell ref="E28:O28"/>
    <mergeCell ref="W28:X28"/>
    <mergeCell ref="Y28:AA28"/>
    <mergeCell ref="AB28:AG28"/>
    <mergeCell ref="AI28:AJ28"/>
    <mergeCell ref="AB29:AG29"/>
    <mergeCell ref="C30:D30"/>
    <mergeCell ref="E30:O30"/>
    <mergeCell ref="AB30:AG30"/>
    <mergeCell ref="P28:R28"/>
    <mergeCell ref="Y29:AA29"/>
    <mergeCell ref="W29:X29"/>
    <mergeCell ref="Y30:AA30"/>
    <mergeCell ref="E29:O29"/>
    <mergeCell ref="P29:R29"/>
    <mergeCell ref="C29:D29"/>
    <mergeCell ref="AI29:AJ29"/>
    <mergeCell ref="P30:R30"/>
    <mergeCell ref="W30:X30"/>
    <mergeCell ref="AI30:AJ30"/>
    <mergeCell ref="AB25:AG25"/>
    <mergeCell ref="AI25:AJ25"/>
    <mergeCell ref="AB26:AG26"/>
    <mergeCell ref="C27:D27"/>
    <mergeCell ref="E27:O27"/>
    <mergeCell ref="AB27:AG27"/>
    <mergeCell ref="AI26:AJ26"/>
    <mergeCell ref="Y26:AA26"/>
    <mergeCell ref="C26:D26"/>
    <mergeCell ref="AI27:AJ27"/>
    <mergeCell ref="E26:O26"/>
    <mergeCell ref="P26:R26"/>
    <mergeCell ref="P25:R25"/>
    <mergeCell ref="W26:X26"/>
    <mergeCell ref="P27:R27"/>
    <mergeCell ref="W27:X27"/>
    <mergeCell ref="Y27:AA27"/>
    <mergeCell ref="C25:D25"/>
    <mergeCell ref="E25:O25"/>
    <mergeCell ref="W25:X25"/>
    <mergeCell ref="Y25:AA25"/>
    <mergeCell ref="C23:D23"/>
    <mergeCell ref="E23:O23"/>
    <mergeCell ref="P23:R23"/>
    <mergeCell ref="W23:X23"/>
    <mergeCell ref="AI24:AJ24"/>
    <mergeCell ref="Y24:AA24"/>
    <mergeCell ref="AI23:AJ23"/>
    <mergeCell ref="Y23:AA23"/>
    <mergeCell ref="AB23:AG23"/>
    <mergeCell ref="C24:D24"/>
    <mergeCell ref="E24:O24"/>
    <mergeCell ref="AB24:AG24"/>
    <mergeCell ref="P24:R24"/>
    <mergeCell ref="W24:X24"/>
    <mergeCell ref="B17:AJ17"/>
    <mergeCell ref="B18:AJ18"/>
    <mergeCell ref="B19:AJ19"/>
    <mergeCell ref="B20:AJ21"/>
    <mergeCell ref="C22:D22"/>
    <mergeCell ref="E22:O22"/>
    <mergeCell ref="P22:S22"/>
    <mergeCell ref="T22:V22"/>
    <mergeCell ref="AC22:AH22"/>
    <mergeCell ref="AI22:AJ22"/>
    <mergeCell ref="W22:X22"/>
    <mergeCell ref="Y22:AB22"/>
    <mergeCell ref="B15:I15"/>
    <mergeCell ref="J15:K15"/>
    <mergeCell ref="L15:O15"/>
    <mergeCell ref="P15:T15"/>
    <mergeCell ref="U15:W15"/>
    <mergeCell ref="X15:AA15"/>
    <mergeCell ref="AB15:AF15"/>
    <mergeCell ref="AG15:AJ15"/>
    <mergeCell ref="B16:I16"/>
    <mergeCell ref="J16:K16"/>
    <mergeCell ref="L16:O16"/>
    <mergeCell ref="P16:T16"/>
    <mergeCell ref="U16:W16"/>
    <mergeCell ref="X16:AA16"/>
    <mergeCell ref="AB16:AF16"/>
    <mergeCell ref="AG16:AJ16"/>
    <mergeCell ref="AO11:AP12"/>
    <mergeCell ref="B12:I12"/>
    <mergeCell ref="AO13:AP14"/>
    <mergeCell ref="B14:I14"/>
    <mergeCell ref="J14:O14"/>
    <mergeCell ref="P14:W14"/>
    <mergeCell ref="X14:AA14"/>
    <mergeCell ref="AB14:AJ14"/>
    <mergeCell ref="J12:O12"/>
    <mergeCell ref="P12:W12"/>
    <mergeCell ref="X12:AJ12"/>
    <mergeCell ref="B13:I13"/>
    <mergeCell ref="J13:O13"/>
    <mergeCell ref="P13:W13"/>
    <mergeCell ref="X13:AA13"/>
    <mergeCell ref="AB13:AJ13"/>
    <mergeCell ref="X8:AA8"/>
    <mergeCell ref="AB8:AJ8"/>
    <mergeCell ref="F9:I9"/>
    <mergeCell ref="J9:O9"/>
    <mergeCell ref="P9:W9"/>
    <mergeCell ref="X9:AJ9"/>
    <mergeCell ref="AO15:AP16"/>
    <mergeCell ref="H1:Z4"/>
    <mergeCell ref="J7:O7"/>
    <mergeCell ref="P7:W7"/>
    <mergeCell ref="X7:AA7"/>
    <mergeCell ref="AB7:AJ7"/>
    <mergeCell ref="AO7:AP8"/>
    <mergeCell ref="B8:I8"/>
    <mergeCell ref="J8:O8"/>
    <mergeCell ref="P8:W8"/>
    <mergeCell ref="AO9:AP10"/>
    <mergeCell ref="B10:I10"/>
    <mergeCell ref="J10:O10"/>
    <mergeCell ref="P10:W10"/>
    <mergeCell ref="X10:AJ10"/>
    <mergeCell ref="J11:O11"/>
    <mergeCell ref="P11:W11"/>
    <mergeCell ref="X11:AJ11"/>
    <mergeCell ref="C31:D31"/>
    <mergeCell ref="C32:D32"/>
    <mergeCell ref="E31:O31"/>
    <mergeCell ref="E32:O32"/>
    <mergeCell ref="P31:R31"/>
    <mergeCell ref="P32:R32"/>
    <mergeCell ref="W31:X31"/>
    <mergeCell ref="Y31:AA31"/>
    <mergeCell ref="AB31:AG31"/>
    <mergeCell ref="AI31:AJ31"/>
    <mergeCell ref="W32:X32"/>
    <mergeCell ref="Y32:AA32"/>
    <mergeCell ref="AB32:AG32"/>
    <mergeCell ref="AI32:AJ32"/>
    <mergeCell ref="H37:Z40"/>
    <mergeCell ref="J43:O43"/>
    <mergeCell ref="P43:W43"/>
    <mergeCell ref="X43:AA43"/>
    <mergeCell ref="AB43:AJ43"/>
    <mergeCell ref="AO43:AP44"/>
    <mergeCell ref="B44:I44"/>
    <mergeCell ref="J44:O44"/>
    <mergeCell ref="P44:W44"/>
    <mergeCell ref="X44:AA44"/>
    <mergeCell ref="AB44:AJ44"/>
    <mergeCell ref="F45:I45"/>
    <mergeCell ref="J45:O45"/>
    <mergeCell ref="P45:W45"/>
    <mergeCell ref="X45:AJ45"/>
    <mergeCell ref="AO45:AP46"/>
    <mergeCell ref="B46:I46"/>
    <mergeCell ref="J46:O46"/>
    <mergeCell ref="P46:W46"/>
    <mergeCell ref="X46:AJ46"/>
    <mergeCell ref="J47:O47"/>
    <mergeCell ref="P47:W47"/>
    <mergeCell ref="X47:AJ47"/>
    <mergeCell ref="AO47:AP48"/>
    <mergeCell ref="B48:I48"/>
    <mergeCell ref="J48:O48"/>
    <mergeCell ref="P48:W48"/>
    <mergeCell ref="X48:AJ48"/>
    <mergeCell ref="B49:I49"/>
    <mergeCell ref="J49:O49"/>
    <mergeCell ref="P49:W49"/>
    <mergeCell ref="X49:AA49"/>
    <mergeCell ref="AB49:AJ49"/>
    <mergeCell ref="AO49:AP50"/>
    <mergeCell ref="B50:I50"/>
    <mergeCell ref="J50:O50"/>
    <mergeCell ref="P50:W50"/>
    <mergeCell ref="X50:AA50"/>
    <mergeCell ref="AB50:AJ50"/>
    <mergeCell ref="B51:I51"/>
    <mergeCell ref="J51:K51"/>
    <mergeCell ref="L51:O51"/>
    <mergeCell ref="P51:T51"/>
    <mergeCell ref="U51:W51"/>
    <mergeCell ref="X51:AA51"/>
    <mergeCell ref="AB51:AF51"/>
    <mergeCell ref="AG51:AJ51"/>
    <mergeCell ref="AO51:AP52"/>
    <mergeCell ref="B52:I52"/>
    <mergeCell ref="J52:K52"/>
    <mergeCell ref="L52:O52"/>
    <mergeCell ref="P52:T52"/>
    <mergeCell ref="U52:W52"/>
    <mergeCell ref="X52:AA52"/>
    <mergeCell ref="AB52:AF52"/>
    <mergeCell ref="AG52:AJ52"/>
    <mergeCell ref="B53:AJ53"/>
    <mergeCell ref="B54:AJ54"/>
    <mergeCell ref="B55:AJ55"/>
    <mergeCell ref="B56:AJ57"/>
    <mergeCell ref="C58:D58"/>
    <mergeCell ref="E58:O58"/>
    <mergeCell ref="P58:S58"/>
    <mergeCell ref="T58:V58"/>
    <mergeCell ref="W58:X58"/>
    <mergeCell ref="Y58:AB58"/>
    <mergeCell ref="AC58:AH58"/>
    <mergeCell ref="AI58:AJ58"/>
    <mergeCell ref="C59:D59"/>
    <mergeCell ref="E59:O59"/>
    <mergeCell ref="P59:R59"/>
    <mergeCell ref="W59:X59"/>
    <mergeCell ref="Y59:AA59"/>
    <mergeCell ref="AB59:AG59"/>
    <mergeCell ref="AI59:AJ59"/>
    <mergeCell ref="C60:D60"/>
    <mergeCell ref="E60:O60"/>
    <mergeCell ref="P60:R60"/>
    <mergeCell ref="W60:X60"/>
    <mergeCell ref="Y60:AA60"/>
    <mergeCell ref="AB60:AG60"/>
    <mergeCell ref="AI60:AJ60"/>
    <mergeCell ref="C61:D61"/>
    <mergeCell ref="E61:O61"/>
    <mergeCell ref="P61:R61"/>
    <mergeCell ref="W61:X61"/>
    <mergeCell ref="Y61:AA61"/>
    <mergeCell ref="AB61:AG61"/>
    <mergeCell ref="AI61:AJ61"/>
    <mergeCell ref="C62:D62"/>
    <mergeCell ref="E62:O62"/>
    <mergeCell ref="P62:R62"/>
    <mergeCell ref="W62:X62"/>
    <mergeCell ref="Y62:AA62"/>
    <mergeCell ref="AB62:AG62"/>
    <mergeCell ref="AI62:AJ62"/>
    <mergeCell ref="C63:D63"/>
    <mergeCell ref="E63:O63"/>
    <mergeCell ref="P63:R63"/>
    <mergeCell ref="W63:X63"/>
    <mergeCell ref="Y63:AA63"/>
    <mergeCell ref="AB63:AG63"/>
    <mergeCell ref="AI63:AJ63"/>
    <mergeCell ref="C64:D64"/>
    <mergeCell ref="E64:O64"/>
    <mergeCell ref="P64:R64"/>
    <mergeCell ref="W64:X64"/>
    <mergeCell ref="Y64:AA64"/>
    <mergeCell ref="AB64:AG64"/>
    <mergeCell ref="AI64:AJ64"/>
    <mergeCell ref="C65:D65"/>
    <mergeCell ref="E65:O65"/>
    <mergeCell ref="P65:R65"/>
    <mergeCell ref="W65:X65"/>
    <mergeCell ref="Y65:AA65"/>
    <mergeCell ref="AB65:AG65"/>
    <mergeCell ref="AI65:AJ65"/>
    <mergeCell ref="C66:D66"/>
    <mergeCell ref="E66:O66"/>
    <mergeCell ref="P66:R66"/>
    <mergeCell ref="W66:X66"/>
    <mergeCell ref="Y66:AA66"/>
    <mergeCell ref="AB66:AG66"/>
    <mergeCell ref="AI66:AJ66"/>
    <mergeCell ref="C67:D67"/>
    <mergeCell ref="E67:O67"/>
    <mergeCell ref="P67:R67"/>
    <mergeCell ref="W67:X67"/>
    <mergeCell ref="Y67:AA67"/>
    <mergeCell ref="AB67:AG67"/>
    <mergeCell ref="AI67:AJ67"/>
    <mergeCell ref="C68:D68"/>
    <mergeCell ref="E68:O68"/>
    <mergeCell ref="P68:R68"/>
    <mergeCell ref="W68:X68"/>
    <mergeCell ref="Y68:AA68"/>
    <mergeCell ref="AB68:AG68"/>
    <mergeCell ref="AI68:AJ68"/>
    <mergeCell ref="H73:Z76"/>
    <mergeCell ref="J79:O79"/>
    <mergeCell ref="P79:W79"/>
    <mergeCell ref="X79:AA79"/>
    <mergeCell ref="AB79:AJ79"/>
    <mergeCell ref="AO79:AP80"/>
    <mergeCell ref="B80:I80"/>
    <mergeCell ref="J80:O80"/>
    <mergeCell ref="P80:W80"/>
    <mergeCell ref="X80:AA80"/>
    <mergeCell ref="AB80:AJ80"/>
    <mergeCell ref="F81:I81"/>
    <mergeCell ref="J81:O81"/>
    <mergeCell ref="P81:W81"/>
    <mergeCell ref="X81:AJ81"/>
    <mergeCell ref="AO81:AP82"/>
    <mergeCell ref="B82:I82"/>
    <mergeCell ref="J82:O82"/>
    <mergeCell ref="P82:W82"/>
    <mergeCell ref="X82:AJ82"/>
    <mergeCell ref="J83:O83"/>
    <mergeCell ref="P83:W83"/>
    <mergeCell ref="X83:AJ83"/>
    <mergeCell ref="AO83:AP84"/>
    <mergeCell ref="B84:I84"/>
    <mergeCell ref="J84:O84"/>
    <mergeCell ref="P84:W84"/>
    <mergeCell ref="X84:AJ84"/>
    <mergeCell ref="B85:I85"/>
    <mergeCell ref="J85:O85"/>
    <mergeCell ref="P85:W85"/>
    <mergeCell ref="X85:AA85"/>
    <mergeCell ref="AB85:AJ85"/>
    <mergeCell ref="AO85:AP86"/>
    <mergeCell ref="B86:I86"/>
    <mergeCell ref="J86:O86"/>
    <mergeCell ref="P86:W86"/>
    <mergeCell ref="X86:AA86"/>
    <mergeCell ref="AB86:AJ86"/>
    <mergeCell ref="B87:I87"/>
    <mergeCell ref="J87:K87"/>
    <mergeCell ref="L87:O87"/>
    <mergeCell ref="P87:T87"/>
    <mergeCell ref="U87:W87"/>
    <mergeCell ref="X87:AA87"/>
    <mergeCell ref="AB87:AF87"/>
    <mergeCell ref="AG87:AJ87"/>
    <mergeCell ref="AO87:AP88"/>
    <mergeCell ref="B88:I88"/>
    <mergeCell ref="J88:K88"/>
    <mergeCell ref="L88:O88"/>
    <mergeCell ref="P88:T88"/>
    <mergeCell ref="U88:W88"/>
    <mergeCell ref="X88:AA88"/>
    <mergeCell ref="AB88:AF88"/>
    <mergeCell ref="AG88:AJ88"/>
    <mergeCell ref="B89:AJ89"/>
    <mergeCell ref="B90:AJ90"/>
    <mergeCell ref="B91:AJ91"/>
    <mergeCell ref="B92:AJ93"/>
    <mergeCell ref="C94:D94"/>
    <mergeCell ref="E94:O94"/>
    <mergeCell ref="P94:S94"/>
    <mergeCell ref="T94:V94"/>
    <mergeCell ref="W94:X94"/>
    <mergeCell ref="Y94:AB94"/>
    <mergeCell ref="AC94:AH94"/>
    <mergeCell ref="AI94:AJ94"/>
    <mergeCell ref="C95:D95"/>
    <mergeCell ref="E95:O95"/>
    <mergeCell ref="P95:R95"/>
    <mergeCell ref="W95:X95"/>
    <mergeCell ref="Y95:AA95"/>
    <mergeCell ref="AB95:AG95"/>
    <mergeCell ref="AI95:AJ95"/>
    <mergeCell ref="C96:D96"/>
    <mergeCell ref="E96:O96"/>
    <mergeCell ref="P96:R96"/>
    <mergeCell ref="W96:X96"/>
    <mergeCell ref="Y96:AA96"/>
    <mergeCell ref="AB96:AG96"/>
    <mergeCell ref="AI96:AJ96"/>
    <mergeCell ref="C97:D97"/>
    <mergeCell ref="E97:O97"/>
    <mergeCell ref="P97:R97"/>
    <mergeCell ref="W97:X97"/>
    <mergeCell ref="Y97:AA97"/>
    <mergeCell ref="AB97:AG97"/>
    <mergeCell ref="AI97:AJ97"/>
    <mergeCell ref="C98:D98"/>
    <mergeCell ref="E98:O98"/>
    <mergeCell ref="P98:R98"/>
    <mergeCell ref="W98:X98"/>
    <mergeCell ref="Y98:AA98"/>
    <mergeCell ref="AB98:AG98"/>
    <mergeCell ref="AI98:AJ98"/>
    <mergeCell ref="C99:D99"/>
    <mergeCell ref="E99:O99"/>
    <mergeCell ref="P99:R99"/>
    <mergeCell ref="W99:X99"/>
    <mergeCell ref="Y99:AA99"/>
    <mergeCell ref="AB99:AG99"/>
    <mergeCell ref="AI99:AJ99"/>
    <mergeCell ref="C100:D100"/>
    <mergeCell ref="E100:O100"/>
    <mergeCell ref="P100:R100"/>
    <mergeCell ref="W100:X100"/>
    <mergeCell ref="Y100:AA100"/>
    <mergeCell ref="AB100:AG100"/>
    <mergeCell ref="AI100:AJ100"/>
    <mergeCell ref="C101:D101"/>
    <mergeCell ref="E101:O101"/>
    <mergeCell ref="P101:R101"/>
    <mergeCell ref="W101:X101"/>
    <mergeCell ref="Y101:AA101"/>
    <mergeCell ref="AB101:AG101"/>
    <mergeCell ref="AI101:AJ101"/>
    <mergeCell ref="C102:D102"/>
    <mergeCell ref="E102:O102"/>
    <mergeCell ref="P102:R102"/>
    <mergeCell ref="W102:X102"/>
    <mergeCell ref="Y102:AA102"/>
    <mergeCell ref="AB102:AG102"/>
    <mergeCell ref="AI102:AJ102"/>
    <mergeCell ref="C103:D103"/>
    <mergeCell ref="E103:O103"/>
    <mergeCell ref="P103:R103"/>
    <mergeCell ref="W103:X103"/>
    <mergeCell ref="Y103:AA103"/>
    <mergeCell ref="AB103:AG103"/>
    <mergeCell ref="AI103:AJ103"/>
    <mergeCell ref="C104:D104"/>
    <mergeCell ref="E104:O104"/>
    <mergeCell ref="P104:R104"/>
    <mergeCell ref="W104:X104"/>
    <mergeCell ref="Y104:AA104"/>
    <mergeCell ref="AB104:AG104"/>
    <mergeCell ref="AI104:AJ104"/>
  </mergeCells>
  <phoneticPr fontId="36" type="noConversion"/>
  <pageMargins left="0.51181102362204722" right="0.51181102362204722" top="0.39370078740157483" bottom="0.39370078740157483" header="0.31496062992125984" footer="0.31496062992125984"/>
  <pageSetup paperSize="9" orientation="landscape" horizontalDpi="4294967295" verticalDpi="4294967295" r:id="rId1"/>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E172"/>
  <sheetViews>
    <sheetView topLeftCell="A22" workbookViewId="0">
      <selection activeCell="C36" sqref="C36"/>
    </sheetView>
  </sheetViews>
  <sheetFormatPr defaultRowHeight="14.25"/>
  <cols>
    <col min="1" max="1" width="32.75" customWidth="1"/>
    <col min="2" max="2" width="8.875" customWidth="1"/>
    <col min="3" max="3" width="20.125" customWidth="1"/>
    <col min="4" max="4" width="9.625" customWidth="1"/>
    <col min="5" max="5" width="12.375" customWidth="1"/>
  </cols>
  <sheetData>
    <row r="1" spans="1:5" ht="46.5" customHeight="1">
      <c r="A1" s="699" t="s">
        <v>76</v>
      </c>
      <c r="B1" s="700"/>
      <c r="C1" s="700"/>
      <c r="D1" s="700"/>
      <c r="E1" s="700"/>
    </row>
    <row r="2" spans="1:5" ht="19.5" customHeight="1">
      <c r="A2" s="69" t="s">
        <v>77</v>
      </c>
      <c r="B2" s="687" t="s">
        <v>92</v>
      </c>
      <c r="C2" s="688"/>
      <c r="D2" s="688"/>
      <c r="E2" s="689"/>
    </row>
    <row r="3" spans="1:5" ht="19.5" customHeight="1">
      <c r="A3" s="69" t="s">
        <v>78</v>
      </c>
      <c r="B3" s="701" t="s">
        <v>110</v>
      </c>
      <c r="C3" s="702"/>
      <c r="D3" s="702"/>
      <c r="E3" s="703"/>
    </row>
    <row r="4" spans="1:5" ht="19.5" customHeight="1">
      <c r="A4" s="69" t="s">
        <v>79</v>
      </c>
      <c r="B4" s="687" t="s">
        <v>74</v>
      </c>
      <c r="C4" s="688"/>
      <c r="D4" s="688"/>
      <c r="E4" s="689"/>
    </row>
    <row r="5" spans="1:5" ht="19.5" customHeight="1">
      <c r="A5" s="69" t="s">
        <v>86</v>
      </c>
      <c r="B5" s="687" t="str">
        <f>发货清单!F2</f>
        <v>2786337676</v>
      </c>
      <c r="C5" s="688"/>
      <c r="D5" s="688"/>
      <c r="E5" s="689"/>
    </row>
    <row r="6" spans="1:5" ht="12" customHeight="1">
      <c r="A6" s="697" t="s">
        <v>90</v>
      </c>
      <c r="B6" s="89" t="str">
        <f>辅助!P2</f>
        <v>Carboxylic acid compound category (AB-04)1</v>
      </c>
      <c r="C6" s="90"/>
      <c r="D6" s="90"/>
      <c r="E6" s="91"/>
    </row>
    <row r="7" spans="1:5" ht="12" customHeight="1">
      <c r="A7" s="698"/>
      <c r="B7" s="89" t="str">
        <f>辅助!P3</f>
        <v>Carboxylic acid compound category (AB-04)6</v>
      </c>
      <c r="C7" s="90"/>
      <c r="D7" s="90"/>
      <c r="E7" s="91"/>
    </row>
    <row r="8" spans="1:5" ht="12" customHeight="1">
      <c r="A8" s="698"/>
      <c r="B8" s="89" t="str">
        <f>辅助!P4</f>
        <v>Sulfonamide compound category(AB-08)1</v>
      </c>
      <c r="C8" s="90"/>
      <c r="D8" s="90"/>
      <c r="E8" s="91"/>
    </row>
    <row r="9" spans="1:5" ht="12" customHeight="1">
      <c r="A9" s="698"/>
      <c r="B9" s="89" t="str">
        <f>辅助!P5</f>
        <v>Heterocyclic with single or more oxygen atoms compound category （AB-15）4</v>
      </c>
      <c r="C9" s="90"/>
      <c r="D9" s="90"/>
      <c r="E9" s="91"/>
    </row>
    <row r="10" spans="1:5" ht="12" customHeight="1">
      <c r="A10" s="698"/>
      <c r="B10" s="89" t="str">
        <f>辅助!P6</f>
        <v>Acyclic hydrocarbon compound category （AB-02）11</v>
      </c>
      <c r="C10" s="90"/>
      <c r="D10" s="90"/>
      <c r="E10" s="91"/>
    </row>
    <row r="11" spans="1:5" ht="12" customHeight="1">
      <c r="A11" s="698"/>
      <c r="B11" s="89" t="str">
        <f>辅助!P7</f>
        <v>Acyclic hydrocarbon compound category （AB-02）13</v>
      </c>
      <c r="C11" s="90"/>
      <c r="D11" s="90"/>
      <c r="E11" s="91"/>
    </row>
    <row r="12" spans="1:5" ht="12" customHeight="1">
      <c r="A12" s="698"/>
      <c r="B12" s="89" t="str">
        <f>辅助!P8</f>
        <v>Heterocyclic with nitrogen compound category (AB-06)46</v>
      </c>
      <c r="C12" s="90"/>
      <c r="D12" s="90"/>
      <c r="E12" s="91"/>
    </row>
    <row r="13" spans="1:5" ht="12" customHeight="1">
      <c r="A13" s="698"/>
      <c r="B13" s="89" t="str">
        <f>辅助!P9</f>
        <v>Heterocyclic with nitrogen compound category (AB-06)53</v>
      </c>
      <c r="C13" s="90"/>
      <c r="D13" s="90"/>
      <c r="E13" s="91"/>
    </row>
    <row r="14" spans="1:5" ht="12" customHeight="1">
      <c r="A14" s="693" t="s">
        <v>93</v>
      </c>
      <c r="B14" s="173" t="str">
        <f>辅助!L2</f>
        <v>十三烷二酸</v>
      </c>
      <c r="C14" s="174"/>
      <c r="D14" s="174"/>
      <c r="E14" s="175"/>
    </row>
    <row r="15" spans="1:5" ht="12" customHeight="1">
      <c r="A15" s="694"/>
      <c r="B15" s="173" t="str">
        <f>辅助!L3</f>
        <v>辛二酸单甲酯</v>
      </c>
      <c r="C15" s="174"/>
      <c r="D15" s="174"/>
      <c r="E15" s="175"/>
    </row>
    <row r="16" spans="1:5" ht="12" customHeight="1">
      <c r="A16" s="694"/>
      <c r="B16" s="173" t="str">
        <f>辅助!L4</f>
        <v>N-甲基对甲苯磺酰胺</v>
      </c>
      <c r="C16" s="174"/>
      <c r="D16" s="174"/>
      <c r="E16" s="175"/>
    </row>
    <row r="17" spans="1:5" ht="12" customHeight="1">
      <c r="A17" s="694"/>
      <c r="B17" s="173" t="str">
        <f>辅助!L5</f>
        <v>异山梨醇</v>
      </c>
      <c r="C17" s="447"/>
      <c r="D17" s="447"/>
      <c r="E17" s="167"/>
    </row>
    <row r="18" spans="1:5" ht="12" customHeight="1">
      <c r="A18" s="694"/>
      <c r="B18" s="173" t="str">
        <f>辅助!L6</f>
        <v>溴代十六烷</v>
      </c>
      <c r="C18" s="447"/>
      <c r="D18" s="447"/>
      <c r="E18" s="167"/>
    </row>
    <row r="19" spans="1:5" ht="12" customHeight="1">
      <c r="A19" s="694"/>
      <c r="B19" s="173" t="str">
        <f>辅助!L7</f>
        <v>1,4-二碘代丁烷</v>
      </c>
      <c r="C19" s="447"/>
      <c r="D19" s="447"/>
      <c r="E19" s="167"/>
    </row>
    <row r="20" spans="1:5" ht="12" customHeight="1">
      <c r="A20" s="694"/>
      <c r="B20" s="173" t="str">
        <f>辅助!L8</f>
        <v>5-甲氧基吲哚-2-甲酸乙酯</v>
      </c>
      <c r="C20" s="447"/>
      <c r="D20" s="447"/>
      <c r="E20" s="167"/>
    </row>
    <row r="21" spans="1:5" ht="12" customHeight="1">
      <c r="A21" s="694"/>
      <c r="B21" s="173" t="str">
        <f>辅助!L9</f>
        <v>6-氯吡嗪-2-羧酸甲酯</v>
      </c>
      <c r="C21" s="447"/>
      <c r="D21" s="447"/>
      <c r="E21" s="167"/>
    </row>
    <row r="22" spans="1:5" ht="12.75" customHeight="1">
      <c r="A22" s="693" t="s">
        <v>94</v>
      </c>
      <c r="B22" s="695">
        <f>IF(辅助!N2&gt;0,VLOOKUP(辅助!P2,数据库!C:J,8,0),"")</f>
        <v>2020016013</v>
      </c>
      <c r="C22" s="696"/>
      <c r="D22" s="446" t="str">
        <f>IF(辅助!N2=0,0,"签发日期")</f>
        <v>签发日期</v>
      </c>
      <c r="E22" s="51">
        <f>IF(辅助!N2&gt;0,VLOOKUP(辅助!P2,数据库!C:K,9,0),"")</f>
        <v>43801</v>
      </c>
    </row>
    <row r="23" spans="1:5" ht="12.75" customHeight="1">
      <c r="A23" s="694"/>
      <c r="B23" s="695">
        <f>IF(辅助!N3&gt;0,VLOOKUP(辅助!P3,数据库!C:J,8,0),"")</f>
        <v>2020015972</v>
      </c>
      <c r="C23" s="696"/>
      <c r="D23" s="446" t="str">
        <f>IF(辅助!N3=0,0,"签发日期")</f>
        <v>签发日期</v>
      </c>
      <c r="E23" s="51">
        <f>IF(辅助!N3&gt;0,VLOOKUP(辅助!P3,数据库!C:K,9,0),"")</f>
        <v>43801</v>
      </c>
    </row>
    <row r="24" spans="1:5" ht="12.75" customHeight="1">
      <c r="A24" s="694"/>
      <c r="B24" s="695">
        <f>IF(辅助!N4&gt;0,VLOOKUP(辅助!P4,数据库!C:J,8,0),"")</f>
        <v>2020015987</v>
      </c>
      <c r="C24" s="696"/>
      <c r="D24" s="446" t="str">
        <f>IF(辅助!N4=0,0,"签发日期")</f>
        <v>签发日期</v>
      </c>
      <c r="E24" s="51">
        <f>IF(辅助!N4&gt;0,VLOOKUP(辅助!P4,数据库!C:K,9,0),"")</f>
        <v>43801</v>
      </c>
    </row>
    <row r="25" spans="1:5" ht="12.75" customHeight="1">
      <c r="A25" s="694"/>
      <c r="B25" s="695">
        <f>IF(辅助!N5&gt;0,VLOOKUP(辅助!P5,数据库!C:J,8,0),"")</f>
        <v>2020015851</v>
      </c>
      <c r="C25" s="696"/>
      <c r="D25" s="446" t="str">
        <f>IF(辅助!N5=0,0,"签发日期")</f>
        <v>签发日期</v>
      </c>
      <c r="E25" s="51">
        <f>IF(辅助!N5&gt;0,VLOOKUP(辅助!P5,数据库!C:K,9,0),"")</f>
        <v>43801</v>
      </c>
    </row>
    <row r="26" spans="1:5" ht="12.75" customHeight="1">
      <c r="A26" s="694"/>
      <c r="B26" s="695">
        <f>IF(辅助!N6&gt;0,VLOOKUP(辅助!P6,数据库!C:J,8,0),"")</f>
        <v>2020015968</v>
      </c>
      <c r="C26" s="696"/>
      <c r="D26" s="446" t="str">
        <f>IF(辅助!N6=0,0,"签发日期")</f>
        <v>签发日期</v>
      </c>
      <c r="E26" s="51">
        <f>IF(辅助!N6&gt;0,VLOOKUP(辅助!P6,数据库!C:K,9,0),"")</f>
        <v>43801</v>
      </c>
    </row>
    <row r="27" spans="1:5" ht="12.75" customHeight="1">
      <c r="A27" s="694"/>
      <c r="B27" s="695">
        <f>IF(辅助!N7&gt;0,VLOOKUP(辅助!P7,数据库!C:J,8,0),"")</f>
        <v>2020015870</v>
      </c>
      <c r="C27" s="696"/>
      <c r="D27" s="446" t="str">
        <f>IF(辅助!N7=0,0,"签发日期")</f>
        <v>签发日期</v>
      </c>
      <c r="E27" s="51">
        <f>IF(辅助!N7&gt;0,VLOOKUP(辅助!P7,数据库!C:K,9,0),"")</f>
        <v>43801</v>
      </c>
    </row>
    <row r="28" spans="1:5" ht="12.75" customHeight="1">
      <c r="A28" s="694"/>
      <c r="B28" s="695">
        <f>IF(辅助!N8&gt;0,VLOOKUP(辅助!P8,数据库!C:J,8,0),"")</f>
        <v>2020015961</v>
      </c>
      <c r="C28" s="696"/>
      <c r="D28" s="446" t="str">
        <f>IF(辅助!N8=0,0,"签发日期")</f>
        <v>签发日期</v>
      </c>
      <c r="E28" s="51">
        <f>IF(辅助!N8&gt;0,VLOOKUP(辅助!P8,数据库!C:K,9,0),"")</f>
        <v>43801</v>
      </c>
    </row>
    <row r="29" spans="1:5" ht="12.75" customHeight="1">
      <c r="A29" s="694"/>
      <c r="B29" s="695">
        <f>IF(辅助!N9&gt;0,VLOOKUP(辅助!P9,数据库!C:J,8,0),"")</f>
        <v>2020379539</v>
      </c>
      <c r="C29" s="696"/>
      <c r="D29" s="446" t="str">
        <f>IF(辅助!N9=0,0,"签发日期")</f>
        <v>签发日期</v>
      </c>
      <c r="E29" s="51">
        <f>IF(辅助!N9&gt;0,VLOOKUP(辅助!P9,数据库!C:K,9,0),"")</f>
        <v>43823</v>
      </c>
    </row>
    <row r="30" spans="1:5" s="52" customFormat="1" ht="40.5" customHeight="1">
      <c r="A30" s="70" t="s">
        <v>91</v>
      </c>
      <c r="B30" s="678" t="s">
        <v>81</v>
      </c>
      <c r="C30" s="679"/>
      <c r="D30" s="679"/>
      <c r="E30" s="680"/>
    </row>
    <row r="31" spans="1:5" s="52" customFormat="1" ht="25.5" customHeight="1">
      <c r="A31" s="50" t="s">
        <v>87</v>
      </c>
      <c r="B31" s="681" t="s">
        <v>82</v>
      </c>
      <c r="C31" s="682"/>
      <c r="D31" s="682"/>
      <c r="E31" s="683"/>
    </row>
    <row r="32" spans="1:5" s="52" customFormat="1" ht="27" customHeight="1">
      <c r="A32" s="69" t="s">
        <v>88</v>
      </c>
      <c r="B32" s="684" t="s">
        <v>528</v>
      </c>
      <c r="C32" s="685"/>
      <c r="D32" s="685"/>
      <c r="E32" s="686"/>
    </row>
    <row r="33" spans="1:5" s="52" customFormat="1" ht="18.75" customHeight="1">
      <c r="A33" s="50" t="s">
        <v>89</v>
      </c>
      <c r="B33" s="687" t="str">
        <f>'Commercial Invoice3'!E15</f>
        <v>UK</v>
      </c>
      <c r="C33" s="688"/>
      <c r="D33" s="688"/>
      <c r="E33" s="689"/>
    </row>
    <row r="34" spans="1:5" ht="73.5" customHeight="1">
      <c r="A34" s="690" t="str">
        <f>"我公司委托"&amp;发货清单!E2&amp;"承运的该类货物，无爆炸、无氧化、无腐蚀、无放射性、非易燃、非有毒有害、非用于制造化学武器的原料，经上海化工院检测有限公司鉴定，无危险性，可按普通货物条件运输，包装符合要求"&amp;"。The shipment that I consign by "&amp;发货清单!E2&amp;" does not contain the explosive, oxidation, corrosives, radioactive, flammable, toxic and infectious substance and the material for the chemical weapon. After Shanghai Research Institute of Chemical Industry Testing Co., Ltd. "&amp;"testing, the shipment without fatalness can be transported as the general cargo and the packaging meets the transportation requirement"</f>
        <v>我公司委托DHL承运的该类货物，无爆炸、无氧化、无腐蚀、无放射性、非易燃、非有毒有害、非用于制造化学武器的原料，经上海化工院检测有限公司鉴定，无危险性，可按普通货物条件运输，包装符合要求。The shipment that I consign by DHL does not contain the explosive, oxidation, corrosives, radioactive, flammable, toxic and infectious substance and the material for the chemical weapon. After Shanghai Research Institute of Chemical Industry Testing Co., Ltd. testing, the shipment without fatalness can be transported as the general cargo and the packaging meets the transportation requirement</v>
      </c>
      <c r="B34" s="691"/>
      <c r="C34" s="691"/>
      <c r="D34" s="691"/>
      <c r="E34" s="692"/>
    </row>
    <row r="35" spans="1:5" ht="36" customHeight="1">
      <c r="A35" s="690" t="s">
        <v>83</v>
      </c>
      <c r="B35" s="691"/>
      <c r="C35" s="691"/>
      <c r="D35" s="691"/>
      <c r="E35" s="692"/>
    </row>
    <row r="36" spans="1:5">
      <c r="A36" s="669" t="s">
        <v>84</v>
      </c>
      <c r="B36" s="670"/>
      <c r="C36" s="669" t="s">
        <v>85</v>
      </c>
      <c r="D36" s="675"/>
      <c r="E36" s="670"/>
    </row>
    <row r="37" spans="1:5">
      <c r="A37" s="671"/>
      <c r="B37" s="672"/>
      <c r="C37" s="671"/>
      <c r="D37" s="676"/>
      <c r="E37" s="672"/>
    </row>
    <row r="38" spans="1:5">
      <c r="A38" s="671"/>
      <c r="B38" s="672"/>
      <c r="C38" s="671"/>
      <c r="D38" s="676"/>
      <c r="E38" s="672"/>
    </row>
    <row r="39" spans="1:5">
      <c r="A39" s="671"/>
      <c r="B39" s="672"/>
      <c r="C39" s="671"/>
      <c r="D39" s="676"/>
      <c r="E39" s="672"/>
    </row>
    <row r="40" spans="1:5">
      <c r="A40" s="671"/>
      <c r="B40" s="672"/>
      <c r="C40" s="671"/>
      <c r="D40" s="676"/>
      <c r="E40" s="672"/>
    </row>
    <row r="41" spans="1:5">
      <c r="A41" s="671"/>
      <c r="B41" s="672"/>
      <c r="C41" s="671"/>
      <c r="D41" s="676"/>
      <c r="E41" s="672"/>
    </row>
    <row r="42" spans="1:5">
      <c r="A42" s="673"/>
      <c r="B42" s="674"/>
      <c r="C42" s="673"/>
      <c r="D42" s="677"/>
      <c r="E42" s="674"/>
    </row>
    <row r="43" spans="1:5">
      <c r="B43" s="421" t="str">
        <f>"1/"&amp;IF(COUNTIF(辅助!K:K,"&gt;0")&lt;9,1,IF(COUNTIF(辅助!K:K,"&gt;0")&lt;17,2,IF(COUNTIF(辅助!K:K,"&gt;0")&lt;25,3,IF(COUNTIF(辅助!K:K,"&gt;0")&lt;33,4))))</f>
        <v>1/2</v>
      </c>
    </row>
    <row r="44" spans="1:5" ht="39" customHeight="1">
      <c r="A44" s="699" t="s">
        <v>76</v>
      </c>
      <c r="B44" s="700"/>
      <c r="C44" s="700"/>
      <c r="D44" s="700"/>
      <c r="E44" s="700"/>
    </row>
    <row r="45" spans="1:5">
      <c r="A45" s="69" t="s">
        <v>77</v>
      </c>
      <c r="B45" s="687" t="s">
        <v>92</v>
      </c>
      <c r="C45" s="688"/>
      <c r="D45" s="688"/>
      <c r="E45" s="689"/>
    </row>
    <row r="46" spans="1:5">
      <c r="A46" s="69" t="s">
        <v>78</v>
      </c>
      <c r="B46" s="701" t="s">
        <v>110</v>
      </c>
      <c r="C46" s="702"/>
      <c r="D46" s="702"/>
      <c r="E46" s="703"/>
    </row>
    <row r="47" spans="1:5">
      <c r="A47" s="69" t="s">
        <v>79</v>
      </c>
      <c r="B47" s="687" t="s">
        <v>74</v>
      </c>
      <c r="C47" s="688"/>
      <c r="D47" s="688"/>
      <c r="E47" s="689"/>
    </row>
    <row r="48" spans="1:5">
      <c r="A48" s="69" t="s">
        <v>86</v>
      </c>
      <c r="B48" s="704" t="str">
        <f>发货清单!F2</f>
        <v>2786337676</v>
      </c>
      <c r="C48" s="705"/>
      <c r="D48" s="705"/>
      <c r="E48" s="706"/>
    </row>
    <row r="49" spans="1:5" ht="12.75" customHeight="1">
      <c r="A49" s="697" t="s">
        <v>90</v>
      </c>
      <c r="B49" s="89" t="str">
        <f>辅助!P10</f>
        <v>Aromatic ring products without heteroatoms category （AB-16）33</v>
      </c>
      <c r="C49" s="90"/>
      <c r="D49" s="90"/>
      <c r="E49" s="91"/>
    </row>
    <row r="50" spans="1:5" ht="12.75" customHeight="1">
      <c r="A50" s="698"/>
      <c r="B50" s="89" t="str">
        <f>辅助!P11</f>
        <v>Aromatic ring products without heteroatoms category （AB-16）36</v>
      </c>
      <c r="C50" s="90"/>
      <c r="D50" s="90"/>
      <c r="E50" s="91"/>
    </row>
    <row r="51" spans="1:5" ht="12.75" customHeight="1">
      <c r="A51" s="698"/>
      <c r="B51" s="89" t="str">
        <f>辅助!P12</f>
        <v/>
      </c>
      <c r="C51" s="90"/>
      <c r="D51" s="90"/>
      <c r="E51" s="91"/>
    </row>
    <row r="52" spans="1:5" ht="12.75" customHeight="1">
      <c r="A52" s="698"/>
      <c r="B52" s="89" t="str">
        <f>辅助!P13</f>
        <v/>
      </c>
      <c r="C52" s="90"/>
      <c r="D52" s="90"/>
      <c r="E52" s="91"/>
    </row>
    <row r="53" spans="1:5" ht="12.75" customHeight="1">
      <c r="A53" s="698"/>
      <c r="B53" s="89" t="str">
        <f>辅助!P14</f>
        <v/>
      </c>
      <c r="C53" s="90"/>
      <c r="D53" s="90"/>
      <c r="E53" s="91"/>
    </row>
    <row r="54" spans="1:5" ht="12.75" customHeight="1">
      <c r="A54" s="698"/>
      <c r="B54" s="89" t="str">
        <f>辅助!P15</f>
        <v/>
      </c>
      <c r="C54" s="90"/>
      <c r="D54" s="90"/>
      <c r="E54" s="91"/>
    </row>
    <row r="55" spans="1:5" ht="12.75" customHeight="1">
      <c r="A55" s="698"/>
      <c r="B55" s="89" t="str">
        <f>辅助!P16</f>
        <v/>
      </c>
      <c r="C55" s="90"/>
      <c r="D55" s="90"/>
      <c r="E55" s="91"/>
    </row>
    <row r="56" spans="1:5" ht="12.75" customHeight="1">
      <c r="A56" s="698"/>
      <c r="B56" s="89" t="str">
        <f>辅助!P17</f>
        <v/>
      </c>
      <c r="C56" s="90"/>
      <c r="D56" s="90"/>
      <c r="E56" s="91"/>
    </row>
    <row r="57" spans="1:5">
      <c r="A57" s="693" t="s">
        <v>93</v>
      </c>
      <c r="B57" s="173" t="str">
        <f>辅助!L10</f>
        <v>2-氟-5-碘硝基苯</v>
      </c>
      <c r="C57" s="174"/>
      <c r="D57" s="174"/>
      <c r="E57" s="175"/>
    </row>
    <row r="58" spans="1:5">
      <c r="A58" s="694"/>
      <c r="B58" s="173" t="str">
        <f>辅助!L11</f>
        <v>2,4-双(三氟甲基)苯乙酸</v>
      </c>
      <c r="C58" s="174"/>
      <c r="D58" s="174"/>
      <c r="E58" s="175"/>
    </row>
    <row r="59" spans="1:5">
      <c r="A59" s="694"/>
      <c r="B59" s="173" t="str">
        <f>辅助!L12</f>
        <v/>
      </c>
      <c r="C59" s="174"/>
      <c r="D59" s="174"/>
      <c r="E59" s="175"/>
    </row>
    <row r="60" spans="1:5">
      <c r="A60" s="694"/>
      <c r="B60" s="173" t="str">
        <f>辅助!L13</f>
        <v/>
      </c>
      <c r="C60" s="447"/>
      <c r="D60" s="447"/>
      <c r="E60" s="167"/>
    </row>
    <row r="61" spans="1:5">
      <c r="A61" s="694"/>
      <c r="B61" s="173" t="str">
        <f>辅助!L14</f>
        <v/>
      </c>
      <c r="C61" s="447"/>
      <c r="D61" s="447"/>
      <c r="E61" s="167"/>
    </row>
    <row r="62" spans="1:5">
      <c r="A62" s="694"/>
      <c r="B62" s="173" t="str">
        <f>辅助!L15</f>
        <v/>
      </c>
      <c r="C62" s="447"/>
      <c r="D62" s="447"/>
      <c r="E62" s="167"/>
    </row>
    <row r="63" spans="1:5">
      <c r="A63" s="694"/>
      <c r="B63" s="173" t="str">
        <f>辅助!L16</f>
        <v/>
      </c>
      <c r="C63" s="447"/>
      <c r="D63" s="447"/>
      <c r="E63" s="167"/>
    </row>
    <row r="64" spans="1:5">
      <c r="A64" s="694"/>
      <c r="B64" s="173" t="str">
        <f>辅助!L17</f>
        <v/>
      </c>
      <c r="C64" s="447"/>
      <c r="D64" s="447"/>
      <c r="E64" s="167"/>
    </row>
    <row r="65" spans="1:5">
      <c r="A65" s="693" t="s">
        <v>94</v>
      </c>
      <c r="B65" s="695">
        <f>IF(辅助!N10&gt;0,VLOOKUP(辅助!P10,数据库!C:J,8,0),"")</f>
        <v>2020016030</v>
      </c>
      <c r="C65" s="696"/>
      <c r="D65" s="446" t="str">
        <f>IF(辅助!N10=0,0,"签发日期")</f>
        <v>签发日期</v>
      </c>
      <c r="E65" s="51">
        <f>IF(辅助!N10&gt;0,VLOOKUP(辅助!P10,数据库!C:K,9,0),"")</f>
        <v>43801</v>
      </c>
    </row>
    <row r="66" spans="1:5">
      <c r="A66" s="694"/>
      <c r="B66" s="695">
        <f>IF(辅助!N11&gt;0,VLOOKUP(辅助!P11,数据库!C:J,8,0),"")</f>
        <v>2020016083</v>
      </c>
      <c r="C66" s="696"/>
      <c r="D66" s="446" t="str">
        <f>IF(辅助!N11=0,0,"签发日期")</f>
        <v>签发日期</v>
      </c>
      <c r="E66" s="51">
        <f>IF(辅助!N11&gt;0,VLOOKUP(辅助!P11,数据库!C:K,9,0),"")</f>
        <v>43801</v>
      </c>
    </row>
    <row r="67" spans="1:5">
      <c r="A67" s="694"/>
      <c r="B67" s="695" t="str">
        <f>IF(辅助!N12&gt;0,VLOOKUP(辅助!P12,数据库!C:J,8,0),"")</f>
        <v/>
      </c>
      <c r="C67" s="696"/>
      <c r="D67" s="446">
        <f>IF(辅助!N12=0,0,"签发日期")</f>
        <v>0</v>
      </c>
      <c r="E67" s="51" t="str">
        <f>IF(辅助!N12&gt;0,VLOOKUP(辅助!P12,数据库!C:K,9,0),"")</f>
        <v/>
      </c>
    </row>
    <row r="68" spans="1:5">
      <c r="A68" s="694"/>
      <c r="B68" s="695" t="str">
        <f>IF(辅助!N13&gt;0,VLOOKUP(辅助!P13,数据库!C:J,8,0),"")</f>
        <v/>
      </c>
      <c r="C68" s="696"/>
      <c r="D68" s="446">
        <f>IF(辅助!N13=0,0,"签发日期")</f>
        <v>0</v>
      </c>
      <c r="E68" s="51" t="str">
        <f>IF(辅助!N13&gt;0,VLOOKUP(辅助!P13,数据库!C:K,9,0),"")</f>
        <v/>
      </c>
    </row>
    <row r="69" spans="1:5">
      <c r="A69" s="694"/>
      <c r="B69" s="695" t="str">
        <f>IF(辅助!N14&gt;0,VLOOKUP(辅助!P14,数据库!C:J,8,0),"")</f>
        <v/>
      </c>
      <c r="C69" s="696"/>
      <c r="D69" s="446">
        <f>IF(辅助!N14=0,0,"签发日期")</f>
        <v>0</v>
      </c>
      <c r="E69" s="51" t="str">
        <f>IF(辅助!N14&gt;0,VLOOKUP(辅助!P14,数据库!C:K,9,0),"")</f>
        <v/>
      </c>
    </row>
    <row r="70" spans="1:5" ht="12" customHeight="1">
      <c r="A70" s="694"/>
      <c r="B70" s="695" t="str">
        <f>IF(辅助!N15&gt;0,VLOOKUP(辅助!P15,数据库!C:J,8,0),"")</f>
        <v/>
      </c>
      <c r="C70" s="696"/>
      <c r="D70" s="446">
        <f>IF(辅助!N15=0,0,"签发日期")</f>
        <v>0</v>
      </c>
      <c r="E70" s="51" t="str">
        <f>IF(辅助!N15&gt;0,VLOOKUP(辅助!P15,数据库!C:K,9,0),"")</f>
        <v/>
      </c>
    </row>
    <row r="71" spans="1:5">
      <c r="A71" s="694"/>
      <c r="B71" s="695" t="str">
        <f>IF(辅助!N16&gt;0,VLOOKUP(辅助!P16,数据库!C:J,8,0),"")</f>
        <v/>
      </c>
      <c r="C71" s="696"/>
      <c r="D71" s="446">
        <f>IF(辅助!N16=0,0,"签发日期")</f>
        <v>0</v>
      </c>
      <c r="E71" s="51" t="str">
        <f>IF(辅助!N16&gt;0,VLOOKUP(辅助!P16,数据库!C:K,9,0),"")</f>
        <v/>
      </c>
    </row>
    <row r="72" spans="1:5">
      <c r="A72" s="694"/>
      <c r="B72" s="695" t="str">
        <f>IF(辅助!N17&gt;0,VLOOKUP(辅助!P17,数据库!C:J,8,0),"")</f>
        <v/>
      </c>
      <c r="C72" s="696"/>
      <c r="D72" s="446">
        <f>IF(辅助!N17=0,0,"签发日期")</f>
        <v>0</v>
      </c>
      <c r="E72" s="51" t="str">
        <f>IF(辅助!N17&gt;0,VLOOKUP(辅助!P17,数据库!C:K,9,0),"")</f>
        <v/>
      </c>
    </row>
    <row r="73" spans="1:5" ht="36">
      <c r="A73" s="70" t="s">
        <v>91</v>
      </c>
      <c r="B73" s="678" t="s">
        <v>81</v>
      </c>
      <c r="C73" s="679"/>
      <c r="D73" s="679"/>
      <c r="E73" s="680"/>
    </row>
    <row r="74" spans="1:5" ht="26.25" customHeight="1">
      <c r="A74" s="50" t="s">
        <v>87</v>
      </c>
      <c r="B74" s="681" t="s">
        <v>82</v>
      </c>
      <c r="C74" s="682"/>
      <c r="D74" s="682"/>
      <c r="E74" s="683"/>
    </row>
    <row r="75" spans="1:5" ht="27.75" customHeight="1">
      <c r="A75" s="69" t="s">
        <v>88</v>
      </c>
      <c r="B75" s="684" t="s">
        <v>528</v>
      </c>
      <c r="C75" s="685"/>
      <c r="D75" s="685"/>
      <c r="E75" s="686"/>
    </row>
    <row r="76" spans="1:5">
      <c r="A76" s="50" t="s">
        <v>89</v>
      </c>
      <c r="B76" s="687" t="str">
        <f>'Commercial Invoice3'!E15</f>
        <v>UK</v>
      </c>
      <c r="C76" s="688"/>
      <c r="D76" s="688"/>
      <c r="E76" s="689"/>
    </row>
    <row r="77" spans="1:5" ht="74.25" customHeight="1">
      <c r="A77" s="690" t="str">
        <f>A34</f>
        <v>我公司委托DHL承运的该类货物，无爆炸、无氧化、无腐蚀、无放射性、非易燃、非有毒有害、非用于制造化学武器的原料，经上海化工院检测有限公司鉴定，无危险性，可按普通货物条件运输，包装符合要求。The shipment that I consign by DHL does not contain the explosive, oxidation, corrosives, radioactive, flammable, toxic and infectious substance and the material for the chemical weapon. After Shanghai Research Institute of Chemical Industry Testing Co., Ltd. testing, the shipment without fatalness can be transported as the general cargo and the packaging meets the transportation requirement</v>
      </c>
      <c r="B77" s="691"/>
      <c r="C77" s="691"/>
      <c r="D77" s="691"/>
      <c r="E77" s="692"/>
    </row>
    <row r="78" spans="1:5" ht="41.25" customHeight="1">
      <c r="A78" s="690" t="s">
        <v>83</v>
      </c>
      <c r="B78" s="691"/>
      <c r="C78" s="691"/>
      <c r="D78" s="691"/>
      <c r="E78" s="692"/>
    </row>
    <row r="79" spans="1:5">
      <c r="A79" s="669" t="s">
        <v>84</v>
      </c>
      <c r="B79" s="670"/>
      <c r="C79" s="669" t="s">
        <v>85</v>
      </c>
      <c r="D79" s="675"/>
      <c r="E79" s="670"/>
    </row>
    <row r="80" spans="1:5">
      <c r="A80" s="671"/>
      <c r="B80" s="672"/>
      <c r="C80" s="671"/>
      <c r="D80" s="676"/>
      <c r="E80" s="672"/>
    </row>
    <row r="81" spans="1:5">
      <c r="A81" s="671"/>
      <c r="B81" s="672"/>
      <c r="C81" s="671"/>
      <c r="D81" s="676"/>
      <c r="E81" s="672"/>
    </row>
    <row r="82" spans="1:5">
      <c r="A82" s="671"/>
      <c r="B82" s="672"/>
      <c r="C82" s="671"/>
      <c r="D82" s="676"/>
      <c r="E82" s="672"/>
    </row>
    <row r="83" spans="1:5">
      <c r="A83" s="671"/>
      <c r="B83" s="672"/>
      <c r="C83" s="671"/>
      <c r="D83" s="676"/>
      <c r="E83" s="672"/>
    </row>
    <row r="84" spans="1:5">
      <c r="A84" s="671"/>
      <c r="B84" s="672"/>
      <c r="C84" s="671"/>
      <c r="D84" s="676"/>
      <c r="E84" s="672"/>
    </row>
    <row r="85" spans="1:5" ht="30.75" customHeight="1">
      <c r="A85" s="673"/>
      <c r="B85" s="674"/>
      <c r="C85" s="673"/>
      <c r="D85" s="677"/>
      <c r="E85" s="674"/>
    </row>
    <row r="86" spans="1:5" ht="13.5" customHeight="1">
      <c r="B86" s="421" t="str">
        <f>"2/"&amp;IF(COUNTIF(辅助!K:K,"&gt;0")&lt;9,1,IF(COUNTIF(辅助!K:K,"&gt;0")&lt;17,2,IF(COUNTIF(辅助!K:K,"&gt;0")&lt;25,3,IF(COUNTIF(辅助!K:K,"&gt;0")&lt;33,4))))</f>
        <v>2/2</v>
      </c>
    </row>
    <row r="87" spans="1:5" ht="39" customHeight="1">
      <c r="A87" s="699" t="s">
        <v>76</v>
      </c>
      <c r="B87" s="700"/>
      <c r="C87" s="700"/>
      <c r="D87" s="700"/>
      <c r="E87" s="700"/>
    </row>
    <row r="88" spans="1:5">
      <c r="A88" s="69" t="s">
        <v>77</v>
      </c>
      <c r="B88" s="687" t="s">
        <v>92</v>
      </c>
      <c r="C88" s="688"/>
      <c r="D88" s="688"/>
      <c r="E88" s="689"/>
    </row>
    <row r="89" spans="1:5">
      <c r="A89" s="69" t="s">
        <v>78</v>
      </c>
      <c r="B89" s="701" t="s">
        <v>110</v>
      </c>
      <c r="C89" s="702"/>
      <c r="D89" s="702"/>
      <c r="E89" s="703"/>
    </row>
    <row r="90" spans="1:5">
      <c r="A90" s="69" t="s">
        <v>79</v>
      </c>
      <c r="B90" s="687" t="s">
        <v>74</v>
      </c>
      <c r="C90" s="688"/>
      <c r="D90" s="688"/>
      <c r="E90" s="689"/>
    </row>
    <row r="91" spans="1:5">
      <c r="A91" s="69" t="s">
        <v>86</v>
      </c>
      <c r="B91" s="704" t="str">
        <f>B48</f>
        <v>2786337676</v>
      </c>
      <c r="C91" s="705"/>
      <c r="D91" s="705"/>
      <c r="E91" s="706"/>
    </row>
    <row r="92" spans="1:5" ht="12.75" customHeight="1">
      <c r="A92" s="697" t="s">
        <v>90</v>
      </c>
      <c r="B92" s="89" t="str">
        <f>辅助!P18</f>
        <v/>
      </c>
      <c r="C92" s="90"/>
      <c r="D92" s="90"/>
      <c r="E92" s="91"/>
    </row>
    <row r="93" spans="1:5" ht="12.75" customHeight="1">
      <c r="A93" s="698"/>
      <c r="B93" s="89" t="str">
        <f>辅助!P19</f>
        <v/>
      </c>
      <c r="C93" s="90"/>
      <c r="D93" s="90"/>
      <c r="E93" s="91"/>
    </row>
    <row r="94" spans="1:5" ht="12.75" customHeight="1">
      <c r="A94" s="698"/>
      <c r="B94" s="89" t="str">
        <f>辅助!P20</f>
        <v/>
      </c>
      <c r="C94" s="90"/>
      <c r="D94" s="90"/>
      <c r="E94" s="91"/>
    </row>
    <row r="95" spans="1:5" ht="12.75" customHeight="1">
      <c r="A95" s="698"/>
      <c r="B95" s="89" t="str">
        <f>辅助!P21</f>
        <v/>
      </c>
      <c r="C95" s="90"/>
      <c r="D95" s="90"/>
      <c r="E95" s="91"/>
    </row>
    <row r="96" spans="1:5" ht="12.75" customHeight="1">
      <c r="A96" s="698"/>
      <c r="B96" s="89" t="str">
        <f>辅助!P22</f>
        <v/>
      </c>
      <c r="C96" s="90"/>
      <c r="D96" s="90"/>
      <c r="E96" s="91"/>
    </row>
    <row r="97" spans="1:5" ht="12.75" customHeight="1">
      <c r="A97" s="698"/>
      <c r="B97" s="89" t="str">
        <f>辅助!P23</f>
        <v/>
      </c>
      <c r="C97" s="90"/>
      <c r="D97" s="90"/>
      <c r="E97" s="91"/>
    </row>
    <row r="98" spans="1:5" ht="12.75" customHeight="1">
      <c r="A98" s="698"/>
      <c r="B98" s="89" t="str">
        <f>辅助!P24</f>
        <v/>
      </c>
      <c r="C98" s="90"/>
      <c r="D98" s="90"/>
      <c r="E98" s="91"/>
    </row>
    <row r="99" spans="1:5" ht="12.75" customHeight="1">
      <c r="A99" s="698"/>
      <c r="B99" s="89" t="str">
        <f>辅助!P25</f>
        <v/>
      </c>
      <c r="C99" s="90"/>
      <c r="D99" s="90"/>
      <c r="E99" s="91"/>
    </row>
    <row r="100" spans="1:5">
      <c r="A100" s="693" t="s">
        <v>93</v>
      </c>
      <c r="B100" s="173" t="str">
        <f>辅助!L18</f>
        <v/>
      </c>
      <c r="C100" s="174"/>
      <c r="D100" s="174"/>
      <c r="E100" s="175"/>
    </row>
    <row r="101" spans="1:5">
      <c r="A101" s="694"/>
      <c r="B101" s="173" t="str">
        <f>辅助!L19</f>
        <v/>
      </c>
      <c r="C101" s="174"/>
      <c r="D101" s="174"/>
      <c r="E101" s="175"/>
    </row>
    <row r="102" spans="1:5">
      <c r="A102" s="694"/>
      <c r="B102" s="173" t="str">
        <f>辅助!L20</f>
        <v/>
      </c>
      <c r="C102" s="174"/>
      <c r="D102" s="174"/>
      <c r="E102" s="175"/>
    </row>
    <row r="103" spans="1:5">
      <c r="A103" s="694"/>
      <c r="B103" s="173" t="str">
        <f>辅助!L21</f>
        <v/>
      </c>
      <c r="C103" s="447"/>
      <c r="D103" s="447"/>
      <c r="E103" s="167"/>
    </row>
    <row r="104" spans="1:5">
      <c r="A104" s="694"/>
      <c r="B104" s="173" t="str">
        <f>辅助!L22</f>
        <v/>
      </c>
      <c r="C104" s="447"/>
      <c r="D104" s="447"/>
      <c r="E104" s="167"/>
    </row>
    <row r="105" spans="1:5">
      <c r="A105" s="694"/>
      <c r="B105" s="173" t="str">
        <f>辅助!L23</f>
        <v/>
      </c>
      <c r="C105" s="447"/>
      <c r="D105" s="447"/>
      <c r="E105" s="167"/>
    </row>
    <row r="106" spans="1:5">
      <c r="A106" s="694"/>
      <c r="B106" s="173" t="str">
        <f>辅助!L24</f>
        <v/>
      </c>
      <c r="C106" s="447"/>
      <c r="D106" s="447"/>
      <c r="E106" s="167"/>
    </row>
    <row r="107" spans="1:5">
      <c r="A107" s="694"/>
      <c r="B107" s="173" t="str">
        <f>辅助!L25</f>
        <v/>
      </c>
      <c r="C107" s="447"/>
      <c r="D107" s="447"/>
      <c r="E107" s="167"/>
    </row>
    <row r="108" spans="1:5">
      <c r="A108" s="693" t="s">
        <v>94</v>
      </c>
      <c r="B108" s="695" t="str">
        <f>IF(辅助!N18&gt;0,VLOOKUP(辅助!P18,数据库!C:J,8,0),"")</f>
        <v/>
      </c>
      <c r="C108" s="696"/>
      <c r="D108" s="446">
        <f>IF(辅助!N18=0,0,"签发日期")</f>
        <v>0</v>
      </c>
      <c r="E108" s="51" t="str">
        <f>IF(辅助!N18&gt;0,VLOOKUP(辅助!P18,数据库!C:K,9,0),"")</f>
        <v/>
      </c>
    </row>
    <row r="109" spans="1:5">
      <c r="A109" s="694"/>
      <c r="B109" s="695" t="str">
        <f>IF(辅助!N19&gt;0,VLOOKUP(辅助!P19,数据库!C:J,8,0),"")</f>
        <v/>
      </c>
      <c r="C109" s="696"/>
      <c r="D109" s="446">
        <f>IF(辅助!N19=0,0,"签发日期")</f>
        <v>0</v>
      </c>
      <c r="E109" s="51" t="str">
        <f>IF(辅助!N19&gt;0,VLOOKUP(辅助!P19,数据库!C:K,9,0),"")</f>
        <v/>
      </c>
    </row>
    <row r="110" spans="1:5">
      <c r="A110" s="694"/>
      <c r="B110" s="695" t="str">
        <f>IF(辅助!N20&gt;0,VLOOKUP(辅助!P20,数据库!C:J,8,0),"")</f>
        <v/>
      </c>
      <c r="C110" s="696"/>
      <c r="D110" s="446">
        <f>IF(辅助!N20=0,0,"签发日期")</f>
        <v>0</v>
      </c>
      <c r="E110" s="51" t="str">
        <f>IF(辅助!N20&gt;0,VLOOKUP(辅助!P20,数据库!C:K,9,0),"")</f>
        <v/>
      </c>
    </row>
    <row r="111" spans="1:5">
      <c r="A111" s="694"/>
      <c r="B111" s="695" t="str">
        <f>IF(辅助!N21&gt;0,VLOOKUP(辅助!P21,数据库!C:J,8,0),"")</f>
        <v/>
      </c>
      <c r="C111" s="696"/>
      <c r="D111" s="446">
        <f>IF(辅助!N21=0,0,"签发日期")</f>
        <v>0</v>
      </c>
      <c r="E111" s="51" t="str">
        <f>IF(辅助!N21&gt;0,VLOOKUP(辅助!P21,数据库!C:K,9,0),"")</f>
        <v/>
      </c>
    </row>
    <row r="112" spans="1:5">
      <c r="A112" s="694"/>
      <c r="B112" s="695" t="str">
        <f>IF(辅助!N22&gt;0,VLOOKUP(辅助!P22,数据库!C:J,8,0),"")</f>
        <v/>
      </c>
      <c r="C112" s="696"/>
      <c r="D112" s="446">
        <f>IF(辅助!N22=0,0,"签发日期")</f>
        <v>0</v>
      </c>
      <c r="E112" s="51" t="str">
        <f>IF(辅助!N22&gt;0,VLOOKUP(辅助!P22,数据库!C:K,9,0),"")</f>
        <v/>
      </c>
    </row>
    <row r="113" spans="1:5" ht="12" customHeight="1">
      <c r="A113" s="694"/>
      <c r="B113" s="695" t="str">
        <f>IF(辅助!N23&gt;0,VLOOKUP(辅助!P23,数据库!C:J,8,0),"")</f>
        <v/>
      </c>
      <c r="C113" s="696"/>
      <c r="D113" s="446">
        <f>IF(辅助!N23=0,0,"签发日期")</f>
        <v>0</v>
      </c>
      <c r="E113" s="51" t="str">
        <f>IF(辅助!N23&gt;0,VLOOKUP(辅助!P23,数据库!C:K,9,0),"")</f>
        <v/>
      </c>
    </row>
    <row r="114" spans="1:5">
      <c r="A114" s="694"/>
      <c r="B114" s="695" t="str">
        <f>IF(辅助!N24&gt;0,VLOOKUP(辅助!P24,数据库!C:J,8,0),"")</f>
        <v/>
      </c>
      <c r="C114" s="696"/>
      <c r="D114" s="446">
        <f>IF(辅助!N24=0,0,"签发日期")</f>
        <v>0</v>
      </c>
      <c r="E114" s="51" t="str">
        <f>IF(辅助!N24&gt;0,VLOOKUP(辅助!P24,数据库!C:K,9,0),"")</f>
        <v/>
      </c>
    </row>
    <row r="115" spans="1:5">
      <c r="A115" s="694"/>
      <c r="B115" s="695" t="str">
        <f>IF(辅助!N25&gt;0,VLOOKUP(辅助!P25,数据库!C:J,8,0),"")</f>
        <v/>
      </c>
      <c r="C115" s="696"/>
      <c r="D115" s="446">
        <f>IF(辅助!N25=0,0,"签发日期")</f>
        <v>0</v>
      </c>
      <c r="E115" s="51" t="str">
        <f>IF(辅助!N25&gt;0,VLOOKUP(辅助!P25,数据库!C:K,9,0),"")</f>
        <v/>
      </c>
    </row>
    <row r="116" spans="1:5" ht="36">
      <c r="A116" s="70" t="s">
        <v>91</v>
      </c>
      <c r="B116" s="678" t="s">
        <v>81</v>
      </c>
      <c r="C116" s="679"/>
      <c r="D116" s="679"/>
      <c r="E116" s="680"/>
    </row>
    <row r="117" spans="1:5" ht="26.25" customHeight="1">
      <c r="A117" s="50" t="s">
        <v>87</v>
      </c>
      <c r="B117" s="681" t="s">
        <v>82</v>
      </c>
      <c r="C117" s="682"/>
      <c r="D117" s="682"/>
      <c r="E117" s="683"/>
    </row>
    <row r="118" spans="1:5" ht="27.75" customHeight="1">
      <c r="A118" s="69" t="s">
        <v>88</v>
      </c>
      <c r="B118" s="684" t="s">
        <v>528</v>
      </c>
      <c r="C118" s="685"/>
      <c r="D118" s="685"/>
      <c r="E118" s="686"/>
    </row>
    <row r="119" spans="1:5">
      <c r="A119" s="50" t="s">
        <v>89</v>
      </c>
      <c r="B119" s="687" t="str">
        <f>'Commercial Invoice3'!E15</f>
        <v>UK</v>
      </c>
      <c r="C119" s="688"/>
      <c r="D119" s="688"/>
      <c r="E119" s="689"/>
    </row>
    <row r="120" spans="1:5" ht="74.25" customHeight="1">
      <c r="A120" s="690" t="str">
        <f>A77</f>
        <v>我公司委托DHL承运的该类货物，无爆炸、无氧化、无腐蚀、无放射性、非易燃、非有毒有害、非用于制造化学武器的原料，经上海化工院检测有限公司鉴定，无危险性，可按普通货物条件运输，包装符合要求。The shipment that I consign by DHL does not contain the explosive, oxidation, corrosives, radioactive, flammable, toxic and infectious substance and the material for the chemical weapon. After Shanghai Research Institute of Chemical Industry Testing Co., Ltd. testing, the shipment without fatalness can be transported as the general cargo and the packaging meets the transportation requirement</v>
      </c>
      <c r="B120" s="691"/>
      <c r="C120" s="691"/>
      <c r="D120" s="691"/>
      <c r="E120" s="692"/>
    </row>
    <row r="121" spans="1:5" ht="41.25" customHeight="1">
      <c r="A121" s="690" t="s">
        <v>83</v>
      </c>
      <c r="B121" s="691"/>
      <c r="C121" s="691"/>
      <c r="D121" s="691"/>
      <c r="E121" s="692"/>
    </row>
    <row r="122" spans="1:5">
      <c r="A122" s="669" t="s">
        <v>84</v>
      </c>
      <c r="B122" s="670"/>
      <c r="C122" s="669" t="s">
        <v>85</v>
      </c>
      <c r="D122" s="675"/>
      <c r="E122" s="670"/>
    </row>
    <row r="123" spans="1:5">
      <c r="A123" s="671"/>
      <c r="B123" s="672"/>
      <c r="C123" s="671"/>
      <c r="D123" s="676"/>
      <c r="E123" s="672"/>
    </row>
    <row r="124" spans="1:5">
      <c r="A124" s="671"/>
      <c r="B124" s="672"/>
      <c r="C124" s="671"/>
      <c r="D124" s="676"/>
      <c r="E124" s="672"/>
    </row>
    <row r="125" spans="1:5">
      <c r="A125" s="671"/>
      <c r="B125" s="672"/>
      <c r="C125" s="671"/>
      <c r="D125" s="676"/>
      <c r="E125" s="672"/>
    </row>
    <row r="126" spans="1:5">
      <c r="A126" s="671"/>
      <c r="B126" s="672"/>
      <c r="C126" s="671"/>
      <c r="D126" s="676"/>
      <c r="E126" s="672"/>
    </row>
    <row r="127" spans="1:5">
      <c r="A127" s="671"/>
      <c r="B127" s="672"/>
      <c r="C127" s="671"/>
      <c r="D127" s="676"/>
      <c r="E127" s="672"/>
    </row>
    <row r="128" spans="1:5" ht="27" customHeight="1">
      <c r="A128" s="673"/>
      <c r="B128" s="674"/>
      <c r="C128" s="673"/>
      <c r="D128" s="677"/>
      <c r="E128" s="674"/>
    </row>
    <row r="129" spans="1:5" ht="14.25" customHeight="1">
      <c r="B129" s="421" t="str">
        <f>"3/"&amp;IF(COUNTIF(辅助!K:K,"&gt;0")&lt;9,1,IF(COUNTIF(辅助!K:K,"&gt;0")&lt;17,2,IF(COUNTIF(辅助!K:K,"&gt;0")&lt;25,3,IF(COUNTIF(辅助!K:K,"&gt;0")&lt;33,4))))</f>
        <v>3/2</v>
      </c>
    </row>
    <row r="130" spans="1:5" ht="39" customHeight="1">
      <c r="A130" s="699" t="s">
        <v>76</v>
      </c>
      <c r="B130" s="700"/>
      <c r="C130" s="700"/>
      <c r="D130" s="700"/>
      <c r="E130" s="700"/>
    </row>
    <row r="131" spans="1:5">
      <c r="A131" s="69" t="s">
        <v>77</v>
      </c>
      <c r="B131" s="687" t="s">
        <v>92</v>
      </c>
      <c r="C131" s="688"/>
      <c r="D131" s="688"/>
      <c r="E131" s="689"/>
    </row>
    <row r="132" spans="1:5">
      <c r="A132" s="69" t="s">
        <v>78</v>
      </c>
      <c r="B132" s="701" t="s">
        <v>110</v>
      </c>
      <c r="C132" s="702"/>
      <c r="D132" s="702"/>
      <c r="E132" s="703"/>
    </row>
    <row r="133" spans="1:5">
      <c r="A133" s="69" t="s">
        <v>79</v>
      </c>
      <c r="B133" s="687" t="s">
        <v>74</v>
      </c>
      <c r="C133" s="688"/>
      <c r="D133" s="688"/>
      <c r="E133" s="689"/>
    </row>
    <row r="134" spans="1:5">
      <c r="A134" s="69" t="s">
        <v>86</v>
      </c>
      <c r="B134" s="704" t="str">
        <f>B91</f>
        <v>2786337676</v>
      </c>
      <c r="C134" s="705"/>
      <c r="D134" s="705"/>
      <c r="E134" s="706"/>
    </row>
    <row r="135" spans="1:5" ht="12.75" customHeight="1">
      <c r="A135" s="697" t="s">
        <v>90</v>
      </c>
      <c r="B135" s="89" t="str">
        <f>辅助!P26</f>
        <v/>
      </c>
      <c r="C135" s="90"/>
      <c r="D135" s="90"/>
      <c r="E135" s="91"/>
    </row>
    <row r="136" spans="1:5" ht="12.75" customHeight="1">
      <c r="A136" s="698"/>
      <c r="B136" s="89" t="str">
        <f>辅助!P27</f>
        <v/>
      </c>
      <c r="C136" s="90"/>
      <c r="D136" s="90"/>
      <c r="E136" s="91"/>
    </row>
    <row r="137" spans="1:5" ht="12.75" customHeight="1">
      <c r="A137" s="698"/>
      <c r="B137" s="89" t="str">
        <f>辅助!P28</f>
        <v/>
      </c>
      <c r="C137" s="90"/>
      <c r="D137" s="90"/>
      <c r="E137" s="91"/>
    </row>
    <row r="138" spans="1:5" ht="12.75" customHeight="1">
      <c r="A138" s="698"/>
      <c r="B138" s="89" t="str">
        <f>辅助!P29</f>
        <v/>
      </c>
      <c r="C138" s="90"/>
      <c r="D138" s="90"/>
      <c r="E138" s="91"/>
    </row>
    <row r="139" spans="1:5" ht="12.75" customHeight="1">
      <c r="A139" s="698"/>
      <c r="B139" s="89" t="str">
        <f>辅助!P30</f>
        <v/>
      </c>
      <c r="C139" s="90"/>
      <c r="D139" s="90"/>
      <c r="E139" s="91"/>
    </row>
    <row r="140" spans="1:5" ht="12.75" customHeight="1">
      <c r="A140" s="698"/>
      <c r="B140" s="89" t="str">
        <f>辅助!P31</f>
        <v/>
      </c>
      <c r="C140" s="90"/>
      <c r="D140" s="90"/>
      <c r="E140" s="91"/>
    </row>
    <row r="141" spans="1:5" ht="12.75" customHeight="1">
      <c r="A141" s="698"/>
      <c r="B141" s="89" t="str">
        <f>辅助!P32</f>
        <v/>
      </c>
      <c r="C141" s="90"/>
      <c r="D141" s="90"/>
      <c r="E141" s="91"/>
    </row>
    <row r="142" spans="1:5" ht="12.75" customHeight="1">
      <c r="A142" s="698"/>
      <c r="B142" s="89" t="str">
        <f>辅助!P33</f>
        <v/>
      </c>
      <c r="C142" s="90"/>
      <c r="D142" s="90"/>
      <c r="E142" s="91"/>
    </row>
    <row r="143" spans="1:5">
      <c r="A143" s="693" t="s">
        <v>93</v>
      </c>
      <c r="B143" s="173" t="str">
        <f>辅助!L26</f>
        <v/>
      </c>
      <c r="C143" s="174"/>
      <c r="D143" s="174"/>
      <c r="E143" s="175"/>
    </row>
    <row r="144" spans="1:5">
      <c r="A144" s="694"/>
      <c r="B144" s="173" t="str">
        <f>辅助!L27</f>
        <v/>
      </c>
      <c r="C144" s="174"/>
      <c r="D144" s="174"/>
      <c r="E144" s="175"/>
    </row>
    <row r="145" spans="1:5">
      <c r="A145" s="694"/>
      <c r="B145" s="173" t="str">
        <f>辅助!L28</f>
        <v/>
      </c>
      <c r="C145" s="174"/>
      <c r="D145" s="174"/>
      <c r="E145" s="175"/>
    </row>
    <row r="146" spans="1:5">
      <c r="A146" s="694"/>
      <c r="B146" s="173" t="str">
        <f>辅助!L29</f>
        <v/>
      </c>
      <c r="C146" s="447"/>
      <c r="D146" s="447"/>
      <c r="E146" s="167"/>
    </row>
    <row r="147" spans="1:5">
      <c r="A147" s="694"/>
      <c r="B147" s="173" t="str">
        <f>辅助!L30</f>
        <v/>
      </c>
      <c r="C147" s="447"/>
      <c r="D147" s="447"/>
      <c r="E147" s="167"/>
    </row>
    <row r="148" spans="1:5">
      <c r="A148" s="694"/>
      <c r="B148" s="173" t="str">
        <f>辅助!L31</f>
        <v/>
      </c>
      <c r="C148" s="447"/>
      <c r="D148" s="447"/>
      <c r="E148" s="167"/>
    </row>
    <row r="149" spans="1:5">
      <c r="A149" s="694"/>
      <c r="B149" s="173" t="str">
        <f>辅助!L32</f>
        <v/>
      </c>
      <c r="C149" s="447"/>
      <c r="D149" s="447"/>
      <c r="E149" s="167"/>
    </row>
    <row r="150" spans="1:5">
      <c r="A150" s="694"/>
      <c r="B150" s="173" t="str">
        <f>辅助!L33</f>
        <v/>
      </c>
      <c r="C150" s="447"/>
      <c r="D150" s="447"/>
      <c r="E150" s="167"/>
    </row>
    <row r="151" spans="1:5">
      <c r="A151" s="693" t="s">
        <v>94</v>
      </c>
      <c r="B151" s="695" t="str">
        <f>IF(辅助!N26&gt;0,VLOOKUP(辅助!P26,数据库!C:J,8,0),"")</f>
        <v/>
      </c>
      <c r="C151" s="696"/>
      <c r="D151" s="446">
        <f>IF(辅助!N26=0,0,"签发日期")</f>
        <v>0</v>
      </c>
      <c r="E151" s="51" t="str">
        <f>IF(辅助!N26&gt;0,VLOOKUP(辅助!P26,数据库!C:K,9,0),"")</f>
        <v/>
      </c>
    </row>
    <row r="152" spans="1:5">
      <c r="A152" s="694"/>
      <c r="B152" s="695" t="str">
        <f>IF(辅助!N27&gt;0,VLOOKUP(辅助!P27,数据库!C:J,8,0),"")</f>
        <v/>
      </c>
      <c r="C152" s="696"/>
      <c r="D152" s="446">
        <f>IF(辅助!N27=0,0,"签发日期")</f>
        <v>0</v>
      </c>
      <c r="E152" s="51" t="str">
        <f>IF(辅助!N27&gt;0,VLOOKUP(辅助!P27,数据库!C:K,9,0),"")</f>
        <v/>
      </c>
    </row>
    <row r="153" spans="1:5">
      <c r="A153" s="694"/>
      <c r="B153" s="695" t="str">
        <f>IF(辅助!N28&gt;0,VLOOKUP(辅助!P28,数据库!C:J,8,0),"")</f>
        <v/>
      </c>
      <c r="C153" s="696"/>
      <c r="D153" s="446">
        <f>IF(辅助!N28=0,0,"签发日期")</f>
        <v>0</v>
      </c>
      <c r="E153" s="51" t="str">
        <f>IF(辅助!N28&gt;0,VLOOKUP(辅助!P28,数据库!C:K,9,0),"")</f>
        <v/>
      </c>
    </row>
    <row r="154" spans="1:5">
      <c r="A154" s="694"/>
      <c r="B154" s="695" t="str">
        <f>IF(辅助!N29&gt;0,VLOOKUP(辅助!P29,数据库!C:J,8,0),"")</f>
        <v/>
      </c>
      <c r="C154" s="696"/>
      <c r="D154" s="446">
        <f>IF(辅助!N29=0,0,"签发日期")</f>
        <v>0</v>
      </c>
      <c r="E154" s="51" t="str">
        <f>IF(辅助!N29&gt;0,VLOOKUP(辅助!P29,数据库!C:K,9,0),"")</f>
        <v/>
      </c>
    </row>
    <row r="155" spans="1:5">
      <c r="A155" s="694"/>
      <c r="B155" s="695" t="str">
        <f>IF(辅助!N30&gt;0,VLOOKUP(辅助!P30,数据库!C:J,8,0),"")</f>
        <v/>
      </c>
      <c r="C155" s="696"/>
      <c r="D155" s="446">
        <f>IF(辅助!N30=0,0,"签发日期")</f>
        <v>0</v>
      </c>
      <c r="E155" s="51" t="str">
        <f>IF(辅助!N30&gt;0,VLOOKUP(辅助!P30,数据库!C:K,9,0),"")</f>
        <v/>
      </c>
    </row>
    <row r="156" spans="1:5" ht="12" customHeight="1">
      <c r="A156" s="694"/>
      <c r="B156" s="695" t="str">
        <f>IF(辅助!N31&gt;0,VLOOKUP(辅助!P31,数据库!C:J,8,0),"")</f>
        <v/>
      </c>
      <c r="C156" s="696"/>
      <c r="D156" s="446">
        <f>IF(辅助!N31=0,0,"签发日期")</f>
        <v>0</v>
      </c>
      <c r="E156" s="51" t="str">
        <f>IF(辅助!N31&gt;0,VLOOKUP(辅助!P31,数据库!C:K,9,0),"")</f>
        <v/>
      </c>
    </row>
    <row r="157" spans="1:5">
      <c r="A157" s="694"/>
      <c r="B157" s="695" t="str">
        <f>IF(辅助!N32&gt;0,VLOOKUP(辅助!P32,数据库!C:J,8,0),"")</f>
        <v/>
      </c>
      <c r="C157" s="696"/>
      <c r="D157" s="446">
        <f>IF(辅助!N32=0,0,"签发日期")</f>
        <v>0</v>
      </c>
      <c r="E157" s="51" t="str">
        <f>IF(辅助!N32&gt;0,VLOOKUP(辅助!P32,数据库!C:K,9,0),"")</f>
        <v/>
      </c>
    </row>
    <row r="158" spans="1:5">
      <c r="A158" s="694"/>
      <c r="B158" s="695" t="str">
        <f>IF(辅助!N33&gt;0,VLOOKUP(辅助!P33,数据库!C:J,8,0),"")</f>
        <v/>
      </c>
      <c r="C158" s="696"/>
      <c r="D158" s="446">
        <f>IF(辅助!N33=0,0,"签发日期")</f>
        <v>0</v>
      </c>
      <c r="E158" s="51" t="str">
        <f>IF(辅助!N33&gt;0,VLOOKUP(辅助!P33,数据库!C:K,9,0),"")</f>
        <v/>
      </c>
    </row>
    <row r="159" spans="1:5" ht="36">
      <c r="A159" s="70" t="s">
        <v>91</v>
      </c>
      <c r="B159" s="678" t="s">
        <v>81</v>
      </c>
      <c r="C159" s="679"/>
      <c r="D159" s="679"/>
      <c r="E159" s="680"/>
    </row>
    <row r="160" spans="1:5" ht="26.25" customHeight="1">
      <c r="A160" s="50" t="s">
        <v>87</v>
      </c>
      <c r="B160" s="681" t="s">
        <v>82</v>
      </c>
      <c r="C160" s="682"/>
      <c r="D160" s="682"/>
      <c r="E160" s="683"/>
    </row>
    <row r="161" spans="1:5" ht="27.75" customHeight="1">
      <c r="A161" s="69" t="s">
        <v>88</v>
      </c>
      <c r="B161" s="684" t="s">
        <v>528</v>
      </c>
      <c r="C161" s="685"/>
      <c r="D161" s="685"/>
      <c r="E161" s="686"/>
    </row>
    <row r="162" spans="1:5">
      <c r="A162" s="50" t="s">
        <v>89</v>
      </c>
      <c r="B162" s="687" t="str">
        <f>B119</f>
        <v>UK</v>
      </c>
      <c r="C162" s="688"/>
      <c r="D162" s="688"/>
      <c r="E162" s="689"/>
    </row>
    <row r="163" spans="1:5" ht="74.25" customHeight="1">
      <c r="A163" s="690" t="str">
        <f>A120</f>
        <v>我公司委托DHL承运的该类货物，无爆炸、无氧化、无腐蚀、无放射性、非易燃、非有毒有害、非用于制造化学武器的原料，经上海化工院检测有限公司鉴定，无危险性，可按普通货物条件运输，包装符合要求。The shipment that I consign by DHL does not contain the explosive, oxidation, corrosives, radioactive, flammable, toxic and infectious substance and the material for the chemical weapon. After Shanghai Research Institute of Chemical Industry Testing Co., Ltd. testing, the shipment without fatalness can be transported as the general cargo and the packaging meets the transportation requirement</v>
      </c>
      <c r="B163" s="691"/>
      <c r="C163" s="691"/>
      <c r="D163" s="691"/>
      <c r="E163" s="692"/>
    </row>
    <row r="164" spans="1:5" ht="41.25" customHeight="1">
      <c r="A164" s="690" t="s">
        <v>83</v>
      </c>
      <c r="B164" s="691"/>
      <c r="C164" s="691"/>
      <c r="D164" s="691"/>
      <c r="E164" s="692"/>
    </row>
    <row r="165" spans="1:5">
      <c r="A165" s="669" t="s">
        <v>84</v>
      </c>
      <c r="B165" s="670"/>
      <c r="C165" s="669" t="s">
        <v>85</v>
      </c>
      <c r="D165" s="675"/>
      <c r="E165" s="670"/>
    </row>
    <row r="166" spans="1:5">
      <c r="A166" s="671"/>
      <c r="B166" s="672"/>
      <c r="C166" s="671"/>
      <c r="D166" s="676"/>
      <c r="E166" s="672"/>
    </row>
    <row r="167" spans="1:5">
      <c r="A167" s="671"/>
      <c r="B167" s="672"/>
      <c r="C167" s="671"/>
      <c r="D167" s="676"/>
      <c r="E167" s="672"/>
    </row>
    <row r="168" spans="1:5">
      <c r="A168" s="671"/>
      <c r="B168" s="672"/>
      <c r="C168" s="671"/>
      <c r="D168" s="676"/>
      <c r="E168" s="672"/>
    </row>
    <row r="169" spans="1:5">
      <c r="A169" s="671"/>
      <c r="B169" s="672"/>
      <c r="C169" s="671"/>
      <c r="D169" s="676"/>
      <c r="E169" s="672"/>
    </row>
    <row r="170" spans="1:5">
      <c r="A170" s="671"/>
      <c r="B170" s="672"/>
      <c r="C170" s="671"/>
      <c r="D170" s="676"/>
      <c r="E170" s="672"/>
    </row>
    <row r="171" spans="1:5">
      <c r="A171" s="673"/>
      <c r="B171" s="674"/>
      <c r="C171" s="673"/>
      <c r="D171" s="677"/>
      <c r="E171" s="674"/>
    </row>
    <row r="172" spans="1:5">
      <c r="B172" s="421" t="str">
        <f>"4/"&amp;IF(COUNTIF(辅助!K:K,"&gt;0")&lt;9,1,IF(COUNTIF(辅助!K:K,"&gt;0")&lt;17,2,IF(COUNTIF(辅助!K:K,"&gt;0")&lt;25,3,IF(COUNTIF(辅助!K:K,"&gt;0")&lt;33,4))))</f>
        <v>4/2</v>
      </c>
    </row>
  </sheetData>
  <mergeCells count="96">
    <mergeCell ref="A6:A13"/>
    <mergeCell ref="A1:E1"/>
    <mergeCell ref="B2:E2"/>
    <mergeCell ref="B3:E3"/>
    <mergeCell ref="B4:E4"/>
    <mergeCell ref="B5:E5"/>
    <mergeCell ref="A14:A21"/>
    <mergeCell ref="A22:A29"/>
    <mergeCell ref="B22:C22"/>
    <mergeCell ref="B23:C23"/>
    <mergeCell ref="B24:C24"/>
    <mergeCell ref="B25:C25"/>
    <mergeCell ref="B26:C26"/>
    <mergeCell ref="B27:C27"/>
    <mergeCell ref="B28:C28"/>
    <mergeCell ref="B29:C29"/>
    <mergeCell ref="B47:E47"/>
    <mergeCell ref="B30:E30"/>
    <mergeCell ref="B31:E31"/>
    <mergeCell ref="B32:E32"/>
    <mergeCell ref="B33:E33"/>
    <mergeCell ref="A34:E34"/>
    <mergeCell ref="A35:E35"/>
    <mergeCell ref="A36:B42"/>
    <mergeCell ref="C36:E42"/>
    <mergeCell ref="A44:E44"/>
    <mergeCell ref="B45:E45"/>
    <mergeCell ref="B46:E46"/>
    <mergeCell ref="B48:E48"/>
    <mergeCell ref="A49:A56"/>
    <mergeCell ref="A57:A64"/>
    <mergeCell ref="A65:A72"/>
    <mergeCell ref="B65:C65"/>
    <mergeCell ref="B66:C66"/>
    <mergeCell ref="B67:C67"/>
    <mergeCell ref="B68:C68"/>
    <mergeCell ref="B69:C69"/>
    <mergeCell ref="B70:C70"/>
    <mergeCell ref="B88:E88"/>
    <mergeCell ref="B71:C71"/>
    <mergeCell ref="B72:C72"/>
    <mergeCell ref="B73:E73"/>
    <mergeCell ref="B74:E74"/>
    <mergeCell ref="B75:E75"/>
    <mergeCell ref="B76:E76"/>
    <mergeCell ref="A77:E77"/>
    <mergeCell ref="A78:E78"/>
    <mergeCell ref="A79:B85"/>
    <mergeCell ref="C79:E85"/>
    <mergeCell ref="A87:E87"/>
    <mergeCell ref="B117:E117"/>
    <mergeCell ref="B89:E89"/>
    <mergeCell ref="B90:E90"/>
    <mergeCell ref="B91:E91"/>
    <mergeCell ref="A92:A99"/>
    <mergeCell ref="A100:A107"/>
    <mergeCell ref="A108:A115"/>
    <mergeCell ref="B108:C108"/>
    <mergeCell ref="B109:C109"/>
    <mergeCell ref="B110:C110"/>
    <mergeCell ref="B111:C111"/>
    <mergeCell ref="B112:C112"/>
    <mergeCell ref="B113:C113"/>
    <mergeCell ref="B114:C114"/>
    <mergeCell ref="B115:C115"/>
    <mergeCell ref="B116:E116"/>
    <mergeCell ref="A135:A142"/>
    <mergeCell ref="B118:E118"/>
    <mergeCell ref="B119:E119"/>
    <mergeCell ref="A120:E120"/>
    <mergeCell ref="A121:E121"/>
    <mergeCell ref="A122:B128"/>
    <mergeCell ref="C122:E128"/>
    <mergeCell ref="A130:E130"/>
    <mergeCell ref="B131:E131"/>
    <mergeCell ref="B132:E132"/>
    <mergeCell ref="B133:E133"/>
    <mergeCell ref="B134:E134"/>
    <mergeCell ref="A143:A150"/>
    <mergeCell ref="A151:A158"/>
    <mergeCell ref="B151:C151"/>
    <mergeCell ref="B152:C152"/>
    <mergeCell ref="B153:C153"/>
    <mergeCell ref="B154:C154"/>
    <mergeCell ref="B155:C155"/>
    <mergeCell ref="B156:C156"/>
    <mergeCell ref="B157:C157"/>
    <mergeCell ref="B158:C158"/>
    <mergeCell ref="A165:B171"/>
    <mergeCell ref="C165:E171"/>
    <mergeCell ref="B159:E159"/>
    <mergeCell ref="B160:E160"/>
    <mergeCell ref="B161:E161"/>
    <mergeCell ref="B162:E162"/>
    <mergeCell ref="A163:E163"/>
    <mergeCell ref="A164:E164"/>
  </mergeCells>
  <phoneticPr fontId="1" type="noConversion"/>
  <conditionalFormatting sqref="B6:E29 B49:E72">
    <cfRule type="cellIs" dxfId="75" priority="13" operator="equal">
      <formula>0</formula>
    </cfRule>
  </conditionalFormatting>
  <conditionalFormatting sqref="C92:E107">
    <cfRule type="cellIs" dxfId="74" priority="12" operator="equal">
      <formula>0</formula>
    </cfRule>
  </conditionalFormatting>
  <conditionalFormatting sqref="B92:B99">
    <cfRule type="cellIs" dxfId="73" priority="11" operator="equal">
      <formula>0</formula>
    </cfRule>
  </conditionalFormatting>
  <conditionalFormatting sqref="B100:B107">
    <cfRule type="cellIs" dxfId="72" priority="10" operator="equal">
      <formula>0</formula>
    </cfRule>
  </conditionalFormatting>
  <conditionalFormatting sqref="B108:C115">
    <cfRule type="cellIs" dxfId="71" priority="9" operator="equal">
      <formula>0</formula>
    </cfRule>
  </conditionalFormatting>
  <conditionalFormatting sqref="D108:D115">
    <cfRule type="cellIs" dxfId="70" priority="8" operator="equal">
      <formula>0</formula>
    </cfRule>
  </conditionalFormatting>
  <conditionalFormatting sqref="E108:E115">
    <cfRule type="cellIs" dxfId="69" priority="7" operator="equal">
      <formula>0</formula>
    </cfRule>
  </conditionalFormatting>
  <conditionalFormatting sqref="C135:E150">
    <cfRule type="cellIs" dxfId="68" priority="6" operator="equal">
      <formula>0</formula>
    </cfRule>
  </conditionalFormatting>
  <conditionalFormatting sqref="B135:B142">
    <cfRule type="cellIs" dxfId="67" priority="5" operator="equal">
      <formula>0</formula>
    </cfRule>
  </conditionalFormatting>
  <conditionalFormatting sqref="B143:B150">
    <cfRule type="cellIs" dxfId="66" priority="4" operator="equal">
      <formula>0</formula>
    </cfRule>
  </conditionalFormatting>
  <conditionalFormatting sqref="B151:C158">
    <cfRule type="cellIs" dxfId="65" priority="3" operator="equal">
      <formula>0</formula>
    </cfRule>
  </conditionalFormatting>
  <conditionalFormatting sqref="D151:D158">
    <cfRule type="cellIs" dxfId="64" priority="2" operator="equal">
      <formula>0</formula>
    </cfRule>
  </conditionalFormatting>
  <conditionalFormatting sqref="E151:E158">
    <cfRule type="cellIs" dxfId="63" priority="1" operator="equal">
      <formula>0</formula>
    </cfRule>
  </conditionalFormatting>
  <pageMargins left="0.59055118110236227" right="0.19685039370078741" top="0.31496062992125984" bottom="0" header="0.51181102362204722" footer="0.51181102362204722"/>
  <pageSetup paperSize="9" orientation="portrait" verticalDpi="4294967295" r:id="rId1"/>
  <rowBreaks count="2" manualBreakCount="2">
    <brk id="43" max="16383" man="1"/>
    <brk id="86"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E172"/>
  <sheetViews>
    <sheetView workbookViewId="0">
      <selection activeCell="I29" sqref="I29"/>
    </sheetView>
  </sheetViews>
  <sheetFormatPr defaultRowHeight="14.25"/>
  <cols>
    <col min="1" max="1" width="32.75" customWidth="1"/>
    <col min="2" max="2" width="8.875" customWidth="1"/>
    <col min="3" max="3" width="20.125" customWidth="1"/>
    <col min="4" max="4" width="9.625" customWidth="1"/>
    <col min="5" max="5" width="12.375" customWidth="1"/>
  </cols>
  <sheetData>
    <row r="1" spans="1:5" ht="46.5" customHeight="1">
      <c r="A1" s="699" t="s">
        <v>76</v>
      </c>
      <c r="B1" s="700"/>
      <c r="C1" s="700"/>
      <c r="D1" s="700"/>
      <c r="E1" s="700"/>
    </row>
    <row r="2" spans="1:5" ht="19.5" customHeight="1">
      <c r="A2" s="69" t="s">
        <v>77</v>
      </c>
      <c r="B2" s="687" t="s">
        <v>92</v>
      </c>
      <c r="C2" s="688"/>
      <c r="D2" s="688"/>
      <c r="E2" s="689"/>
    </row>
    <row r="3" spans="1:5" ht="19.5" customHeight="1">
      <c r="A3" s="69" t="s">
        <v>78</v>
      </c>
      <c r="B3" s="701" t="s">
        <v>110</v>
      </c>
      <c r="C3" s="702"/>
      <c r="D3" s="702"/>
      <c r="E3" s="703"/>
    </row>
    <row r="4" spans="1:5" ht="19.5" customHeight="1">
      <c r="A4" s="69" t="s">
        <v>79</v>
      </c>
      <c r="B4" s="687" t="s">
        <v>80</v>
      </c>
      <c r="C4" s="688"/>
      <c r="D4" s="688"/>
      <c r="E4" s="689"/>
    </row>
    <row r="5" spans="1:5" ht="19.5" customHeight="1">
      <c r="A5" s="69" t="s">
        <v>86</v>
      </c>
      <c r="B5" s="687" t="str">
        <f>发货清单!F2</f>
        <v>2786337676</v>
      </c>
      <c r="C5" s="688"/>
      <c r="D5" s="688"/>
      <c r="E5" s="689"/>
    </row>
    <row r="6" spans="1:5" ht="12" customHeight="1">
      <c r="A6" s="697" t="s">
        <v>90</v>
      </c>
      <c r="B6" s="89" t="str">
        <f>辅助!P2</f>
        <v>Carboxylic acid compound category (AB-04)1</v>
      </c>
      <c r="C6" s="90"/>
      <c r="D6" s="90"/>
      <c r="E6" s="91"/>
    </row>
    <row r="7" spans="1:5" ht="12" customHeight="1">
      <c r="A7" s="698"/>
      <c r="B7" s="89" t="str">
        <f>辅助!P3</f>
        <v>Carboxylic acid compound category (AB-04)6</v>
      </c>
      <c r="C7" s="90"/>
      <c r="D7" s="90"/>
      <c r="E7" s="91"/>
    </row>
    <row r="8" spans="1:5" ht="12" customHeight="1">
      <c r="A8" s="698"/>
      <c r="B8" s="89" t="str">
        <f>辅助!P4</f>
        <v>Sulfonamide compound category(AB-08)1</v>
      </c>
      <c r="C8" s="90"/>
      <c r="D8" s="90"/>
      <c r="E8" s="91"/>
    </row>
    <row r="9" spans="1:5" ht="12" customHeight="1">
      <c r="A9" s="698"/>
      <c r="B9" s="89" t="str">
        <f>辅助!P5</f>
        <v>Heterocyclic with single or more oxygen atoms compound category （AB-15）4</v>
      </c>
      <c r="C9" s="90"/>
      <c r="D9" s="90"/>
      <c r="E9" s="91"/>
    </row>
    <row r="10" spans="1:5" ht="12" customHeight="1">
      <c r="A10" s="698"/>
      <c r="B10" s="89" t="str">
        <f>辅助!P6</f>
        <v>Acyclic hydrocarbon compound category （AB-02）11</v>
      </c>
      <c r="C10" s="90"/>
      <c r="D10" s="90"/>
      <c r="E10" s="91"/>
    </row>
    <row r="11" spans="1:5" ht="12" customHeight="1">
      <c r="A11" s="698"/>
      <c r="B11" s="89" t="str">
        <f>辅助!P7</f>
        <v>Acyclic hydrocarbon compound category （AB-02）13</v>
      </c>
      <c r="C11" s="90"/>
      <c r="D11" s="90"/>
      <c r="E11" s="91"/>
    </row>
    <row r="12" spans="1:5" ht="12" customHeight="1">
      <c r="A12" s="698"/>
      <c r="B12" s="89" t="str">
        <f>辅助!P8</f>
        <v>Heterocyclic with nitrogen compound category (AB-06)46</v>
      </c>
      <c r="C12" s="90"/>
      <c r="D12" s="90"/>
      <c r="E12" s="91"/>
    </row>
    <row r="13" spans="1:5" ht="12" customHeight="1">
      <c r="A13" s="698"/>
      <c r="B13" s="89" t="str">
        <f>辅助!P9</f>
        <v>Heterocyclic with nitrogen compound category (AB-06)53</v>
      </c>
      <c r="C13" s="90"/>
      <c r="D13" s="90"/>
      <c r="E13" s="91"/>
    </row>
    <row r="14" spans="1:5" ht="12" customHeight="1">
      <c r="A14" s="693" t="s">
        <v>93</v>
      </c>
      <c r="B14" s="173" t="str">
        <f>辅助!L2</f>
        <v>十三烷二酸</v>
      </c>
      <c r="C14" s="174"/>
      <c r="D14" s="174"/>
      <c r="E14" s="175"/>
    </row>
    <row r="15" spans="1:5" ht="12" customHeight="1">
      <c r="A15" s="694"/>
      <c r="B15" s="173" t="str">
        <f>辅助!L3</f>
        <v>辛二酸单甲酯</v>
      </c>
      <c r="C15" s="174"/>
      <c r="D15" s="174"/>
      <c r="E15" s="175"/>
    </row>
    <row r="16" spans="1:5" ht="12" customHeight="1">
      <c r="A16" s="694"/>
      <c r="B16" s="173" t="str">
        <f>辅助!L4</f>
        <v>N-甲基对甲苯磺酰胺</v>
      </c>
      <c r="C16" s="174"/>
      <c r="D16" s="174"/>
      <c r="E16" s="175"/>
    </row>
    <row r="17" spans="1:5" ht="12" customHeight="1">
      <c r="A17" s="694"/>
      <c r="B17" s="173" t="str">
        <f>辅助!L5</f>
        <v>异山梨醇</v>
      </c>
      <c r="C17" s="64"/>
      <c r="D17" s="64"/>
      <c r="E17" s="65"/>
    </row>
    <row r="18" spans="1:5" ht="12" customHeight="1">
      <c r="A18" s="694"/>
      <c r="B18" s="173" t="str">
        <f>辅助!L6</f>
        <v>溴代十六烷</v>
      </c>
      <c r="C18" s="64"/>
      <c r="D18" s="64"/>
      <c r="E18" s="65"/>
    </row>
    <row r="19" spans="1:5" ht="12" customHeight="1">
      <c r="A19" s="694"/>
      <c r="B19" s="173" t="str">
        <f>辅助!L7</f>
        <v>1,4-二碘代丁烷</v>
      </c>
      <c r="C19" s="64"/>
      <c r="D19" s="64"/>
      <c r="E19" s="65"/>
    </row>
    <row r="20" spans="1:5" ht="12" customHeight="1">
      <c r="A20" s="694"/>
      <c r="B20" s="173" t="str">
        <f>辅助!L8</f>
        <v>5-甲氧基吲哚-2-甲酸乙酯</v>
      </c>
      <c r="C20" s="64"/>
      <c r="D20" s="64"/>
      <c r="E20" s="65"/>
    </row>
    <row r="21" spans="1:5" ht="12" customHeight="1">
      <c r="A21" s="694"/>
      <c r="B21" s="173" t="str">
        <f>辅助!L9</f>
        <v>6-氯吡嗪-2-羧酸甲酯</v>
      </c>
      <c r="C21" s="182"/>
      <c r="D21" s="182"/>
      <c r="E21" s="167"/>
    </row>
    <row r="22" spans="1:5" ht="12.75" customHeight="1">
      <c r="A22" s="693" t="s">
        <v>94</v>
      </c>
      <c r="B22" s="695">
        <f>IF(辅助!N2&gt;0,VLOOKUP(辅助!P2,数据库!C:J,8,0),"")</f>
        <v>2020016013</v>
      </c>
      <c r="C22" s="696"/>
      <c r="D22" s="262" t="str">
        <f>IF(辅助!N2=0,0,"签发日期")</f>
        <v>签发日期</v>
      </c>
      <c r="E22" s="51">
        <f>IF(辅助!N2&gt;0,VLOOKUP(辅助!P2,数据库!C:K,9,0),"")</f>
        <v>43801</v>
      </c>
    </row>
    <row r="23" spans="1:5" ht="12.75" customHeight="1">
      <c r="A23" s="694"/>
      <c r="B23" s="695">
        <f>IF(辅助!N3&gt;0,VLOOKUP(辅助!P3,数据库!C:J,8,0),"")</f>
        <v>2020015972</v>
      </c>
      <c r="C23" s="696"/>
      <c r="D23" s="73" t="str">
        <f>IF(辅助!N3=0,0,"签发日期")</f>
        <v>签发日期</v>
      </c>
      <c r="E23" s="51">
        <f>IF(辅助!N3&gt;0,VLOOKUP(辅助!P3,数据库!C:K,9,0),"")</f>
        <v>43801</v>
      </c>
    </row>
    <row r="24" spans="1:5" ht="12.75" customHeight="1">
      <c r="A24" s="694"/>
      <c r="B24" s="695">
        <f>IF(辅助!N4&gt;0,VLOOKUP(辅助!P4,数据库!C:J,8,0),"")</f>
        <v>2020015987</v>
      </c>
      <c r="C24" s="696"/>
      <c r="D24" s="262" t="str">
        <f>IF(辅助!N4=0,0,"签发日期")</f>
        <v>签发日期</v>
      </c>
      <c r="E24" s="51">
        <f>IF(辅助!N4&gt;0,VLOOKUP(辅助!P4,数据库!C:K,9,0),"")</f>
        <v>43801</v>
      </c>
    </row>
    <row r="25" spans="1:5" ht="12.75" customHeight="1">
      <c r="A25" s="694"/>
      <c r="B25" s="695">
        <f>IF(辅助!N5&gt;0,VLOOKUP(辅助!P5,数据库!C:J,8,0),"")</f>
        <v>2020015851</v>
      </c>
      <c r="C25" s="696"/>
      <c r="D25" s="262" t="str">
        <f>IF(辅助!N5=0,0,"签发日期")</f>
        <v>签发日期</v>
      </c>
      <c r="E25" s="51">
        <f>IF(辅助!N5&gt;0,VLOOKUP(辅助!P5,数据库!C:K,9,0),"")</f>
        <v>43801</v>
      </c>
    </row>
    <row r="26" spans="1:5" ht="12.75" customHeight="1">
      <c r="A26" s="694"/>
      <c r="B26" s="695">
        <f>IF(辅助!N6&gt;0,VLOOKUP(辅助!P6,数据库!C:J,8,0),"")</f>
        <v>2020015968</v>
      </c>
      <c r="C26" s="696"/>
      <c r="D26" s="262" t="str">
        <f>IF(辅助!N6=0,0,"签发日期")</f>
        <v>签发日期</v>
      </c>
      <c r="E26" s="51">
        <f>IF(辅助!N6&gt;0,VLOOKUP(辅助!P6,数据库!C:K,9,0),"")</f>
        <v>43801</v>
      </c>
    </row>
    <row r="27" spans="1:5" ht="12.75" customHeight="1">
      <c r="A27" s="694"/>
      <c r="B27" s="695">
        <f>IF(辅助!N7&gt;0,VLOOKUP(辅助!P7,数据库!C:J,8,0),"")</f>
        <v>2020015870</v>
      </c>
      <c r="C27" s="696"/>
      <c r="D27" s="262" t="str">
        <f>IF(辅助!N7=0,0,"签发日期")</f>
        <v>签发日期</v>
      </c>
      <c r="E27" s="51">
        <f>IF(辅助!N7&gt;0,VLOOKUP(辅助!P7,数据库!C:K,9,0),"")</f>
        <v>43801</v>
      </c>
    </row>
    <row r="28" spans="1:5" ht="12.75" customHeight="1">
      <c r="A28" s="694"/>
      <c r="B28" s="695">
        <f>IF(辅助!N8&gt;0,VLOOKUP(辅助!P8,数据库!C:J,8,0),"")</f>
        <v>2020015961</v>
      </c>
      <c r="C28" s="696"/>
      <c r="D28" s="262" t="str">
        <f>IF(辅助!N8=0,0,"签发日期")</f>
        <v>签发日期</v>
      </c>
      <c r="E28" s="51">
        <f>IF(辅助!N8&gt;0,VLOOKUP(辅助!P8,数据库!C:K,9,0),"")</f>
        <v>43801</v>
      </c>
    </row>
    <row r="29" spans="1:5" ht="12.75" customHeight="1">
      <c r="A29" s="694"/>
      <c r="B29" s="695">
        <f>IF(辅助!N9&gt;0,VLOOKUP(辅助!P9,数据库!C:J,8,0),"")</f>
        <v>2020379539</v>
      </c>
      <c r="C29" s="696"/>
      <c r="D29" s="262" t="str">
        <f>IF(辅助!N9=0,0,"签发日期")</f>
        <v>签发日期</v>
      </c>
      <c r="E29" s="51">
        <f>IF(辅助!N9&gt;0,VLOOKUP(辅助!P9,数据库!C:K,9,0),"")</f>
        <v>43823</v>
      </c>
    </row>
    <row r="30" spans="1:5" s="52" customFormat="1" ht="40.5" customHeight="1">
      <c r="A30" s="70" t="s">
        <v>91</v>
      </c>
      <c r="B30" s="678" t="s">
        <v>81</v>
      </c>
      <c r="C30" s="679"/>
      <c r="D30" s="679"/>
      <c r="E30" s="680"/>
    </row>
    <row r="31" spans="1:5" s="52" customFormat="1" ht="25.5" customHeight="1">
      <c r="A31" s="50" t="s">
        <v>87</v>
      </c>
      <c r="B31" s="681" t="s">
        <v>82</v>
      </c>
      <c r="C31" s="682"/>
      <c r="D31" s="682"/>
      <c r="E31" s="683"/>
    </row>
    <row r="32" spans="1:5" s="52" customFormat="1" ht="27" customHeight="1">
      <c r="A32" s="69" t="s">
        <v>88</v>
      </c>
      <c r="B32" s="684" t="s">
        <v>528</v>
      </c>
      <c r="C32" s="685"/>
      <c r="D32" s="685"/>
      <c r="E32" s="686"/>
    </row>
    <row r="33" spans="1:5" s="52" customFormat="1" ht="18.75" customHeight="1">
      <c r="A33" s="50" t="s">
        <v>89</v>
      </c>
      <c r="B33" s="687" t="str">
        <f>'Commercial Invoice3'!E15</f>
        <v>UK</v>
      </c>
      <c r="C33" s="688"/>
      <c r="D33" s="688"/>
      <c r="E33" s="689"/>
    </row>
    <row r="34" spans="1:5" ht="73.5" customHeight="1">
      <c r="A34" s="690" t="str">
        <f>"我公司委托"&amp;发货清单!E2&amp;"承运的该类货物，无爆炸、无氧化、无腐蚀、无放射性、非易燃、非有毒有害、非用于制造化学武器的原料，经上海市计量测试技术研究院鉴定，无危险性，可按普通货物条件运输，包装符合要求"&amp;"。The shipment that I consign by "&amp;发货清单!E2&amp;" does not contain the explosive, oxidation, corrosives, radioactive, flammable, toxic and infectious substance and the material for the chemical weapon. After Shanghai Institute of measurement "&amp;"and testing technology_testing, the shipment without fatalness can be transported as the general cargo and the packaging meets the transportation requirement"</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34" s="691"/>
      <c r="C34" s="691"/>
      <c r="D34" s="691"/>
      <c r="E34" s="692"/>
    </row>
    <row r="35" spans="1:5" ht="36" customHeight="1">
      <c r="A35" s="690" t="s">
        <v>83</v>
      </c>
      <c r="B35" s="691"/>
      <c r="C35" s="691"/>
      <c r="D35" s="691"/>
      <c r="E35" s="692"/>
    </row>
    <row r="36" spans="1:5">
      <c r="A36" s="669" t="s">
        <v>84</v>
      </c>
      <c r="B36" s="670"/>
      <c r="C36" s="669" t="s">
        <v>85</v>
      </c>
      <c r="D36" s="675"/>
      <c r="E36" s="670"/>
    </row>
    <row r="37" spans="1:5">
      <c r="A37" s="671"/>
      <c r="B37" s="672"/>
      <c r="C37" s="671"/>
      <c r="D37" s="676"/>
      <c r="E37" s="672"/>
    </row>
    <row r="38" spans="1:5">
      <c r="A38" s="671"/>
      <c r="B38" s="672"/>
      <c r="C38" s="671"/>
      <c r="D38" s="676"/>
      <c r="E38" s="672"/>
    </row>
    <row r="39" spans="1:5">
      <c r="A39" s="671"/>
      <c r="B39" s="672"/>
      <c r="C39" s="671"/>
      <c r="D39" s="676"/>
      <c r="E39" s="672"/>
    </row>
    <row r="40" spans="1:5">
      <c r="A40" s="671"/>
      <c r="B40" s="672"/>
      <c r="C40" s="671"/>
      <c r="D40" s="676"/>
      <c r="E40" s="672"/>
    </row>
    <row r="41" spans="1:5">
      <c r="A41" s="671"/>
      <c r="B41" s="672"/>
      <c r="C41" s="671"/>
      <c r="D41" s="676"/>
      <c r="E41" s="672"/>
    </row>
    <row r="42" spans="1:5">
      <c r="A42" s="673"/>
      <c r="B42" s="674"/>
      <c r="C42" s="673"/>
      <c r="D42" s="677"/>
      <c r="E42" s="674"/>
    </row>
    <row r="43" spans="1:5">
      <c r="B43" s="421" t="str">
        <f>"1/"&amp;IF(COUNTIF(辅助!K:K,"&gt;0")&lt;9,1,IF(COUNTIF(辅助!K:K,"&gt;0")&lt;17,2,IF(COUNTIF(辅助!K:K,"&gt;0")&lt;25,3,IF(COUNTIF(辅助!K:K,"&gt;0")&lt;33,4))))</f>
        <v>1/2</v>
      </c>
    </row>
    <row r="44" spans="1:5" ht="39" customHeight="1">
      <c r="A44" s="699" t="s">
        <v>76</v>
      </c>
      <c r="B44" s="700"/>
      <c r="C44" s="700"/>
      <c r="D44" s="700"/>
      <c r="E44" s="700"/>
    </row>
    <row r="45" spans="1:5">
      <c r="A45" s="69" t="s">
        <v>77</v>
      </c>
      <c r="B45" s="687" t="s">
        <v>92</v>
      </c>
      <c r="C45" s="688"/>
      <c r="D45" s="688"/>
      <c r="E45" s="689"/>
    </row>
    <row r="46" spans="1:5">
      <c r="A46" s="69" t="s">
        <v>78</v>
      </c>
      <c r="B46" s="701" t="s">
        <v>110</v>
      </c>
      <c r="C46" s="702"/>
      <c r="D46" s="702"/>
      <c r="E46" s="703"/>
    </row>
    <row r="47" spans="1:5">
      <c r="A47" s="69" t="s">
        <v>79</v>
      </c>
      <c r="B47" s="687" t="s">
        <v>74</v>
      </c>
      <c r="C47" s="688"/>
      <c r="D47" s="688"/>
      <c r="E47" s="689"/>
    </row>
    <row r="48" spans="1:5">
      <c r="A48" s="69" t="s">
        <v>86</v>
      </c>
      <c r="B48" s="704" t="str">
        <f>发货清单!F2</f>
        <v>2786337676</v>
      </c>
      <c r="C48" s="705"/>
      <c r="D48" s="705"/>
      <c r="E48" s="706"/>
    </row>
    <row r="49" spans="1:5" ht="12.75" customHeight="1">
      <c r="A49" s="697" t="s">
        <v>90</v>
      </c>
      <c r="B49" s="89" t="str">
        <f>辅助!P10</f>
        <v>Aromatic ring products without heteroatoms category （AB-16）33</v>
      </c>
      <c r="C49" s="90"/>
      <c r="D49" s="90"/>
      <c r="E49" s="91"/>
    </row>
    <row r="50" spans="1:5" ht="12.75" customHeight="1">
      <c r="A50" s="698"/>
      <c r="B50" s="89" t="str">
        <f>辅助!P11</f>
        <v>Aromatic ring products without heteroatoms category （AB-16）36</v>
      </c>
      <c r="C50" s="90"/>
      <c r="D50" s="90"/>
      <c r="E50" s="91"/>
    </row>
    <row r="51" spans="1:5" ht="12.75" customHeight="1">
      <c r="A51" s="698"/>
      <c r="B51" s="89" t="str">
        <f>辅助!P12</f>
        <v/>
      </c>
      <c r="C51" s="90"/>
      <c r="D51" s="90"/>
      <c r="E51" s="91"/>
    </row>
    <row r="52" spans="1:5" ht="12.75" customHeight="1">
      <c r="A52" s="698"/>
      <c r="B52" s="89" t="str">
        <f>辅助!P13</f>
        <v/>
      </c>
      <c r="C52" s="90"/>
      <c r="D52" s="90"/>
      <c r="E52" s="91"/>
    </row>
    <row r="53" spans="1:5" ht="12.75" customHeight="1">
      <c r="A53" s="698"/>
      <c r="B53" s="89" t="str">
        <f>辅助!P14</f>
        <v/>
      </c>
      <c r="C53" s="90"/>
      <c r="D53" s="90"/>
      <c r="E53" s="91"/>
    </row>
    <row r="54" spans="1:5" ht="12.75" customHeight="1">
      <c r="A54" s="698"/>
      <c r="B54" s="89" t="str">
        <f>辅助!P15</f>
        <v/>
      </c>
      <c r="C54" s="90"/>
      <c r="D54" s="90"/>
      <c r="E54" s="91"/>
    </row>
    <row r="55" spans="1:5" ht="12.75" customHeight="1">
      <c r="A55" s="698"/>
      <c r="B55" s="89" t="str">
        <f>辅助!P16</f>
        <v/>
      </c>
      <c r="C55" s="90"/>
      <c r="D55" s="90"/>
      <c r="E55" s="91"/>
    </row>
    <row r="56" spans="1:5" ht="12.75" customHeight="1">
      <c r="A56" s="698"/>
      <c r="B56" s="89" t="str">
        <f>辅助!P17</f>
        <v/>
      </c>
      <c r="C56" s="90"/>
      <c r="D56" s="90"/>
      <c r="E56" s="91"/>
    </row>
    <row r="57" spans="1:5">
      <c r="A57" s="693" t="s">
        <v>93</v>
      </c>
      <c r="B57" s="173" t="str">
        <f>辅助!L10</f>
        <v>2-氟-5-碘硝基苯</v>
      </c>
      <c r="C57" s="174"/>
      <c r="D57" s="174"/>
      <c r="E57" s="175"/>
    </row>
    <row r="58" spans="1:5">
      <c r="A58" s="694"/>
      <c r="B58" s="173" t="str">
        <f>辅助!L11</f>
        <v>2,4-双(三氟甲基)苯乙酸</v>
      </c>
      <c r="C58" s="174"/>
      <c r="D58" s="174"/>
      <c r="E58" s="175"/>
    </row>
    <row r="59" spans="1:5">
      <c r="A59" s="694"/>
      <c r="B59" s="173" t="str">
        <f>辅助!L12</f>
        <v/>
      </c>
      <c r="C59" s="174"/>
      <c r="D59" s="174"/>
      <c r="E59" s="175"/>
    </row>
    <row r="60" spans="1:5">
      <c r="A60" s="694"/>
      <c r="B60" s="173" t="str">
        <f>辅助!L13</f>
        <v/>
      </c>
      <c r="C60" s="166"/>
      <c r="D60" s="166"/>
      <c r="E60" s="167"/>
    </row>
    <row r="61" spans="1:5">
      <c r="A61" s="694"/>
      <c r="B61" s="173" t="str">
        <f>辅助!L14</f>
        <v/>
      </c>
      <c r="C61" s="166"/>
      <c r="D61" s="166"/>
      <c r="E61" s="167"/>
    </row>
    <row r="62" spans="1:5">
      <c r="A62" s="694"/>
      <c r="B62" s="173" t="str">
        <f>辅助!L15</f>
        <v/>
      </c>
      <c r="C62" s="166"/>
      <c r="D62" s="166"/>
      <c r="E62" s="167"/>
    </row>
    <row r="63" spans="1:5">
      <c r="A63" s="694"/>
      <c r="B63" s="173" t="str">
        <f>辅助!L16</f>
        <v/>
      </c>
      <c r="C63" s="181"/>
      <c r="D63" s="181"/>
      <c r="E63" s="167"/>
    </row>
    <row r="64" spans="1:5">
      <c r="A64" s="694"/>
      <c r="B64" s="173" t="str">
        <f>辅助!L17</f>
        <v/>
      </c>
      <c r="C64" s="181"/>
      <c r="D64" s="181"/>
      <c r="E64" s="167"/>
    </row>
    <row r="65" spans="1:5">
      <c r="A65" s="693" t="s">
        <v>94</v>
      </c>
      <c r="B65" s="695">
        <f>IF(辅助!N10&gt;0,VLOOKUP(辅助!P10,数据库!C:J,8,0),"")</f>
        <v>2020016030</v>
      </c>
      <c r="C65" s="696"/>
      <c r="D65" s="273" t="str">
        <f>IF(辅助!N10=0,0,"签发日期")</f>
        <v>签发日期</v>
      </c>
      <c r="E65" s="51">
        <f>IF(辅助!N10&gt;0,VLOOKUP(辅助!P10,数据库!C:K,9,0),"")</f>
        <v>43801</v>
      </c>
    </row>
    <row r="66" spans="1:5">
      <c r="A66" s="694"/>
      <c r="B66" s="695">
        <f>IF(辅助!N11&gt;0,VLOOKUP(辅助!P11,数据库!C:J,8,0),"")</f>
        <v>2020016083</v>
      </c>
      <c r="C66" s="696"/>
      <c r="D66" s="273" t="str">
        <f>IF(辅助!N11=0,0,"签发日期")</f>
        <v>签发日期</v>
      </c>
      <c r="E66" s="51">
        <f>IF(辅助!N11&gt;0,VLOOKUP(辅助!P11,数据库!C:K,9,0),"")</f>
        <v>43801</v>
      </c>
    </row>
    <row r="67" spans="1:5">
      <c r="A67" s="694"/>
      <c r="B67" s="695" t="str">
        <f>IF(辅助!N12&gt;0,VLOOKUP(辅助!P12,数据库!C:J,8,0),"")</f>
        <v/>
      </c>
      <c r="C67" s="696"/>
      <c r="D67" s="273">
        <f>IF(辅助!N12=0,0,"签发日期")</f>
        <v>0</v>
      </c>
      <c r="E67" s="51" t="str">
        <f>IF(辅助!N12&gt;0,VLOOKUP(辅助!P12,数据库!C:K,9,0),"")</f>
        <v/>
      </c>
    </row>
    <row r="68" spans="1:5">
      <c r="A68" s="694"/>
      <c r="B68" s="695" t="str">
        <f>IF(辅助!N13&gt;0,VLOOKUP(辅助!P13,数据库!C:J,8,0),"")</f>
        <v/>
      </c>
      <c r="C68" s="696"/>
      <c r="D68" s="273">
        <f>IF(辅助!N13=0,0,"签发日期")</f>
        <v>0</v>
      </c>
      <c r="E68" s="51" t="str">
        <f>IF(辅助!N13&gt;0,VLOOKUP(辅助!P13,数据库!C:K,9,0),"")</f>
        <v/>
      </c>
    </row>
    <row r="69" spans="1:5">
      <c r="A69" s="694"/>
      <c r="B69" s="695" t="str">
        <f>IF(辅助!N14&gt;0,VLOOKUP(辅助!P14,数据库!C:J,8,0),"")</f>
        <v/>
      </c>
      <c r="C69" s="696"/>
      <c r="D69" s="273">
        <f>IF(辅助!N14=0,0,"签发日期")</f>
        <v>0</v>
      </c>
      <c r="E69" s="51" t="str">
        <f>IF(辅助!N14&gt;0,VLOOKUP(辅助!P14,数据库!C:K,9,0),"")</f>
        <v/>
      </c>
    </row>
    <row r="70" spans="1:5" ht="12" customHeight="1">
      <c r="A70" s="694"/>
      <c r="B70" s="695" t="str">
        <f>IF(辅助!N15&gt;0,VLOOKUP(辅助!P15,数据库!C:J,8,0),"")</f>
        <v/>
      </c>
      <c r="C70" s="696"/>
      <c r="D70" s="273">
        <f>IF(辅助!N15=0,0,"签发日期")</f>
        <v>0</v>
      </c>
      <c r="E70" s="51" t="str">
        <f>IF(辅助!N15&gt;0,VLOOKUP(辅助!P15,数据库!C:K,9,0),"")</f>
        <v/>
      </c>
    </row>
    <row r="71" spans="1:5">
      <c r="A71" s="694"/>
      <c r="B71" s="695" t="str">
        <f>IF(辅助!N16&gt;0,VLOOKUP(辅助!P16,数据库!C:J,8,0),"")</f>
        <v/>
      </c>
      <c r="C71" s="696"/>
      <c r="D71" s="273">
        <f>IF(辅助!N16=0,0,"签发日期")</f>
        <v>0</v>
      </c>
      <c r="E71" s="51" t="str">
        <f>IF(辅助!N16&gt;0,VLOOKUP(辅助!P16,数据库!C:K,9,0),"")</f>
        <v/>
      </c>
    </row>
    <row r="72" spans="1:5">
      <c r="A72" s="694"/>
      <c r="B72" s="695" t="str">
        <f>IF(辅助!N17&gt;0,VLOOKUP(辅助!P17,数据库!C:J,8,0),"")</f>
        <v/>
      </c>
      <c r="C72" s="696"/>
      <c r="D72" s="273">
        <f>IF(辅助!N17=0,0,"签发日期")</f>
        <v>0</v>
      </c>
      <c r="E72" s="51" t="str">
        <f>IF(辅助!N17&gt;0,VLOOKUP(辅助!P17,数据库!C:K,9,0),"")</f>
        <v/>
      </c>
    </row>
    <row r="73" spans="1:5" ht="36">
      <c r="A73" s="70" t="s">
        <v>91</v>
      </c>
      <c r="B73" s="678" t="s">
        <v>81</v>
      </c>
      <c r="C73" s="679"/>
      <c r="D73" s="679"/>
      <c r="E73" s="680"/>
    </row>
    <row r="74" spans="1:5" ht="26.25" customHeight="1">
      <c r="A74" s="50" t="s">
        <v>87</v>
      </c>
      <c r="B74" s="681" t="s">
        <v>82</v>
      </c>
      <c r="C74" s="682"/>
      <c r="D74" s="682"/>
      <c r="E74" s="683"/>
    </row>
    <row r="75" spans="1:5" ht="27.75" customHeight="1">
      <c r="A75" s="69" t="s">
        <v>88</v>
      </c>
      <c r="B75" s="684" t="s">
        <v>528</v>
      </c>
      <c r="C75" s="685"/>
      <c r="D75" s="685"/>
      <c r="E75" s="686"/>
    </row>
    <row r="76" spans="1:5">
      <c r="A76" s="50" t="s">
        <v>89</v>
      </c>
      <c r="B76" s="687" t="str">
        <f>'Commercial Invoice3'!E15</f>
        <v>UK</v>
      </c>
      <c r="C76" s="688"/>
      <c r="D76" s="688"/>
      <c r="E76" s="689"/>
    </row>
    <row r="77" spans="1:5" ht="74.25" customHeight="1">
      <c r="A77" s="690" t="str">
        <f>A34</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77" s="691"/>
      <c r="C77" s="691"/>
      <c r="D77" s="691"/>
      <c r="E77" s="692"/>
    </row>
    <row r="78" spans="1:5" ht="41.25" customHeight="1">
      <c r="A78" s="690" t="s">
        <v>83</v>
      </c>
      <c r="B78" s="691"/>
      <c r="C78" s="691"/>
      <c r="D78" s="691"/>
      <c r="E78" s="692"/>
    </row>
    <row r="79" spans="1:5">
      <c r="A79" s="669" t="s">
        <v>84</v>
      </c>
      <c r="B79" s="670"/>
      <c r="C79" s="669" t="s">
        <v>85</v>
      </c>
      <c r="D79" s="675"/>
      <c r="E79" s="670"/>
    </row>
    <row r="80" spans="1:5">
      <c r="A80" s="671"/>
      <c r="B80" s="672"/>
      <c r="C80" s="671"/>
      <c r="D80" s="676"/>
      <c r="E80" s="672"/>
    </row>
    <row r="81" spans="1:5">
      <c r="A81" s="671"/>
      <c r="B81" s="672"/>
      <c r="C81" s="671"/>
      <c r="D81" s="676"/>
      <c r="E81" s="672"/>
    </row>
    <row r="82" spans="1:5">
      <c r="A82" s="671"/>
      <c r="B82" s="672"/>
      <c r="C82" s="671"/>
      <c r="D82" s="676"/>
      <c r="E82" s="672"/>
    </row>
    <row r="83" spans="1:5">
      <c r="A83" s="671"/>
      <c r="B83" s="672"/>
      <c r="C83" s="671"/>
      <c r="D83" s="676"/>
      <c r="E83" s="672"/>
    </row>
    <row r="84" spans="1:5">
      <c r="A84" s="671"/>
      <c r="B84" s="672"/>
      <c r="C84" s="671"/>
      <c r="D84" s="676"/>
      <c r="E84" s="672"/>
    </row>
    <row r="85" spans="1:5" ht="30.75" customHeight="1">
      <c r="A85" s="673"/>
      <c r="B85" s="674"/>
      <c r="C85" s="673"/>
      <c r="D85" s="677"/>
      <c r="E85" s="674"/>
    </row>
    <row r="86" spans="1:5" ht="13.5" customHeight="1">
      <c r="B86" s="421" t="str">
        <f>"2/"&amp;IF(COUNTIF(辅助!K:K,"&gt;0")&lt;9,1,IF(COUNTIF(辅助!K:K,"&gt;0")&lt;17,2,IF(COUNTIF(辅助!K:K,"&gt;0")&lt;25,3,IF(COUNTIF(辅助!K:K,"&gt;0")&lt;33,4))))</f>
        <v>2/2</v>
      </c>
    </row>
    <row r="87" spans="1:5" ht="39" customHeight="1">
      <c r="A87" s="699" t="s">
        <v>76</v>
      </c>
      <c r="B87" s="700"/>
      <c r="C87" s="700"/>
      <c r="D87" s="700"/>
      <c r="E87" s="700"/>
    </row>
    <row r="88" spans="1:5">
      <c r="A88" s="69" t="s">
        <v>77</v>
      </c>
      <c r="B88" s="687" t="s">
        <v>92</v>
      </c>
      <c r="C88" s="688"/>
      <c r="D88" s="688"/>
      <c r="E88" s="689"/>
    </row>
    <row r="89" spans="1:5">
      <c r="A89" s="69" t="s">
        <v>78</v>
      </c>
      <c r="B89" s="701" t="s">
        <v>110</v>
      </c>
      <c r="C89" s="702"/>
      <c r="D89" s="702"/>
      <c r="E89" s="703"/>
    </row>
    <row r="90" spans="1:5">
      <c r="A90" s="69" t="s">
        <v>79</v>
      </c>
      <c r="B90" s="687" t="s">
        <v>74</v>
      </c>
      <c r="C90" s="688"/>
      <c r="D90" s="688"/>
      <c r="E90" s="689"/>
    </row>
    <row r="91" spans="1:5">
      <c r="A91" s="69" t="s">
        <v>86</v>
      </c>
      <c r="B91" s="704" t="str">
        <f>B48</f>
        <v>2786337676</v>
      </c>
      <c r="C91" s="705"/>
      <c r="D91" s="705"/>
      <c r="E91" s="706"/>
    </row>
    <row r="92" spans="1:5" ht="12.75" customHeight="1">
      <c r="A92" s="697" t="s">
        <v>90</v>
      </c>
      <c r="B92" s="89" t="str">
        <f>辅助!P18</f>
        <v/>
      </c>
      <c r="C92" s="90"/>
      <c r="D92" s="90"/>
      <c r="E92" s="91"/>
    </row>
    <row r="93" spans="1:5" ht="12.75" customHeight="1">
      <c r="A93" s="698"/>
      <c r="B93" s="89" t="str">
        <f>辅助!P19</f>
        <v/>
      </c>
      <c r="C93" s="90"/>
      <c r="D93" s="90"/>
      <c r="E93" s="91"/>
    </row>
    <row r="94" spans="1:5" ht="12.75" customHeight="1">
      <c r="A94" s="698"/>
      <c r="B94" s="89" t="str">
        <f>辅助!P20</f>
        <v/>
      </c>
      <c r="C94" s="90"/>
      <c r="D94" s="90"/>
      <c r="E94" s="91"/>
    </row>
    <row r="95" spans="1:5" ht="12.75" customHeight="1">
      <c r="A95" s="698"/>
      <c r="B95" s="89" t="str">
        <f>辅助!P21</f>
        <v/>
      </c>
      <c r="C95" s="90"/>
      <c r="D95" s="90"/>
      <c r="E95" s="91"/>
    </row>
    <row r="96" spans="1:5" ht="12.75" customHeight="1">
      <c r="A96" s="698"/>
      <c r="B96" s="89" t="str">
        <f>辅助!P22</f>
        <v/>
      </c>
      <c r="C96" s="90"/>
      <c r="D96" s="90"/>
      <c r="E96" s="91"/>
    </row>
    <row r="97" spans="1:5" ht="12.75" customHeight="1">
      <c r="A97" s="698"/>
      <c r="B97" s="89" t="str">
        <f>辅助!P23</f>
        <v/>
      </c>
      <c r="C97" s="90"/>
      <c r="D97" s="90"/>
      <c r="E97" s="91"/>
    </row>
    <row r="98" spans="1:5" ht="12.75" customHeight="1">
      <c r="A98" s="698"/>
      <c r="B98" s="89" t="str">
        <f>辅助!P24</f>
        <v/>
      </c>
      <c r="C98" s="90"/>
      <c r="D98" s="90"/>
      <c r="E98" s="91"/>
    </row>
    <row r="99" spans="1:5" ht="12.75" customHeight="1">
      <c r="A99" s="698"/>
      <c r="B99" s="89" t="str">
        <f>辅助!P25</f>
        <v/>
      </c>
      <c r="C99" s="90"/>
      <c r="D99" s="90"/>
      <c r="E99" s="91"/>
    </row>
    <row r="100" spans="1:5">
      <c r="A100" s="693" t="s">
        <v>93</v>
      </c>
      <c r="B100" s="173" t="str">
        <f>辅助!L18</f>
        <v/>
      </c>
      <c r="C100" s="174"/>
      <c r="D100" s="174"/>
      <c r="E100" s="175"/>
    </row>
    <row r="101" spans="1:5">
      <c r="A101" s="694"/>
      <c r="B101" s="173" t="str">
        <f>辅助!L19</f>
        <v/>
      </c>
      <c r="C101" s="174"/>
      <c r="D101" s="174"/>
      <c r="E101" s="175"/>
    </row>
    <row r="102" spans="1:5">
      <c r="A102" s="694"/>
      <c r="B102" s="173" t="str">
        <f>辅助!L20</f>
        <v/>
      </c>
      <c r="C102" s="174"/>
      <c r="D102" s="174"/>
      <c r="E102" s="175"/>
    </row>
    <row r="103" spans="1:5">
      <c r="A103" s="694"/>
      <c r="B103" s="173" t="str">
        <f>辅助!L21</f>
        <v/>
      </c>
      <c r="C103" s="187"/>
      <c r="D103" s="187"/>
      <c r="E103" s="167"/>
    </row>
    <row r="104" spans="1:5">
      <c r="A104" s="694"/>
      <c r="B104" s="173" t="str">
        <f>辅助!L22</f>
        <v/>
      </c>
      <c r="C104" s="187"/>
      <c r="D104" s="187"/>
      <c r="E104" s="167"/>
    </row>
    <row r="105" spans="1:5">
      <c r="A105" s="694"/>
      <c r="B105" s="173" t="str">
        <f>辅助!L23</f>
        <v/>
      </c>
      <c r="C105" s="187"/>
      <c r="D105" s="187"/>
      <c r="E105" s="167"/>
    </row>
    <row r="106" spans="1:5">
      <c r="A106" s="694"/>
      <c r="B106" s="173" t="str">
        <f>辅助!L24</f>
        <v/>
      </c>
      <c r="C106" s="187"/>
      <c r="D106" s="187"/>
      <c r="E106" s="167"/>
    </row>
    <row r="107" spans="1:5">
      <c r="A107" s="694"/>
      <c r="B107" s="173" t="str">
        <f>辅助!L25</f>
        <v/>
      </c>
      <c r="C107" s="187"/>
      <c r="D107" s="187"/>
      <c r="E107" s="167"/>
    </row>
    <row r="108" spans="1:5">
      <c r="A108" s="693" t="s">
        <v>94</v>
      </c>
      <c r="B108" s="695" t="str">
        <f>IF(辅助!N18&gt;0,VLOOKUP(辅助!P18,数据库!C:J,8,0),"")</f>
        <v/>
      </c>
      <c r="C108" s="696"/>
      <c r="D108" s="273">
        <f>IF(辅助!N18=0,0,"签发日期")</f>
        <v>0</v>
      </c>
      <c r="E108" s="51" t="str">
        <f>IF(辅助!N18&gt;0,VLOOKUP(辅助!P18,数据库!C:K,9,0),"")</f>
        <v/>
      </c>
    </row>
    <row r="109" spans="1:5">
      <c r="A109" s="694"/>
      <c r="B109" s="695" t="str">
        <f>IF(辅助!N19&gt;0,VLOOKUP(辅助!P19,数据库!C:J,8,0),"")</f>
        <v/>
      </c>
      <c r="C109" s="696"/>
      <c r="D109" s="273">
        <f>IF(辅助!N19=0,0,"签发日期")</f>
        <v>0</v>
      </c>
      <c r="E109" s="51" t="str">
        <f>IF(辅助!N19&gt;0,VLOOKUP(辅助!P19,数据库!C:K,9,0),"")</f>
        <v/>
      </c>
    </row>
    <row r="110" spans="1:5">
      <c r="A110" s="694"/>
      <c r="B110" s="695" t="str">
        <f>IF(辅助!N20&gt;0,VLOOKUP(辅助!P20,数据库!C:J,8,0),"")</f>
        <v/>
      </c>
      <c r="C110" s="696"/>
      <c r="D110" s="273">
        <f>IF(辅助!N20=0,0,"签发日期")</f>
        <v>0</v>
      </c>
      <c r="E110" s="51" t="str">
        <f>IF(辅助!N20&gt;0,VLOOKUP(辅助!P20,数据库!C:K,9,0),"")</f>
        <v/>
      </c>
    </row>
    <row r="111" spans="1:5">
      <c r="A111" s="694"/>
      <c r="B111" s="695" t="str">
        <f>IF(辅助!N21&gt;0,VLOOKUP(辅助!P21,数据库!C:J,8,0),"")</f>
        <v/>
      </c>
      <c r="C111" s="696"/>
      <c r="D111" s="273">
        <f>IF(辅助!N21=0,0,"签发日期")</f>
        <v>0</v>
      </c>
      <c r="E111" s="51" t="str">
        <f>IF(辅助!N21&gt;0,VLOOKUP(辅助!P21,数据库!C:K,9,0),"")</f>
        <v/>
      </c>
    </row>
    <row r="112" spans="1:5">
      <c r="A112" s="694"/>
      <c r="B112" s="695" t="str">
        <f>IF(辅助!N22&gt;0,VLOOKUP(辅助!P22,数据库!C:J,8,0),"")</f>
        <v/>
      </c>
      <c r="C112" s="696"/>
      <c r="D112" s="273">
        <f>IF(辅助!N22=0,0,"签发日期")</f>
        <v>0</v>
      </c>
      <c r="E112" s="51" t="str">
        <f>IF(辅助!N22&gt;0,VLOOKUP(辅助!P22,数据库!C:K,9,0),"")</f>
        <v/>
      </c>
    </row>
    <row r="113" spans="1:5" ht="12" customHeight="1">
      <c r="A113" s="694"/>
      <c r="B113" s="695" t="str">
        <f>IF(辅助!N23&gt;0,VLOOKUP(辅助!P23,数据库!C:J,8,0),"")</f>
        <v/>
      </c>
      <c r="C113" s="696"/>
      <c r="D113" s="273">
        <f>IF(辅助!N23=0,0,"签发日期")</f>
        <v>0</v>
      </c>
      <c r="E113" s="51" t="str">
        <f>IF(辅助!N23&gt;0,VLOOKUP(辅助!P23,数据库!C:K,9,0),"")</f>
        <v/>
      </c>
    </row>
    <row r="114" spans="1:5">
      <c r="A114" s="694"/>
      <c r="B114" s="695" t="str">
        <f>IF(辅助!N24&gt;0,VLOOKUP(辅助!P24,数据库!C:J,8,0),"")</f>
        <v/>
      </c>
      <c r="C114" s="696"/>
      <c r="D114" s="273">
        <f>IF(辅助!N24=0,0,"签发日期")</f>
        <v>0</v>
      </c>
      <c r="E114" s="51" t="str">
        <f>IF(辅助!N24&gt;0,VLOOKUP(辅助!P24,数据库!C:K,9,0),"")</f>
        <v/>
      </c>
    </row>
    <row r="115" spans="1:5">
      <c r="A115" s="694"/>
      <c r="B115" s="695" t="str">
        <f>IF(辅助!N25&gt;0,VLOOKUP(辅助!P25,数据库!C:J,8,0),"")</f>
        <v/>
      </c>
      <c r="C115" s="696"/>
      <c r="D115" s="273">
        <f>IF(辅助!N25=0,0,"签发日期")</f>
        <v>0</v>
      </c>
      <c r="E115" s="51" t="str">
        <f>IF(辅助!N25&gt;0,VLOOKUP(辅助!P25,数据库!C:K,9,0),"")</f>
        <v/>
      </c>
    </row>
    <row r="116" spans="1:5" ht="36">
      <c r="A116" s="70" t="s">
        <v>91</v>
      </c>
      <c r="B116" s="678" t="s">
        <v>81</v>
      </c>
      <c r="C116" s="679"/>
      <c r="D116" s="679"/>
      <c r="E116" s="680"/>
    </row>
    <row r="117" spans="1:5" ht="26.25" customHeight="1">
      <c r="A117" s="50" t="s">
        <v>87</v>
      </c>
      <c r="B117" s="681" t="s">
        <v>82</v>
      </c>
      <c r="C117" s="682"/>
      <c r="D117" s="682"/>
      <c r="E117" s="683"/>
    </row>
    <row r="118" spans="1:5" ht="27.75" customHeight="1">
      <c r="A118" s="69" t="s">
        <v>88</v>
      </c>
      <c r="B118" s="684" t="s">
        <v>528</v>
      </c>
      <c r="C118" s="685"/>
      <c r="D118" s="685"/>
      <c r="E118" s="686"/>
    </row>
    <row r="119" spans="1:5">
      <c r="A119" s="50" t="s">
        <v>89</v>
      </c>
      <c r="B119" s="687" t="str">
        <f>'Commercial Invoice3'!E15</f>
        <v>UK</v>
      </c>
      <c r="C119" s="688"/>
      <c r="D119" s="688"/>
      <c r="E119" s="689"/>
    </row>
    <row r="120" spans="1:5" ht="74.25" customHeight="1">
      <c r="A120" s="690" t="str">
        <f>A77</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120" s="691"/>
      <c r="C120" s="691"/>
      <c r="D120" s="691"/>
      <c r="E120" s="692"/>
    </row>
    <row r="121" spans="1:5" ht="41.25" customHeight="1">
      <c r="A121" s="690" t="s">
        <v>83</v>
      </c>
      <c r="B121" s="691"/>
      <c r="C121" s="691"/>
      <c r="D121" s="691"/>
      <c r="E121" s="692"/>
    </row>
    <row r="122" spans="1:5">
      <c r="A122" s="669" t="s">
        <v>84</v>
      </c>
      <c r="B122" s="670"/>
      <c r="C122" s="669" t="s">
        <v>85</v>
      </c>
      <c r="D122" s="675"/>
      <c r="E122" s="670"/>
    </row>
    <row r="123" spans="1:5">
      <c r="A123" s="671"/>
      <c r="B123" s="672"/>
      <c r="C123" s="671"/>
      <c r="D123" s="676"/>
      <c r="E123" s="672"/>
    </row>
    <row r="124" spans="1:5">
      <c r="A124" s="671"/>
      <c r="B124" s="672"/>
      <c r="C124" s="671"/>
      <c r="D124" s="676"/>
      <c r="E124" s="672"/>
    </row>
    <row r="125" spans="1:5">
      <c r="A125" s="671"/>
      <c r="B125" s="672"/>
      <c r="C125" s="671"/>
      <c r="D125" s="676"/>
      <c r="E125" s="672"/>
    </row>
    <row r="126" spans="1:5">
      <c r="A126" s="671"/>
      <c r="B126" s="672"/>
      <c r="C126" s="671"/>
      <c r="D126" s="676"/>
      <c r="E126" s="672"/>
    </row>
    <row r="127" spans="1:5">
      <c r="A127" s="671"/>
      <c r="B127" s="672"/>
      <c r="C127" s="671"/>
      <c r="D127" s="676"/>
      <c r="E127" s="672"/>
    </row>
    <row r="128" spans="1:5" ht="27" customHeight="1">
      <c r="A128" s="673"/>
      <c r="B128" s="674"/>
      <c r="C128" s="673"/>
      <c r="D128" s="677"/>
      <c r="E128" s="674"/>
    </row>
    <row r="129" spans="1:5" ht="14.25" customHeight="1">
      <c r="B129" s="421" t="str">
        <f>"3/"&amp;IF(COUNTIF(辅助!K:K,"&gt;0")&lt;9,1,IF(COUNTIF(辅助!K:K,"&gt;0")&lt;17,2,IF(COUNTIF(辅助!K:K,"&gt;0")&lt;25,3,IF(COUNTIF(辅助!K:K,"&gt;0")&lt;33,4))))</f>
        <v>3/2</v>
      </c>
    </row>
    <row r="130" spans="1:5" ht="39" customHeight="1">
      <c r="A130" s="699" t="s">
        <v>76</v>
      </c>
      <c r="B130" s="700"/>
      <c r="C130" s="700"/>
      <c r="D130" s="700"/>
      <c r="E130" s="700"/>
    </row>
    <row r="131" spans="1:5">
      <c r="A131" s="69" t="s">
        <v>77</v>
      </c>
      <c r="B131" s="687" t="s">
        <v>92</v>
      </c>
      <c r="C131" s="688"/>
      <c r="D131" s="688"/>
      <c r="E131" s="689"/>
    </row>
    <row r="132" spans="1:5">
      <c r="A132" s="69" t="s">
        <v>78</v>
      </c>
      <c r="B132" s="701" t="s">
        <v>110</v>
      </c>
      <c r="C132" s="702"/>
      <c r="D132" s="702"/>
      <c r="E132" s="703"/>
    </row>
    <row r="133" spans="1:5">
      <c r="A133" s="69" t="s">
        <v>79</v>
      </c>
      <c r="B133" s="687" t="s">
        <v>74</v>
      </c>
      <c r="C133" s="688"/>
      <c r="D133" s="688"/>
      <c r="E133" s="689"/>
    </row>
    <row r="134" spans="1:5">
      <c r="A134" s="69" t="s">
        <v>86</v>
      </c>
      <c r="B134" s="704" t="str">
        <f>B91</f>
        <v>2786337676</v>
      </c>
      <c r="C134" s="705"/>
      <c r="D134" s="705"/>
      <c r="E134" s="706"/>
    </row>
    <row r="135" spans="1:5" ht="12.75" customHeight="1">
      <c r="A135" s="697" t="s">
        <v>90</v>
      </c>
      <c r="B135" s="89" t="str">
        <f>辅助!P26</f>
        <v/>
      </c>
      <c r="C135" s="90"/>
      <c r="D135" s="90"/>
      <c r="E135" s="91"/>
    </row>
    <row r="136" spans="1:5" ht="12.75" customHeight="1">
      <c r="A136" s="698"/>
      <c r="B136" s="89" t="str">
        <f>辅助!P27</f>
        <v/>
      </c>
      <c r="C136" s="90"/>
      <c r="D136" s="90"/>
      <c r="E136" s="91"/>
    </row>
    <row r="137" spans="1:5" ht="12.75" customHeight="1">
      <c r="A137" s="698"/>
      <c r="B137" s="89" t="str">
        <f>辅助!P28</f>
        <v/>
      </c>
      <c r="C137" s="90"/>
      <c r="D137" s="90"/>
      <c r="E137" s="91"/>
    </row>
    <row r="138" spans="1:5" ht="12.75" customHeight="1">
      <c r="A138" s="698"/>
      <c r="B138" s="89" t="str">
        <f>辅助!P29</f>
        <v/>
      </c>
      <c r="C138" s="90"/>
      <c r="D138" s="90"/>
      <c r="E138" s="91"/>
    </row>
    <row r="139" spans="1:5" ht="12.75" customHeight="1">
      <c r="A139" s="698"/>
      <c r="B139" s="89" t="str">
        <f>辅助!P30</f>
        <v/>
      </c>
      <c r="C139" s="90"/>
      <c r="D139" s="90"/>
      <c r="E139" s="91"/>
    </row>
    <row r="140" spans="1:5" ht="12.75" customHeight="1">
      <c r="A140" s="698"/>
      <c r="B140" s="89" t="str">
        <f>辅助!P31</f>
        <v/>
      </c>
      <c r="C140" s="90"/>
      <c r="D140" s="90"/>
      <c r="E140" s="91"/>
    </row>
    <row r="141" spans="1:5" ht="12.75" customHeight="1">
      <c r="A141" s="698"/>
      <c r="B141" s="89" t="str">
        <f>辅助!P32</f>
        <v/>
      </c>
      <c r="C141" s="90"/>
      <c r="D141" s="90"/>
      <c r="E141" s="91"/>
    </row>
    <row r="142" spans="1:5" ht="12.75" customHeight="1">
      <c r="A142" s="698"/>
      <c r="B142" s="89" t="str">
        <f>辅助!P33</f>
        <v/>
      </c>
      <c r="C142" s="90"/>
      <c r="D142" s="90"/>
      <c r="E142" s="91"/>
    </row>
    <row r="143" spans="1:5">
      <c r="A143" s="693" t="s">
        <v>93</v>
      </c>
      <c r="B143" s="173" t="str">
        <f>辅助!L26</f>
        <v/>
      </c>
      <c r="C143" s="174"/>
      <c r="D143" s="174"/>
      <c r="E143" s="175"/>
    </row>
    <row r="144" spans="1:5">
      <c r="A144" s="694"/>
      <c r="B144" s="173" t="str">
        <f>辅助!L27</f>
        <v/>
      </c>
      <c r="C144" s="174"/>
      <c r="D144" s="174"/>
      <c r="E144" s="175"/>
    </row>
    <row r="145" spans="1:5">
      <c r="A145" s="694"/>
      <c r="B145" s="173" t="str">
        <f>辅助!L28</f>
        <v/>
      </c>
      <c r="C145" s="174"/>
      <c r="D145" s="174"/>
      <c r="E145" s="175"/>
    </row>
    <row r="146" spans="1:5">
      <c r="A146" s="694"/>
      <c r="B146" s="173" t="str">
        <f>辅助!L29</f>
        <v/>
      </c>
      <c r="C146" s="305"/>
      <c r="D146" s="305"/>
      <c r="E146" s="167"/>
    </row>
    <row r="147" spans="1:5">
      <c r="A147" s="694"/>
      <c r="B147" s="173" t="str">
        <f>辅助!L30</f>
        <v/>
      </c>
      <c r="C147" s="305"/>
      <c r="D147" s="305"/>
      <c r="E147" s="167"/>
    </row>
    <row r="148" spans="1:5">
      <c r="A148" s="694"/>
      <c r="B148" s="173" t="str">
        <f>辅助!L31</f>
        <v/>
      </c>
      <c r="C148" s="305"/>
      <c r="D148" s="305"/>
      <c r="E148" s="167"/>
    </row>
    <row r="149" spans="1:5">
      <c r="A149" s="694"/>
      <c r="B149" s="173" t="str">
        <f>辅助!L32</f>
        <v/>
      </c>
      <c r="C149" s="305"/>
      <c r="D149" s="305"/>
      <c r="E149" s="167"/>
    </row>
    <row r="150" spans="1:5">
      <c r="A150" s="694"/>
      <c r="B150" s="173" t="str">
        <f>辅助!L33</f>
        <v/>
      </c>
      <c r="C150" s="305"/>
      <c r="D150" s="305"/>
      <c r="E150" s="167"/>
    </row>
    <row r="151" spans="1:5">
      <c r="A151" s="693" t="s">
        <v>94</v>
      </c>
      <c r="B151" s="695" t="str">
        <f>IF(辅助!N26&gt;0,VLOOKUP(辅助!P26,数据库!C:J,8,0),"")</f>
        <v/>
      </c>
      <c r="C151" s="696"/>
      <c r="D151" s="304">
        <f>IF(辅助!N26=0,0,"签发日期")</f>
        <v>0</v>
      </c>
      <c r="E151" s="51" t="str">
        <f>IF(辅助!N26&gt;0,VLOOKUP(辅助!P26,数据库!C:K,9,0),"")</f>
        <v/>
      </c>
    </row>
    <row r="152" spans="1:5">
      <c r="A152" s="694"/>
      <c r="B152" s="695" t="str">
        <f>IF(辅助!N27&gt;0,VLOOKUP(辅助!P27,数据库!C:J,8,0),"")</f>
        <v/>
      </c>
      <c r="C152" s="696"/>
      <c r="D152" s="304">
        <f>IF(辅助!N27=0,0,"签发日期")</f>
        <v>0</v>
      </c>
      <c r="E152" s="51" t="str">
        <f>IF(辅助!N27&gt;0,VLOOKUP(辅助!P27,数据库!C:K,9,0),"")</f>
        <v/>
      </c>
    </row>
    <row r="153" spans="1:5">
      <c r="A153" s="694"/>
      <c r="B153" s="695" t="str">
        <f>IF(辅助!N28&gt;0,VLOOKUP(辅助!P28,数据库!C:J,8,0),"")</f>
        <v/>
      </c>
      <c r="C153" s="696"/>
      <c r="D153" s="304">
        <f>IF(辅助!N28=0,0,"签发日期")</f>
        <v>0</v>
      </c>
      <c r="E153" s="51" t="str">
        <f>IF(辅助!N28&gt;0,VLOOKUP(辅助!P28,数据库!C:K,9,0),"")</f>
        <v/>
      </c>
    </row>
    <row r="154" spans="1:5">
      <c r="A154" s="694"/>
      <c r="B154" s="695" t="str">
        <f>IF(辅助!N29&gt;0,VLOOKUP(辅助!P29,数据库!C:J,8,0),"")</f>
        <v/>
      </c>
      <c r="C154" s="696"/>
      <c r="D154" s="304">
        <f>IF(辅助!N29=0,0,"签发日期")</f>
        <v>0</v>
      </c>
      <c r="E154" s="51" t="str">
        <f>IF(辅助!N29&gt;0,VLOOKUP(辅助!P29,数据库!C:K,9,0),"")</f>
        <v/>
      </c>
    </row>
    <row r="155" spans="1:5">
      <c r="A155" s="694"/>
      <c r="B155" s="695" t="str">
        <f>IF(辅助!N30&gt;0,VLOOKUP(辅助!P30,数据库!C:J,8,0),"")</f>
        <v/>
      </c>
      <c r="C155" s="696"/>
      <c r="D155" s="304">
        <f>IF(辅助!N30=0,0,"签发日期")</f>
        <v>0</v>
      </c>
      <c r="E155" s="51" t="str">
        <f>IF(辅助!N30&gt;0,VLOOKUP(辅助!P30,数据库!C:K,9,0),"")</f>
        <v/>
      </c>
    </row>
    <row r="156" spans="1:5" ht="12" customHeight="1">
      <c r="A156" s="694"/>
      <c r="B156" s="695" t="str">
        <f>IF(辅助!N31&gt;0,VLOOKUP(辅助!P31,数据库!C:J,8,0),"")</f>
        <v/>
      </c>
      <c r="C156" s="696"/>
      <c r="D156" s="304">
        <f>IF(辅助!N31=0,0,"签发日期")</f>
        <v>0</v>
      </c>
      <c r="E156" s="51" t="str">
        <f>IF(辅助!N31&gt;0,VLOOKUP(辅助!P31,数据库!C:K,9,0),"")</f>
        <v/>
      </c>
    </row>
    <row r="157" spans="1:5">
      <c r="A157" s="694"/>
      <c r="B157" s="695" t="str">
        <f>IF(辅助!N32&gt;0,VLOOKUP(辅助!P32,数据库!C:J,8,0),"")</f>
        <v/>
      </c>
      <c r="C157" s="696"/>
      <c r="D157" s="304">
        <f>IF(辅助!N32=0,0,"签发日期")</f>
        <v>0</v>
      </c>
      <c r="E157" s="51" t="str">
        <f>IF(辅助!N32&gt;0,VLOOKUP(辅助!P32,数据库!C:K,9,0),"")</f>
        <v/>
      </c>
    </row>
    <row r="158" spans="1:5">
      <c r="A158" s="694"/>
      <c r="B158" s="695" t="str">
        <f>IF(辅助!N33&gt;0,VLOOKUP(辅助!P33,数据库!C:J,8,0),"")</f>
        <v/>
      </c>
      <c r="C158" s="696"/>
      <c r="D158" s="304">
        <f>IF(辅助!N33=0,0,"签发日期")</f>
        <v>0</v>
      </c>
      <c r="E158" s="51" t="str">
        <f>IF(辅助!N33&gt;0,VLOOKUP(辅助!P33,数据库!C:K,9,0),"")</f>
        <v/>
      </c>
    </row>
    <row r="159" spans="1:5" ht="36">
      <c r="A159" s="70" t="s">
        <v>91</v>
      </c>
      <c r="B159" s="678" t="s">
        <v>81</v>
      </c>
      <c r="C159" s="679"/>
      <c r="D159" s="679"/>
      <c r="E159" s="680"/>
    </row>
    <row r="160" spans="1:5" ht="26.25" customHeight="1">
      <c r="A160" s="50" t="s">
        <v>87</v>
      </c>
      <c r="B160" s="681" t="s">
        <v>82</v>
      </c>
      <c r="C160" s="682"/>
      <c r="D160" s="682"/>
      <c r="E160" s="683"/>
    </row>
    <row r="161" spans="1:5" ht="27.75" customHeight="1">
      <c r="A161" s="69" t="s">
        <v>88</v>
      </c>
      <c r="B161" s="684" t="s">
        <v>528</v>
      </c>
      <c r="C161" s="685"/>
      <c r="D161" s="685"/>
      <c r="E161" s="686"/>
    </row>
    <row r="162" spans="1:5">
      <c r="A162" s="50" t="s">
        <v>89</v>
      </c>
      <c r="B162" s="687" t="str">
        <f>B119</f>
        <v>UK</v>
      </c>
      <c r="C162" s="688"/>
      <c r="D162" s="688"/>
      <c r="E162" s="689"/>
    </row>
    <row r="163" spans="1:5" ht="74.25" customHeight="1">
      <c r="A163" s="690" t="str">
        <f>A120</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163" s="691"/>
      <c r="C163" s="691"/>
      <c r="D163" s="691"/>
      <c r="E163" s="692"/>
    </row>
    <row r="164" spans="1:5" ht="41.25" customHeight="1">
      <c r="A164" s="690" t="s">
        <v>83</v>
      </c>
      <c r="B164" s="691"/>
      <c r="C164" s="691"/>
      <c r="D164" s="691"/>
      <c r="E164" s="692"/>
    </row>
    <row r="165" spans="1:5">
      <c r="A165" s="669" t="s">
        <v>84</v>
      </c>
      <c r="B165" s="670"/>
      <c r="C165" s="669" t="s">
        <v>85</v>
      </c>
      <c r="D165" s="675"/>
      <c r="E165" s="670"/>
    </row>
    <row r="166" spans="1:5">
      <c r="A166" s="671"/>
      <c r="B166" s="672"/>
      <c r="C166" s="671"/>
      <c r="D166" s="676"/>
      <c r="E166" s="672"/>
    </row>
    <row r="167" spans="1:5">
      <c r="A167" s="671"/>
      <c r="B167" s="672"/>
      <c r="C167" s="671"/>
      <c r="D167" s="676"/>
      <c r="E167" s="672"/>
    </row>
    <row r="168" spans="1:5">
      <c r="A168" s="671"/>
      <c r="B168" s="672"/>
      <c r="C168" s="671"/>
      <c r="D168" s="676"/>
      <c r="E168" s="672"/>
    </row>
    <row r="169" spans="1:5">
      <c r="A169" s="671"/>
      <c r="B169" s="672"/>
      <c r="C169" s="671"/>
      <c r="D169" s="676"/>
      <c r="E169" s="672"/>
    </row>
    <row r="170" spans="1:5">
      <c r="A170" s="671"/>
      <c r="B170" s="672"/>
      <c r="C170" s="671"/>
      <c r="D170" s="676"/>
      <c r="E170" s="672"/>
    </row>
    <row r="171" spans="1:5">
      <c r="A171" s="673"/>
      <c r="B171" s="674"/>
      <c r="C171" s="673"/>
      <c r="D171" s="677"/>
      <c r="E171" s="674"/>
    </row>
    <row r="172" spans="1:5">
      <c r="B172" s="421" t="str">
        <f>"4/"&amp;IF(COUNTIF(辅助!K:K,"&gt;0")&lt;9,1,IF(COUNTIF(辅助!K:K,"&gt;0")&lt;17,2,IF(COUNTIF(辅助!K:K,"&gt;0")&lt;25,3,IF(COUNTIF(辅助!K:K,"&gt;0")&lt;33,4))))</f>
        <v>4/2</v>
      </c>
    </row>
  </sheetData>
  <mergeCells count="96">
    <mergeCell ref="A121:E121"/>
    <mergeCell ref="A122:B128"/>
    <mergeCell ref="C122:E128"/>
    <mergeCell ref="B116:E116"/>
    <mergeCell ref="B117:E117"/>
    <mergeCell ref="B118:E118"/>
    <mergeCell ref="B119:E119"/>
    <mergeCell ref="A120:E120"/>
    <mergeCell ref="A108:A115"/>
    <mergeCell ref="B108:C108"/>
    <mergeCell ref="B109:C109"/>
    <mergeCell ref="B110:C110"/>
    <mergeCell ref="B111:C111"/>
    <mergeCell ref="B112:C112"/>
    <mergeCell ref="B113:C113"/>
    <mergeCell ref="B114:C114"/>
    <mergeCell ref="B115:C115"/>
    <mergeCell ref="A6:A13"/>
    <mergeCell ref="A14:A21"/>
    <mergeCell ref="A22:A29"/>
    <mergeCell ref="B25:C25"/>
    <mergeCell ref="B26:C26"/>
    <mergeCell ref="B27:C27"/>
    <mergeCell ref="B28:C28"/>
    <mergeCell ref="B29:C29"/>
    <mergeCell ref="A1:E1"/>
    <mergeCell ref="C36:E42"/>
    <mergeCell ref="A36:B42"/>
    <mergeCell ref="A34:E34"/>
    <mergeCell ref="A35:E35"/>
    <mergeCell ref="B2:E2"/>
    <mergeCell ref="B3:E3"/>
    <mergeCell ref="B4:E4"/>
    <mergeCell ref="B5:E5"/>
    <mergeCell ref="B22:C22"/>
    <mergeCell ref="B30:E30"/>
    <mergeCell ref="B31:E31"/>
    <mergeCell ref="B32:E32"/>
    <mergeCell ref="B33:E33"/>
    <mergeCell ref="B23:C23"/>
    <mergeCell ref="B24:C24"/>
    <mergeCell ref="A44:E44"/>
    <mergeCell ref="B45:E45"/>
    <mergeCell ref="B46:E46"/>
    <mergeCell ref="B47:E47"/>
    <mergeCell ref="B48:E48"/>
    <mergeCell ref="A49:A56"/>
    <mergeCell ref="A57:A64"/>
    <mergeCell ref="A65:A72"/>
    <mergeCell ref="B65:C65"/>
    <mergeCell ref="B66:C66"/>
    <mergeCell ref="B67:C67"/>
    <mergeCell ref="B68:C68"/>
    <mergeCell ref="B69:C69"/>
    <mergeCell ref="B70:C70"/>
    <mergeCell ref="B71:C71"/>
    <mergeCell ref="B72:C72"/>
    <mergeCell ref="A78:E78"/>
    <mergeCell ref="A79:B85"/>
    <mergeCell ref="C79:E85"/>
    <mergeCell ref="B73:E73"/>
    <mergeCell ref="B74:E74"/>
    <mergeCell ref="B75:E75"/>
    <mergeCell ref="B76:E76"/>
    <mergeCell ref="A77:E77"/>
    <mergeCell ref="A92:A99"/>
    <mergeCell ref="A100:A107"/>
    <mergeCell ref="A87:E87"/>
    <mergeCell ref="B88:E88"/>
    <mergeCell ref="B89:E89"/>
    <mergeCell ref="B90:E90"/>
    <mergeCell ref="B91:E91"/>
    <mergeCell ref="A130:E130"/>
    <mergeCell ref="B131:E131"/>
    <mergeCell ref="B132:E132"/>
    <mergeCell ref="B133:E133"/>
    <mergeCell ref="B134:E134"/>
    <mergeCell ref="A135:A142"/>
    <mergeCell ref="A143:A150"/>
    <mergeCell ref="A151:A158"/>
    <mergeCell ref="B151:C151"/>
    <mergeCell ref="B152:C152"/>
    <mergeCell ref="B153:C153"/>
    <mergeCell ref="B154:C154"/>
    <mergeCell ref="B155:C155"/>
    <mergeCell ref="B156:C156"/>
    <mergeCell ref="B157:C157"/>
    <mergeCell ref="B158:C158"/>
    <mergeCell ref="A164:E164"/>
    <mergeCell ref="A165:B171"/>
    <mergeCell ref="C165:E171"/>
    <mergeCell ref="B159:E159"/>
    <mergeCell ref="B160:E160"/>
    <mergeCell ref="B161:E161"/>
    <mergeCell ref="B162:E162"/>
    <mergeCell ref="A163:E163"/>
  </mergeCells>
  <phoneticPr fontId="1" type="noConversion"/>
  <conditionalFormatting sqref="B6:E29 B49:E72">
    <cfRule type="cellIs" dxfId="62" priority="14" operator="equal">
      <formula>0</formula>
    </cfRule>
  </conditionalFormatting>
  <conditionalFormatting sqref="C92:E107">
    <cfRule type="cellIs" dxfId="61" priority="12" operator="equal">
      <formula>0</formula>
    </cfRule>
  </conditionalFormatting>
  <conditionalFormatting sqref="B92:B99">
    <cfRule type="cellIs" dxfId="60" priority="11" operator="equal">
      <formula>0</formula>
    </cfRule>
  </conditionalFormatting>
  <conditionalFormatting sqref="B100:B107">
    <cfRule type="cellIs" dxfId="59" priority="10" operator="equal">
      <formula>0</formula>
    </cfRule>
  </conditionalFormatting>
  <conditionalFormatting sqref="B108:C115">
    <cfRule type="cellIs" dxfId="58" priority="9" operator="equal">
      <formula>0</formula>
    </cfRule>
  </conditionalFormatting>
  <conditionalFormatting sqref="D108:D115">
    <cfRule type="cellIs" dxfId="57" priority="8" operator="equal">
      <formula>0</formula>
    </cfRule>
  </conditionalFormatting>
  <conditionalFormatting sqref="E108:E115">
    <cfRule type="cellIs" dxfId="56" priority="7" operator="equal">
      <formula>0</formula>
    </cfRule>
  </conditionalFormatting>
  <conditionalFormatting sqref="C135:E150">
    <cfRule type="cellIs" dxfId="55" priority="6" operator="equal">
      <formula>0</formula>
    </cfRule>
  </conditionalFormatting>
  <conditionalFormatting sqref="B135:B142">
    <cfRule type="cellIs" dxfId="54" priority="5" operator="equal">
      <formula>0</formula>
    </cfRule>
  </conditionalFormatting>
  <conditionalFormatting sqref="B143:B150">
    <cfRule type="cellIs" dxfId="53" priority="4" operator="equal">
      <formula>0</formula>
    </cfRule>
  </conditionalFormatting>
  <conditionalFormatting sqref="B151:C158">
    <cfRule type="cellIs" dxfId="52" priority="3" operator="equal">
      <formula>0</formula>
    </cfRule>
  </conditionalFormatting>
  <conditionalFormatting sqref="D151:D158">
    <cfRule type="cellIs" dxfId="51" priority="2" operator="equal">
      <formula>0</formula>
    </cfRule>
  </conditionalFormatting>
  <conditionalFormatting sqref="E151:E158">
    <cfRule type="cellIs" dxfId="50" priority="1" operator="equal">
      <formula>0</formula>
    </cfRule>
  </conditionalFormatting>
  <pageMargins left="0.59055118110236227" right="0.19685039370078741" top="0.31496062992125984" bottom="0" header="0.51181102362204722" footer="0.51181102362204722"/>
  <pageSetup paperSize="9" orientation="portrait" horizontalDpi="4294967295" verticalDpi="4294967295" r:id="rId1"/>
  <rowBreaks count="2" manualBreakCount="2">
    <brk id="43" max="16383" man="1"/>
    <brk id="86"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168"/>
  <sheetViews>
    <sheetView workbookViewId="0">
      <selection activeCell="C10" sqref="C10"/>
    </sheetView>
  </sheetViews>
  <sheetFormatPr defaultRowHeight="14.25"/>
  <cols>
    <col min="1" max="1" width="32.75" customWidth="1"/>
    <col min="2" max="2" width="8.875" customWidth="1"/>
    <col min="3" max="3" width="20.125" customWidth="1"/>
    <col min="4" max="4" width="9.625" customWidth="1"/>
    <col min="5" max="5" width="12.375" customWidth="1"/>
  </cols>
  <sheetData>
    <row r="1" spans="1:5" ht="46.5" customHeight="1">
      <c r="A1" s="699" t="s">
        <v>76</v>
      </c>
      <c r="B1" s="700"/>
      <c r="C1" s="700"/>
      <c r="D1" s="700"/>
      <c r="E1" s="700"/>
    </row>
    <row r="2" spans="1:5" ht="19.5" customHeight="1">
      <c r="A2" s="69" t="s">
        <v>77</v>
      </c>
      <c r="B2" s="687" t="s">
        <v>92</v>
      </c>
      <c r="C2" s="688"/>
      <c r="D2" s="688"/>
      <c r="E2" s="689"/>
    </row>
    <row r="3" spans="1:5" ht="19.5" customHeight="1">
      <c r="A3" s="69" t="s">
        <v>78</v>
      </c>
      <c r="B3" s="701" t="s">
        <v>110</v>
      </c>
      <c r="C3" s="702"/>
      <c r="D3" s="702"/>
      <c r="E3" s="703"/>
    </row>
    <row r="4" spans="1:5" ht="19.5" customHeight="1">
      <c r="A4" s="69" t="s">
        <v>79</v>
      </c>
      <c r="B4" s="687" t="s">
        <v>80</v>
      </c>
      <c r="C4" s="688"/>
      <c r="D4" s="688"/>
      <c r="E4" s="689"/>
    </row>
    <row r="5" spans="1:5" ht="19.5" customHeight="1">
      <c r="A5" s="69" t="s">
        <v>86</v>
      </c>
      <c r="B5" s="687" t="str">
        <f>发货清单!F2</f>
        <v>2786337676</v>
      </c>
      <c r="C5" s="688"/>
      <c r="D5" s="688"/>
      <c r="E5" s="689"/>
    </row>
    <row r="6" spans="1:5" ht="12" customHeight="1">
      <c r="A6" s="697" t="s">
        <v>90</v>
      </c>
      <c r="B6" s="89" t="str">
        <f>辅助!P2</f>
        <v>Carboxylic acid compound category (AB-04)1</v>
      </c>
      <c r="C6" s="90"/>
      <c r="D6" s="90"/>
      <c r="E6" s="91"/>
    </row>
    <row r="7" spans="1:5" ht="12" customHeight="1">
      <c r="A7" s="698"/>
      <c r="B7" s="89" t="str">
        <f>辅助!P3</f>
        <v>Carboxylic acid compound category (AB-04)6</v>
      </c>
      <c r="C7" s="90"/>
      <c r="D7" s="90"/>
      <c r="E7" s="91"/>
    </row>
    <row r="8" spans="1:5" ht="12" customHeight="1">
      <c r="A8" s="698"/>
      <c r="B8" s="89" t="str">
        <f>辅助!P4</f>
        <v>Sulfonamide compound category(AB-08)1</v>
      </c>
      <c r="C8" s="90"/>
      <c r="D8" s="90"/>
      <c r="E8" s="91"/>
    </row>
    <row r="9" spans="1:5" ht="12" customHeight="1">
      <c r="A9" s="698"/>
      <c r="B9" s="89" t="str">
        <f>辅助!P5</f>
        <v>Heterocyclic with single or more oxygen atoms compound category （AB-15）4</v>
      </c>
      <c r="C9" s="90"/>
      <c r="D9" s="90"/>
      <c r="E9" s="91"/>
    </row>
    <row r="10" spans="1:5" ht="12" customHeight="1">
      <c r="A10" s="698"/>
      <c r="B10" s="89" t="str">
        <f>辅助!P6</f>
        <v>Acyclic hydrocarbon compound category （AB-02）11</v>
      </c>
      <c r="C10" s="90"/>
      <c r="D10" s="90"/>
      <c r="E10" s="91"/>
    </row>
    <row r="11" spans="1:5" ht="12" customHeight="1">
      <c r="A11" s="698"/>
      <c r="B11" s="89" t="str">
        <f>辅助!P7</f>
        <v>Acyclic hydrocarbon compound category （AB-02）13</v>
      </c>
      <c r="C11" s="90"/>
      <c r="D11" s="90"/>
      <c r="E11" s="91"/>
    </row>
    <row r="12" spans="1:5" ht="12" customHeight="1">
      <c r="A12" s="698"/>
      <c r="B12" s="89" t="str">
        <f>辅助!P8</f>
        <v>Heterocyclic with nitrogen compound category (AB-06)46</v>
      </c>
      <c r="C12" s="90"/>
      <c r="D12" s="90"/>
      <c r="E12" s="91"/>
    </row>
    <row r="13" spans="1:5" ht="12" customHeight="1">
      <c r="A13" s="698"/>
      <c r="B13" s="89" t="str">
        <f>辅助!P9</f>
        <v>Heterocyclic with nitrogen compound category (AB-06)53</v>
      </c>
      <c r="C13" s="90"/>
      <c r="D13" s="90"/>
      <c r="E13" s="91"/>
    </row>
    <row r="14" spans="1:5" ht="12" customHeight="1">
      <c r="A14" s="693" t="s">
        <v>93</v>
      </c>
      <c r="B14" s="173" t="str">
        <f>辅助!L2</f>
        <v>十三烷二酸</v>
      </c>
      <c r="C14" s="174"/>
      <c r="D14" s="174"/>
      <c r="E14" s="175"/>
    </row>
    <row r="15" spans="1:5" ht="12" customHeight="1">
      <c r="A15" s="694"/>
      <c r="B15" s="173" t="str">
        <f>辅助!L3</f>
        <v>辛二酸单甲酯</v>
      </c>
      <c r="C15" s="174"/>
      <c r="D15" s="174"/>
      <c r="E15" s="175"/>
    </row>
    <row r="16" spans="1:5" ht="12" customHeight="1">
      <c r="A16" s="694"/>
      <c r="B16" s="173" t="str">
        <f>辅助!L4</f>
        <v>N-甲基对甲苯磺酰胺</v>
      </c>
      <c r="C16" s="174"/>
      <c r="D16" s="174"/>
      <c r="E16" s="175"/>
    </row>
    <row r="17" spans="1:5" ht="12" customHeight="1">
      <c r="A17" s="694"/>
      <c r="B17" s="173" t="str">
        <f>辅助!L5</f>
        <v>异山梨醇</v>
      </c>
      <c r="C17" s="313"/>
      <c r="D17" s="313"/>
      <c r="E17" s="167"/>
    </row>
    <row r="18" spans="1:5" ht="12" customHeight="1">
      <c r="A18" s="694"/>
      <c r="B18" s="173" t="str">
        <f>辅助!L6</f>
        <v>溴代十六烷</v>
      </c>
      <c r="C18" s="313"/>
      <c r="D18" s="313"/>
      <c r="E18" s="167"/>
    </row>
    <row r="19" spans="1:5" ht="12" customHeight="1">
      <c r="A19" s="694"/>
      <c r="B19" s="173" t="str">
        <f>辅助!L7</f>
        <v>1,4-二碘代丁烷</v>
      </c>
      <c r="C19" s="313"/>
      <c r="D19" s="313"/>
      <c r="E19" s="167"/>
    </row>
    <row r="20" spans="1:5" ht="12" customHeight="1">
      <c r="A20" s="694"/>
      <c r="B20" s="173" t="str">
        <f>辅助!L8</f>
        <v>5-甲氧基吲哚-2-甲酸乙酯</v>
      </c>
      <c r="C20" s="313"/>
      <c r="D20" s="313"/>
      <c r="E20" s="167"/>
    </row>
    <row r="21" spans="1:5" ht="12" customHeight="1">
      <c r="A21" s="694"/>
      <c r="B21" s="173" t="str">
        <f>辅助!L9</f>
        <v>6-氯吡嗪-2-羧酸甲酯</v>
      </c>
      <c r="C21" s="313"/>
      <c r="D21" s="313"/>
      <c r="E21" s="167"/>
    </row>
    <row r="22" spans="1:5" ht="12.75" customHeight="1">
      <c r="A22" s="693" t="s">
        <v>94</v>
      </c>
      <c r="B22" s="695">
        <f>IF(辅助!N2&gt;0,VLOOKUP(辅助!P2,数据库!C:J,8,0),"")</f>
        <v>2020016013</v>
      </c>
      <c r="C22" s="696"/>
      <c r="D22" s="312" t="str">
        <f>IF(辅助!N2=0,0,"签发日期")</f>
        <v>签发日期</v>
      </c>
      <c r="E22" s="51">
        <f>IF(辅助!N2&gt;0,VLOOKUP(辅助!P2,数据库!C:K,9,0),"")</f>
        <v>43801</v>
      </c>
    </row>
    <row r="23" spans="1:5" ht="12.75" customHeight="1">
      <c r="A23" s="694"/>
      <c r="B23" s="695">
        <f>IF(辅助!N3&gt;0,VLOOKUP(辅助!P3,数据库!C:J,8,0),"")</f>
        <v>2020015972</v>
      </c>
      <c r="C23" s="696"/>
      <c r="D23" s="312" t="str">
        <f>IF(辅助!N3=0,0,"签发日期")</f>
        <v>签发日期</v>
      </c>
      <c r="E23" s="51">
        <f>IF(辅助!N3&gt;0,VLOOKUP(辅助!P3,数据库!C:K,9,0),"")</f>
        <v>43801</v>
      </c>
    </row>
    <row r="24" spans="1:5" ht="12.75" customHeight="1">
      <c r="A24" s="694"/>
      <c r="B24" s="695">
        <f>IF(辅助!N4&gt;0,VLOOKUP(辅助!P4,数据库!C:J,8,0),"")</f>
        <v>2020015987</v>
      </c>
      <c r="C24" s="696"/>
      <c r="D24" s="312" t="str">
        <f>IF(辅助!N4=0,0,"签发日期")</f>
        <v>签发日期</v>
      </c>
      <c r="E24" s="51">
        <f>IF(辅助!N4&gt;0,VLOOKUP(辅助!P4,数据库!C:K,9,0),"")</f>
        <v>43801</v>
      </c>
    </row>
    <row r="25" spans="1:5" ht="12.75" customHeight="1">
      <c r="A25" s="694"/>
      <c r="B25" s="695">
        <f>IF(辅助!N5&gt;0,VLOOKUP(辅助!P5,数据库!C:J,8,0),"")</f>
        <v>2020015851</v>
      </c>
      <c r="C25" s="696"/>
      <c r="D25" s="312" t="str">
        <f>IF(辅助!N5=0,0,"签发日期")</f>
        <v>签发日期</v>
      </c>
      <c r="E25" s="51">
        <f>IF(辅助!N5&gt;0,VLOOKUP(辅助!P5,数据库!C:K,9,0),"")</f>
        <v>43801</v>
      </c>
    </row>
    <row r="26" spans="1:5" ht="12.75" customHeight="1">
      <c r="A26" s="694"/>
      <c r="B26" s="695">
        <f>IF(辅助!N6&gt;0,VLOOKUP(辅助!P6,数据库!C:J,8,0),"")</f>
        <v>2020015968</v>
      </c>
      <c r="C26" s="696"/>
      <c r="D26" s="312" t="str">
        <f>IF(辅助!N6=0,0,"签发日期")</f>
        <v>签发日期</v>
      </c>
      <c r="E26" s="51">
        <f>IF(辅助!N6&gt;0,VLOOKUP(辅助!P6,数据库!C:K,9,0),"")</f>
        <v>43801</v>
      </c>
    </row>
    <row r="27" spans="1:5" ht="12.75" customHeight="1">
      <c r="A27" s="694"/>
      <c r="B27" s="695">
        <f>IF(辅助!N7&gt;0,VLOOKUP(辅助!P7,数据库!C:J,8,0),"")</f>
        <v>2020015870</v>
      </c>
      <c r="C27" s="696"/>
      <c r="D27" s="312" t="str">
        <f>IF(辅助!N7=0,0,"签发日期")</f>
        <v>签发日期</v>
      </c>
      <c r="E27" s="51">
        <f>IF(辅助!N7&gt;0,VLOOKUP(辅助!P7,数据库!C:K,9,0),"")</f>
        <v>43801</v>
      </c>
    </row>
    <row r="28" spans="1:5" ht="12.75" customHeight="1">
      <c r="A28" s="694"/>
      <c r="B28" s="695">
        <f>IF(辅助!N8&gt;0,VLOOKUP(辅助!P8,数据库!C:J,8,0),"")</f>
        <v>2020015961</v>
      </c>
      <c r="C28" s="696"/>
      <c r="D28" s="312" t="str">
        <f>IF(辅助!N8=0,0,"签发日期")</f>
        <v>签发日期</v>
      </c>
      <c r="E28" s="51">
        <f>IF(辅助!N8&gt;0,VLOOKUP(辅助!P8,数据库!C:K,9,0),"")</f>
        <v>43801</v>
      </c>
    </row>
    <row r="29" spans="1:5" ht="12.75" customHeight="1">
      <c r="A29" s="694"/>
      <c r="B29" s="695">
        <f>IF(辅助!N9&gt;0,VLOOKUP(辅助!P9,数据库!C:J,8,0),"")</f>
        <v>2020379539</v>
      </c>
      <c r="C29" s="696"/>
      <c r="D29" s="312" t="str">
        <f>IF(辅助!N9=0,0,"签发日期")</f>
        <v>签发日期</v>
      </c>
      <c r="E29" s="51">
        <f>IF(辅助!N9&gt;0,VLOOKUP(辅助!P9,数据库!C:K,9,0),"")</f>
        <v>43823</v>
      </c>
    </row>
    <row r="30" spans="1:5" s="52" customFormat="1" ht="40.5" customHeight="1">
      <c r="A30" s="70" t="s">
        <v>91</v>
      </c>
      <c r="B30" s="678" t="s">
        <v>81</v>
      </c>
      <c r="C30" s="679"/>
      <c r="D30" s="679"/>
      <c r="E30" s="680"/>
    </row>
    <row r="31" spans="1:5" s="52" customFormat="1" ht="25.5" customHeight="1">
      <c r="A31" s="50" t="s">
        <v>87</v>
      </c>
      <c r="B31" s="681" t="s">
        <v>82</v>
      </c>
      <c r="C31" s="682"/>
      <c r="D31" s="682"/>
      <c r="E31" s="683"/>
    </row>
    <row r="32" spans="1:5" s="52" customFormat="1" ht="27" customHeight="1">
      <c r="A32" s="69" t="s">
        <v>88</v>
      </c>
      <c r="B32" s="684" t="s">
        <v>528</v>
      </c>
      <c r="C32" s="685"/>
      <c r="D32" s="685"/>
      <c r="E32" s="686"/>
    </row>
    <row r="33" spans="1:5" s="52" customFormat="1" ht="18.75" customHeight="1">
      <c r="A33" s="50" t="s">
        <v>89</v>
      </c>
      <c r="B33" s="687" t="str">
        <f>'Commercial Invoice3'!E15</f>
        <v>UK</v>
      </c>
      <c r="C33" s="688"/>
      <c r="D33" s="688"/>
      <c r="E33" s="689"/>
    </row>
    <row r="34" spans="1:5" ht="73.5" customHeight="1">
      <c r="A34" s="690" t="str">
        <f>运输保函2!A34</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34" s="691"/>
      <c r="C34" s="691"/>
      <c r="D34" s="691"/>
      <c r="E34" s="692"/>
    </row>
    <row r="35" spans="1:5" ht="36" customHeight="1">
      <c r="A35" s="690" t="s">
        <v>83</v>
      </c>
      <c r="B35" s="691"/>
      <c r="C35" s="691"/>
      <c r="D35" s="691"/>
      <c r="E35" s="692"/>
    </row>
    <row r="36" spans="1:5">
      <c r="A36" s="669" t="s">
        <v>84</v>
      </c>
      <c r="B36" s="670"/>
      <c r="C36" s="669" t="s">
        <v>85</v>
      </c>
      <c r="D36" s="675"/>
      <c r="E36" s="670"/>
    </row>
    <row r="37" spans="1:5">
      <c r="A37" s="671"/>
      <c r="B37" s="672"/>
      <c r="C37" s="671"/>
      <c r="D37" s="676"/>
      <c r="E37" s="672"/>
    </row>
    <row r="38" spans="1:5">
      <c r="A38" s="671"/>
      <c r="B38" s="672"/>
      <c r="C38" s="671"/>
      <c r="D38" s="676"/>
      <c r="E38" s="672"/>
    </row>
    <row r="39" spans="1:5">
      <c r="A39" s="671"/>
      <c r="B39" s="672"/>
      <c r="C39" s="671"/>
      <c r="D39" s="676"/>
      <c r="E39" s="672"/>
    </row>
    <row r="40" spans="1:5">
      <c r="A40" s="671"/>
      <c r="B40" s="672"/>
      <c r="C40" s="671"/>
      <c r="D40" s="676"/>
      <c r="E40" s="672"/>
    </row>
    <row r="41" spans="1:5">
      <c r="A41" s="671"/>
      <c r="B41" s="672"/>
      <c r="C41" s="671"/>
      <c r="D41" s="676"/>
      <c r="E41" s="672"/>
    </row>
    <row r="42" spans="1:5">
      <c r="A42" s="673"/>
      <c r="B42" s="674"/>
      <c r="C42" s="673"/>
      <c r="D42" s="677"/>
      <c r="E42" s="674"/>
    </row>
    <row r="43" spans="1:5" ht="39" customHeight="1">
      <c r="A43" s="699" t="s">
        <v>76</v>
      </c>
      <c r="B43" s="700"/>
      <c r="C43" s="700"/>
      <c r="D43" s="700"/>
      <c r="E43" s="700"/>
    </row>
    <row r="44" spans="1:5">
      <c r="A44" s="69" t="s">
        <v>77</v>
      </c>
      <c r="B44" s="687" t="s">
        <v>92</v>
      </c>
      <c r="C44" s="688"/>
      <c r="D44" s="688"/>
      <c r="E44" s="689"/>
    </row>
    <row r="45" spans="1:5">
      <c r="A45" s="69" t="s">
        <v>78</v>
      </c>
      <c r="B45" s="701" t="s">
        <v>110</v>
      </c>
      <c r="C45" s="702"/>
      <c r="D45" s="702"/>
      <c r="E45" s="703"/>
    </row>
    <row r="46" spans="1:5">
      <c r="A46" s="69" t="s">
        <v>79</v>
      </c>
      <c r="B46" s="687" t="s">
        <v>74</v>
      </c>
      <c r="C46" s="688"/>
      <c r="D46" s="688"/>
      <c r="E46" s="689"/>
    </row>
    <row r="47" spans="1:5">
      <c r="A47" s="69" t="s">
        <v>86</v>
      </c>
      <c r="B47" s="704" t="str">
        <f>发货清单!F2</f>
        <v>2786337676</v>
      </c>
      <c r="C47" s="705"/>
      <c r="D47" s="705"/>
      <c r="E47" s="706"/>
    </row>
    <row r="48" spans="1:5" ht="12.75" customHeight="1">
      <c r="A48" s="697" t="s">
        <v>90</v>
      </c>
      <c r="B48" s="89" t="str">
        <f>辅助!P10</f>
        <v>Aromatic ring products without heteroatoms category （AB-16）33</v>
      </c>
      <c r="C48" s="90"/>
      <c r="D48" s="90"/>
      <c r="E48" s="91"/>
    </row>
    <row r="49" spans="1:5" ht="12.75" customHeight="1">
      <c r="A49" s="698"/>
      <c r="B49" s="89" t="str">
        <f>辅助!P11</f>
        <v>Aromatic ring products without heteroatoms category （AB-16）36</v>
      </c>
      <c r="C49" s="90"/>
      <c r="D49" s="90"/>
      <c r="E49" s="91"/>
    </row>
    <row r="50" spans="1:5" ht="12.75" customHeight="1">
      <c r="A50" s="698"/>
      <c r="B50" s="89" t="str">
        <f>辅助!P12</f>
        <v/>
      </c>
      <c r="C50" s="90"/>
      <c r="D50" s="90"/>
      <c r="E50" s="91"/>
    </row>
    <row r="51" spans="1:5" ht="12.75" customHeight="1">
      <c r="A51" s="698"/>
      <c r="B51" s="89" t="str">
        <f>辅助!P13</f>
        <v/>
      </c>
      <c r="C51" s="90"/>
      <c r="D51" s="90"/>
      <c r="E51" s="91"/>
    </row>
    <row r="52" spans="1:5" ht="12.75" customHeight="1">
      <c r="A52" s="698"/>
      <c r="B52" s="89" t="str">
        <f>辅助!P14</f>
        <v/>
      </c>
      <c r="C52" s="90"/>
      <c r="D52" s="90"/>
      <c r="E52" s="91"/>
    </row>
    <row r="53" spans="1:5" ht="12.75" customHeight="1">
      <c r="A53" s="698"/>
      <c r="B53" s="89" t="str">
        <f>辅助!P15</f>
        <v/>
      </c>
      <c r="C53" s="90"/>
      <c r="D53" s="90"/>
      <c r="E53" s="91"/>
    </row>
    <row r="54" spans="1:5" ht="12.75" customHeight="1">
      <c r="A54" s="698"/>
      <c r="B54" s="89" t="str">
        <f>辅助!P16</f>
        <v/>
      </c>
      <c r="C54" s="90"/>
      <c r="D54" s="90"/>
      <c r="E54" s="91"/>
    </row>
    <row r="55" spans="1:5" ht="12.75" customHeight="1">
      <c r="A55" s="698"/>
      <c r="B55" s="89" t="str">
        <f>辅助!P17</f>
        <v/>
      </c>
      <c r="C55" s="90"/>
      <c r="D55" s="90"/>
      <c r="E55" s="91"/>
    </row>
    <row r="56" spans="1:5">
      <c r="A56" s="693" t="s">
        <v>93</v>
      </c>
      <c r="B56" s="173" t="str">
        <f>辅助!L10</f>
        <v>2-氟-5-碘硝基苯</v>
      </c>
      <c r="C56" s="174"/>
      <c r="D56" s="174"/>
      <c r="E56" s="175"/>
    </row>
    <row r="57" spans="1:5">
      <c r="A57" s="694"/>
      <c r="B57" s="173" t="str">
        <f>辅助!L11</f>
        <v>2,4-双(三氟甲基)苯乙酸</v>
      </c>
      <c r="C57" s="174"/>
      <c r="D57" s="174"/>
      <c r="E57" s="175"/>
    </row>
    <row r="58" spans="1:5">
      <c r="A58" s="694"/>
      <c r="B58" s="173" t="str">
        <f>辅助!L12</f>
        <v/>
      </c>
      <c r="C58" s="174"/>
      <c r="D58" s="174"/>
      <c r="E58" s="175"/>
    </row>
    <row r="59" spans="1:5">
      <c r="A59" s="694"/>
      <c r="B59" s="173" t="str">
        <f>辅助!L13</f>
        <v/>
      </c>
      <c r="C59" s="313"/>
      <c r="D59" s="313"/>
      <c r="E59" s="167"/>
    </row>
    <row r="60" spans="1:5">
      <c r="A60" s="694"/>
      <c r="B60" s="173" t="str">
        <f>辅助!L14</f>
        <v/>
      </c>
      <c r="C60" s="313"/>
      <c r="D60" s="313"/>
      <c r="E60" s="167"/>
    </row>
    <row r="61" spans="1:5">
      <c r="A61" s="694"/>
      <c r="B61" s="173" t="str">
        <f>辅助!L15</f>
        <v/>
      </c>
      <c r="C61" s="313"/>
      <c r="D61" s="313"/>
      <c r="E61" s="167"/>
    </row>
    <row r="62" spans="1:5">
      <c r="A62" s="694"/>
      <c r="B62" s="173" t="str">
        <f>辅助!L16</f>
        <v/>
      </c>
      <c r="C62" s="313"/>
      <c r="D62" s="313"/>
      <c r="E62" s="167"/>
    </row>
    <row r="63" spans="1:5">
      <c r="A63" s="694"/>
      <c r="B63" s="173" t="str">
        <f>辅助!L17</f>
        <v/>
      </c>
      <c r="C63" s="313"/>
      <c r="D63" s="313"/>
      <c r="E63" s="167"/>
    </row>
    <row r="64" spans="1:5">
      <c r="A64" s="693" t="s">
        <v>94</v>
      </c>
      <c r="B64" s="695">
        <f>IF(辅助!N10&gt;0,VLOOKUP(辅助!P10,数据库!C:J,8,0),"")</f>
        <v>2020016030</v>
      </c>
      <c r="C64" s="696"/>
      <c r="D64" s="312" t="str">
        <f>IF(辅助!N10=0,0,"签发日期")</f>
        <v>签发日期</v>
      </c>
      <c r="E64" s="51">
        <f>IF(辅助!N10&gt;0,VLOOKUP(辅助!P10,数据库!C:K,9,0),"")</f>
        <v>43801</v>
      </c>
    </row>
    <row r="65" spans="1:5">
      <c r="A65" s="694"/>
      <c r="B65" s="695">
        <f>IF(辅助!N11&gt;0,VLOOKUP(辅助!P11,数据库!C:J,8,0),"")</f>
        <v>2020016083</v>
      </c>
      <c r="C65" s="696"/>
      <c r="D65" s="312" t="str">
        <f>IF(辅助!N11=0,0,"签发日期")</f>
        <v>签发日期</v>
      </c>
      <c r="E65" s="51">
        <f>IF(辅助!N11&gt;0,VLOOKUP(辅助!P11,数据库!C:K,9,0),"")</f>
        <v>43801</v>
      </c>
    </row>
    <row r="66" spans="1:5">
      <c r="A66" s="694"/>
      <c r="B66" s="695" t="str">
        <f>IF(辅助!N12&gt;0,VLOOKUP(辅助!P12,数据库!C:J,8,0),"")</f>
        <v/>
      </c>
      <c r="C66" s="696"/>
      <c r="D66" s="312">
        <f>IF(辅助!N12=0,0,"签发日期")</f>
        <v>0</v>
      </c>
      <c r="E66" s="51" t="str">
        <f>IF(辅助!N12&gt;0,VLOOKUP(辅助!P12,数据库!C:K,9,0),"")</f>
        <v/>
      </c>
    </row>
    <row r="67" spans="1:5">
      <c r="A67" s="694"/>
      <c r="B67" s="695" t="str">
        <f>IF(辅助!N13&gt;0,VLOOKUP(辅助!P13,数据库!C:J,8,0),"")</f>
        <v/>
      </c>
      <c r="C67" s="696"/>
      <c r="D67" s="312">
        <f>IF(辅助!N13=0,0,"签发日期")</f>
        <v>0</v>
      </c>
      <c r="E67" s="51" t="str">
        <f>IF(辅助!N13&gt;0,VLOOKUP(辅助!P13,数据库!C:K,9,0),"")</f>
        <v/>
      </c>
    </row>
    <row r="68" spans="1:5">
      <c r="A68" s="694"/>
      <c r="B68" s="695" t="str">
        <f>IF(辅助!N14&gt;0,VLOOKUP(辅助!P14,数据库!C:J,8,0),"")</f>
        <v/>
      </c>
      <c r="C68" s="696"/>
      <c r="D68" s="312">
        <f>IF(辅助!N14=0,0,"签发日期")</f>
        <v>0</v>
      </c>
      <c r="E68" s="51" t="str">
        <f>IF(辅助!N14&gt;0,VLOOKUP(辅助!P14,数据库!C:K,9,0),"")</f>
        <v/>
      </c>
    </row>
    <row r="69" spans="1:5" ht="12" customHeight="1">
      <c r="A69" s="694"/>
      <c r="B69" s="695" t="str">
        <f>IF(辅助!N15&gt;0,VLOOKUP(辅助!P15,数据库!C:J,8,0),"")</f>
        <v/>
      </c>
      <c r="C69" s="696"/>
      <c r="D69" s="312">
        <f>IF(辅助!N15=0,0,"签发日期")</f>
        <v>0</v>
      </c>
      <c r="E69" s="51" t="str">
        <f>IF(辅助!N15&gt;0,VLOOKUP(辅助!P15,数据库!C:K,9,0),"")</f>
        <v/>
      </c>
    </row>
    <row r="70" spans="1:5">
      <c r="A70" s="694"/>
      <c r="B70" s="695" t="str">
        <f>IF(辅助!N16&gt;0,VLOOKUP(辅助!P16,数据库!C:J,8,0),"")</f>
        <v/>
      </c>
      <c r="C70" s="696"/>
      <c r="D70" s="312">
        <f>IF(辅助!N16=0,0,"签发日期")</f>
        <v>0</v>
      </c>
      <c r="E70" s="51" t="str">
        <f>IF(辅助!N16&gt;0,VLOOKUP(辅助!P16,数据库!C:K,9,0),"")</f>
        <v/>
      </c>
    </row>
    <row r="71" spans="1:5">
      <c r="A71" s="694"/>
      <c r="B71" s="695" t="str">
        <f>IF(辅助!N17&gt;0,VLOOKUP(辅助!P17,数据库!C:J,8,0),"")</f>
        <v/>
      </c>
      <c r="C71" s="696"/>
      <c r="D71" s="312">
        <f>IF(辅助!N17=0,0,"签发日期")</f>
        <v>0</v>
      </c>
      <c r="E71" s="51" t="str">
        <f>IF(辅助!N17&gt;0,VLOOKUP(辅助!P17,数据库!C:K,9,0),"")</f>
        <v/>
      </c>
    </row>
    <row r="72" spans="1:5" ht="36">
      <c r="A72" s="70" t="s">
        <v>91</v>
      </c>
      <c r="B72" s="678" t="s">
        <v>81</v>
      </c>
      <c r="C72" s="679"/>
      <c r="D72" s="679"/>
      <c r="E72" s="680"/>
    </row>
    <row r="73" spans="1:5" ht="26.25" customHeight="1">
      <c r="A73" s="50" t="s">
        <v>87</v>
      </c>
      <c r="B73" s="681" t="s">
        <v>82</v>
      </c>
      <c r="C73" s="682"/>
      <c r="D73" s="682"/>
      <c r="E73" s="683"/>
    </row>
    <row r="74" spans="1:5" ht="27.75" customHeight="1">
      <c r="A74" s="69" t="s">
        <v>88</v>
      </c>
      <c r="B74" s="684" t="s">
        <v>528</v>
      </c>
      <c r="C74" s="685"/>
      <c r="D74" s="685"/>
      <c r="E74" s="686"/>
    </row>
    <row r="75" spans="1:5">
      <c r="A75" s="50" t="s">
        <v>89</v>
      </c>
      <c r="B75" s="687" t="str">
        <f>'Commercial Invoice3'!E15</f>
        <v>UK</v>
      </c>
      <c r="C75" s="688"/>
      <c r="D75" s="688"/>
      <c r="E75" s="689"/>
    </row>
    <row r="76" spans="1:5" ht="74.25" customHeight="1">
      <c r="A76" s="690" t="str">
        <f>A34</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76" s="691"/>
      <c r="C76" s="691"/>
      <c r="D76" s="691"/>
      <c r="E76" s="692"/>
    </row>
    <row r="77" spans="1:5" ht="41.25" customHeight="1">
      <c r="A77" s="690" t="s">
        <v>83</v>
      </c>
      <c r="B77" s="691"/>
      <c r="C77" s="691"/>
      <c r="D77" s="691"/>
      <c r="E77" s="692"/>
    </row>
    <row r="78" spans="1:5">
      <c r="A78" s="669" t="s">
        <v>84</v>
      </c>
      <c r="B78" s="670"/>
      <c r="C78" s="669" t="s">
        <v>85</v>
      </c>
      <c r="D78" s="675"/>
      <c r="E78" s="670"/>
    </row>
    <row r="79" spans="1:5">
      <c r="A79" s="671"/>
      <c r="B79" s="672"/>
      <c r="C79" s="671"/>
      <c r="D79" s="676"/>
      <c r="E79" s="672"/>
    </row>
    <row r="80" spans="1:5">
      <c r="A80" s="671"/>
      <c r="B80" s="672"/>
      <c r="C80" s="671"/>
      <c r="D80" s="676"/>
      <c r="E80" s="672"/>
    </row>
    <row r="81" spans="1:5">
      <c r="A81" s="671"/>
      <c r="B81" s="672"/>
      <c r="C81" s="671"/>
      <c r="D81" s="676"/>
      <c r="E81" s="672"/>
    </row>
    <row r="82" spans="1:5">
      <c r="A82" s="671"/>
      <c r="B82" s="672"/>
      <c r="C82" s="671"/>
      <c r="D82" s="676"/>
      <c r="E82" s="672"/>
    </row>
    <row r="83" spans="1:5">
      <c r="A83" s="671"/>
      <c r="B83" s="672"/>
      <c r="C83" s="671"/>
      <c r="D83" s="676"/>
      <c r="E83" s="672"/>
    </row>
    <row r="84" spans="1:5" ht="30.75" customHeight="1">
      <c r="A84" s="673"/>
      <c r="B84" s="674"/>
      <c r="C84" s="673"/>
      <c r="D84" s="677"/>
      <c r="E84" s="674"/>
    </row>
    <row r="85" spans="1:5" ht="39" customHeight="1">
      <c r="A85" s="699" t="s">
        <v>76</v>
      </c>
      <c r="B85" s="700"/>
      <c r="C85" s="700"/>
      <c r="D85" s="700"/>
      <c r="E85" s="700"/>
    </row>
    <row r="86" spans="1:5">
      <c r="A86" s="69" t="s">
        <v>77</v>
      </c>
      <c r="B86" s="687" t="s">
        <v>92</v>
      </c>
      <c r="C86" s="688"/>
      <c r="D86" s="688"/>
      <c r="E86" s="689"/>
    </row>
    <row r="87" spans="1:5">
      <c r="A87" s="69" t="s">
        <v>78</v>
      </c>
      <c r="B87" s="701" t="s">
        <v>110</v>
      </c>
      <c r="C87" s="702"/>
      <c r="D87" s="702"/>
      <c r="E87" s="703"/>
    </row>
    <row r="88" spans="1:5">
      <c r="A88" s="69" t="s">
        <v>79</v>
      </c>
      <c r="B88" s="687" t="s">
        <v>74</v>
      </c>
      <c r="C88" s="688"/>
      <c r="D88" s="688"/>
      <c r="E88" s="689"/>
    </row>
    <row r="89" spans="1:5">
      <c r="A89" s="69" t="s">
        <v>86</v>
      </c>
      <c r="B89" s="704" t="str">
        <f>B47</f>
        <v>2786337676</v>
      </c>
      <c r="C89" s="705"/>
      <c r="D89" s="705"/>
      <c r="E89" s="706"/>
    </row>
    <row r="90" spans="1:5" ht="12.75" customHeight="1">
      <c r="A90" s="697" t="s">
        <v>90</v>
      </c>
      <c r="B90" s="89" t="str">
        <f>辅助!P18</f>
        <v/>
      </c>
      <c r="C90" s="90"/>
      <c r="D90" s="90"/>
      <c r="E90" s="91"/>
    </row>
    <row r="91" spans="1:5" ht="12.75" customHeight="1">
      <c r="A91" s="698"/>
      <c r="B91" s="89" t="str">
        <f>辅助!P19</f>
        <v/>
      </c>
      <c r="C91" s="90"/>
      <c r="D91" s="90"/>
      <c r="E91" s="91"/>
    </row>
    <row r="92" spans="1:5" ht="12.75" customHeight="1">
      <c r="A92" s="698"/>
      <c r="B92" s="89" t="str">
        <f>辅助!P20</f>
        <v/>
      </c>
      <c r="C92" s="90"/>
      <c r="D92" s="90"/>
      <c r="E92" s="91"/>
    </row>
    <row r="93" spans="1:5" ht="12.75" customHeight="1">
      <c r="A93" s="698"/>
      <c r="B93" s="89" t="str">
        <f>辅助!P21</f>
        <v/>
      </c>
      <c r="C93" s="90"/>
      <c r="D93" s="90"/>
      <c r="E93" s="91"/>
    </row>
    <row r="94" spans="1:5" ht="12.75" customHeight="1">
      <c r="A94" s="698"/>
      <c r="B94" s="89" t="str">
        <f>辅助!P22</f>
        <v/>
      </c>
      <c r="C94" s="90"/>
      <c r="D94" s="90"/>
      <c r="E94" s="91"/>
    </row>
    <row r="95" spans="1:5" ht="12.75" customHeight="1">
      <c r="A95" s="698"/>
      <c r="B95" s="89" t="str">
        <f>辅助!P23</f>
        <v/>
      </c>
      <c r="C95" s="90"/>
      <c r="D95" s="90"/>
      <c r="E95" s="91"/>
    </row>
    <row r="96" spans="1:5" ht="12.75" customHeight="1">
      <c r="A96" s="698"/>
      <c r="B96" s="89" t="str">
        <f>辅助!P24</f>
        <v/>
      </c>
      <c r="C96" s="90"/>
      <c r="D96" s="90"/>
      <c r="E96" s="91"/>
    </row>
    <row r="97" spans="1:5" ht="12.75" customHeight="1">
      <c r="A97" s="698"/>
      <c r="B97" s="89" t="str">
        <f>辅助!P25</f>
        <v/>
      </c>
      <c r="C97" s="90"/>
      <c r="D97" s="90"/>
      <c r="E97" s="91"/>
    </row>
    <row r="98" spans="1:5">
      <c r="A98" s="693" t="s">
        <v>93</v>
      </c>
      <c r="B98" s="173" t="str">
        <f>辅助!L18</f>
        <v/>
      </c>
      <c r="C98" s="174"/>
      <c r="D98" s="174"/>
      <c r="E98" s="175"/>
    </row>
    <row r="99" spans="1:5">
      <c r="A99" s="694"/>
      <c r="B99" s="173" t="str">
        <f>辅助!L19</f>
        <v/>
      </c>
      <c r="C99" s="174"/>
      <c r="D99" s="174"/>
      <c r="E99" s="175"/>
    </row>
    <row r="100" spans="1:5">
      <c r="A100" s="694"/>
      <c r="B100" s="173" t="str">
        <f>辅助!L20</f>
        <v/>
      </c>
      <c r="C100" s="174"/>
      <c r="D100" s="174"/>
      <c r="E100" s="175"/>
    </row>
    <row r="101" spans="1:5">
      <c r="A101" s="694"/>
      <c r="B101" s="173" t="str">
        <f>辅助!L21</f>
        <v/>
      </c>
      <c r="C101" s="313"/>
      <c r="D101" s="313"/>
      <c r="E101" s="167"/>
    </row>
    <row r="102" spans="1:5">
      <c r="A102" s="694"/>
      <c r="B102" s="173" t="str">
        <f>辅助!L22</f>
        <v/>
      </c>
      <c r="C102" s="313"/>
      <c r="D102" s="313"/>
      <c r="E102" s="167"/>
    </row>
    <row r="103" spans="1:5">
      <c r="A103" s="694"/>
      <c r="B103" s="173" t="str">
        <f>辅助!L23</f>
        <v/>
      </c>
      <c r="C103" s="313"/>
      <c r="D103" s="313"/>
      <c r="E103" s="167"/>
    </row>
    <row r="104" spans="1:5">
      <c r="A104" s="694"/>
      <c r="B104" s="173" t="str">
        <f>辅助!L24</f>
        <v/>
      </c>
      <c r="C104" s="313"/>
      <c r="D104" s="313"/>
      <c r="E104" s="167"/>
    </row>
    <row r="105" spans="1:5">
      <c r="A105" s="694"/>
      <c r="B105" s="173" t="str">
        <f>辅助!L25</f>
        <v/>
      </c>
      <c r="C105" s="313"/>
      <c r="D105" s="313"/>
      <c r="E105" s="167"/>
    </row>
    <row r="106" spans="1:5">
      <c r="A106" s="693" t="s">
        <v>94</v>
      </c>
      <c r="B106" s="695" t="str">
        <f>IF(辅助!N18&gt;0,VLOOKUP(辅助!P18,数据库!C:J,8,0),"")</f>
        <v/>
      </c>
      <c r="C106" s="696"/>
      <c r="D106" s="312">
        <f>IF(辅助!N18=0,0,"签发日期")</f>
        <v>0</v>
      </c>
      <c r="E106" s="51" t="str">
        <f>IF(辅助!N18&gt;0,VLOOKUP(辅助!P18,数据库!C:K,9,0),"")</f>
        <v/>
      </c>
    </row>
    <row r="107" spans="1:5">
      <c r="A107" s="694"/>
      <c r="B107" s="695" t="str">
        <f>IF(辅助!N19&gt;0,VLOOKUP(辅助!P19,数据库!C:J,8,0),"")</f>
        <v/>
      </c>
      <c r="C107" s="696"/>
      <c r="D107" s="312">
        <f>IF(辅助!N19=0,0,"签发日期")</f>
        <v>0</v>
      </c>
      <c r="E107" s="51" t="str">
        <f>IF(辅助!N19&gt;0,VLOOKUP(辅助!P19,数据库!C:K,9,0),"")</f>
        <v/>
      </c>
    </row>
    <row r="108" spans="1:5">
      <c r="A108" s="694"/>
      <c r="B108" s="695" t="str">
        <f>IF(辅助!N20&gt;0,VLOOKUP(辅助!P20,数据库!C:J,8,0),"")</f>
        <v/>
      </c>
      <c r="C108" s="696"/>
      <c r="D108" s="312">
        <f>IF(辅助!N20=0,0,"签发日期")</f>
        <v>0</v>
      </c>
      <c r="E108" s="51" t="str">
        <f>IF(辅助!N20&gt;0,VLOOKUP(辅助!P20,数据库!C:K,9,0),"")</f>
        <v/>
      </c>
    </row>
    <row r="109" spans="1:5">
      <c r="A109" s="694"/>
      <c r="B109" s="695" t="str">
        <f>IF(辅助!N21&gt;0,VLOOKUP(辅助!P21,数据库!C:J,8,0),"")</f>
        <v/>
      </c>
      <c r="C109" s="696"/>
      <c r="D109" s="312">
        <f>IF(辅助!N21=0,0,"签发日期")</f>
        <v>0</v>
      </c>
      <c r="E109" s="51" t="str">
        <f>IF(辅助!N21&gt;0,VLOOKUP(辅助!P21,数据库!C:K,9,0),"")</f>
        <v/>
      </c>
    </row>
    <row r="110" spans="1:5">
      <c r="A110" s="694"/>
      <c r="B110" s="695" t="str">
        <f>IF(辅助!N22&gt;0,VLOOKUP(辅助!P22,数据库!C:J,8,0),"")</f>
        <v/>
      </c>
      <c r="C110" s="696"/>
      <c r="D110" s="312">
        <f>IF(辅助!N22=0,0,"签发日期")</f>
        <v>0</v>
      </c>
      <c r="E110" s="51" t="str">
        <f>IF(辅助!N22&gt;0,VLOOKUP(辅助!P22,数据库!C:K,9,0),"")</f>
        <v/>
      </c>
    </row>
    <row r="111" spans="1:5" ht="12" customHeight="1">
      <c r="A111" s="694"/>
      <c r="B111" s="695" t="str">
        <f>IF(辅助!N23&gt;0,VLOOKUP(辅助!P23,数据库!C:J,8,0),"")</f>
        <v/>
      </c>
      <c r="C111" s="696"/>
      <c r="D111" s="312">
        <f>IF(辅助!N23=0,0,"签发日期")</f>
        <v>0</v>
      </c>
      <c r="E111" s="51" t="str">
        <f>IF(辅助!N23&gt;0,VLOOKUP(辅助!P23,数据库!C:K,9,0),"")</f>
        <v/>
      </c>
    </row>
    <row r="112" spans="1:5">
      <c r="A112" s="694"/>
      <c r="B112" s="695" t="str">
        <f>IF(辅助!N24&gt;0,VLOOKUP(辅助!P24,数据库!C:J,8,0),"")</f>
        <v/>
      </c>
      <c r="C112" s="696"/>
      <c r="D112" s="312">
        <f>IF(辅助!N24=0,0,"签发日期")</f>
        <v>0</v>
      </c>
      <c r="E112" s="51" t="str">
        <f>IF(辅助!N24&gt;0,VLOOKUP(辅助!P24,数据库!C:K,9,0),"")</f>
        <v/>
      </c>
    </row>
    <row r="113" spans="1:5">
      <c r="A113" s="694"/>
      <c r="B113" s="695" t="str">
        <f>IF(辅助!N25&gt;0,VLOOKUP(辅助!P25,数据库!C:J,8,0),"")</f>
        <v/>
      </c>
      <c r="C113" s="696"/>
      <c r="D113" s="312">
        <f>IF(辅助!N25=0,0,"签发日期")</f>
        <v>0</v>
      </c>
      <c r="E113" s="51" t="str">
        <f>IF(辅助!N25&gt;0,VLOOKUP(辅助!P25,数据库!C:K,9,0),"")</f>
        <v/>
      </c>
    </row>
    <row r="114" spans="1:5" ht="36">
      <c r="A114" s="70" t="s">
        <v>91</v>
      </c>
      <c r="B114" s="678" t="s">
        <v>81</v>
      </c>
      <c r="C114" s="679"/>
      <c r="D114" s="679"/>
      <c r="E114" s="680"/>
    </row>
    <row r="115" spans="1:5" ht="26.25" customHeight="1">
      <c r="A115" s="50" t="s">
        <v>87</v>
      </c>
      <c r="B115" s="681" t="s">
        <v>82</v>
      </c>
      <c r="C115" s="682"/>
      <c r="D115" s="682"/>
      <c r="E115" s="683"/>
    </row>
    <row r="116" spans="1:5" ht="27.75" customHeight="1">
      <c r="A116" s="69" t="s">
        <v>88</v>
      </c>
      <c r="B116" s="684" t="s">
        <v>528</v>
      </c>
      <c r="C116" s="685"/>
      <c r="D116" s="685"/>
      <c r="E116" s="686"/>
    </row>
    <row r="117" spans="1:5">
      <c r="A117" s="50" t="s">
        <v>89</v>
      </c>
      <c r="B117" s="687" t="str">
        <f>'Commercial Invoice3'!E15</f>
        <v>UK</v>
      </c>
      <c r="C117" s="688"/>
      <c r="D117" s="688"/>
      <c r="E117" s="689"/>
    </row>
    <row r="118" spans="1:5" ht="74.25" customHeight="1">
      <c r="A118" s="690" t="str">
        <f>A76</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118" s="691"/>
      <c r="C118" s="691"/>
      <c r="D118" s="691"/>
      <c r="E118" s="692"/>
    </row>
    <row r="119" spans="1:5" ht="41.25" customHeight="1">
      <c r="A119" s="690" t="s">
        <v>83</v>
      </c>
      <c r="B119" s="691"/>
      <c r="C119" s="691"/>
      <c r="D119" s="691"/>
      <c r="E119" s="692"/>
    </row>
    <row r="120" spans="1:5">
      <c r="A120" s="669" t="s">
        <v>84</v>
      </c>
      <c r="B120" s="670"/>
      <c r="C120" s="669" t="s">
        <v>85</v>
      </c>
      <c r="D120" s="675"/>
      <c r="E120" s="670"/>
    </row>
    <row r="121" spans="1:5">
      <c r="A121" s="671"/>
      <c r="B121" s="672"/>
      <c r="C121" s="671"/>
      <c r="D121" s="676"/>
      <c r="E121" s="672"/>
    </row>
    <row r="122" spans="1:5">
      <c r="A122" s="671"/>
      <c r="B122" s="672"/>
      <c r="C122" s="671"/>
      <c r="D122" s="676"/>
      <c r="E122" s="672"/>
    </row>
    <row r="123" spans="1:5">
      <c r="A123" s="671"/>
      <c r="B123" s="672"/>
      <c r="C123" s="671"/>
      <c r="D123" s="676"/>
      <c r="E123" s="672"/>
    </row>
    <row r="124" spans="1:5">
      <c r="A124" s="671"/>
      <c r="B124" s="672"/>
      <c r="C124" s="671"/>
      <c r="D124" s="676"/>
      <c r="E124" s="672"/>
    </row>
    <row r="125" spans="1:5">
      <c r="A125" s="671"/>
      <c r="B125" s="672"/>
      <c r="C125" s="671"/>
      <c r="D125" s="676"/>
      <c r="E125" s="672"/>
    </row>
    <row r="126" spans="1:5" ht="27" customHeight="1">
      <c r="A126" s="673"/>
      <c r="B126" s="674"/>
      <c r="C126" s="673"/>
      <c r="D126" s="677"/>
      <c r="E126" s="674"/>
    </row>
    <row r="127" spans="1:5" ht="39" customHeight="1">
      <c r="A127" s="699" t="s">
        <v>76</v>
      </c>
      <c r="B127" s="700"/>
      <c r="C127" s="700"/>
      <c r="D127" s="700"/>
      <c r="E127" s="700"/>
    </row>
    <row r="128" spans="1:5">
      <c r="A128" s="69" t="s">
        <v>77</v>
      </c>
      <c r="B128" s="687" t="s">
        <v>92</v>
      </c>
      <c r="C128" s="688"/>
      <c r="D128" s="688"/>
      <c r="E128" s="689"/>
    </row>
    <row r="129" spans="1:5">
      <c r="A129" s="69" t="s">
        <v>78</v>
      </c>
      <c r="B129" s="701" t="s">
        <v>110</v>
      </c>
      <c r="C129" s="702"/>
      <c r="D129" s="702"/>
      <c r="E129" s="703"/>
    </row>
    <row r="130" spans="1:5">
      <c r="A130" s="69" t="s">
        <v>79</v>
      </c>
      <c r="B130" s="687" t="s">
        <v>74</v>
      </c>
      <c r="C130" s="688"/>
      <c r="D130" s="688"/>
      <c r="E130" s="689"/>
    </row>
    <row r="131" spans="1:5">
      <c r="A131" s="69" t="s">
        <v>86</v>
      </c>
      <c r="B131" s="704" t="str">
        <f>B89</f>
        <v>2786337676</v>
      </c>
      <c r="C131" s="705"/>
      <c r="D131" s="705"/>
      <c r="E131" s="706"/>
    </row>
    <row r="132" spans="1:5" ht="12.75" customHeight="1">
      <c r="A132" s="697" t="s">
        <v>90</v>
      </c>
      <c r="B132" s="89" t="str">
        <f>辅助!P26</f>
        <v/>
      </c>
      <c r="C132" s="90"/>
      <c r="D132" s="90"/>
      <c r="E132" s="91"/>
    </row>
    <row r="133" spans="1:5" ht="12.75" customHeight="1">
      <c r="A133" s="698"/>
      <c r="B133" s="89" t="str">
        <f>辅助!P27</f>
        <v/>
      </c>
      <c r="C133" s="90"/>
      <c r="D133" s="90"/>
      <c r="E133" s="91"/>
    </row>
    <row r="134" spans="1:5" ht="12.75" customHeight="1">
      <c r="A134" s="698"/>
      <c r="B134" s="89" t="str">
        <f>辅助!P28</f>
        <v/>
      </c>
      <c r="C134" s="90"/>
      <c r="D134" s="90"/>
      <c r="E134" s="91"/>
    </row>
    <row r="135" spans="1:5" ht="12.75" customHeight="1">
      <c r="A135" s="698"/>
      <c r="B135" s="89" t="str">
        <f>辅助!P29</f>
        <v/>
      </c>
      <c r="C135" s="90"/>
      <c r="D135" s="90"/>
      <c r="E135" s="91"/>
    </row>
    <row r="136" spans="1:5" ht="12.75" customHeight="1">
      <c r="A136" s="698"/>
      <c r="B136" s="89" t="str">
        <f>辅助!P30</f>
        <v/>
      </c>
      <c r="C136" s="90"/>
      <c r="D136" s="90"/>
      <c r="E136" s="91"/>
    </row>
    <row r="137" spans="1:5" ht="12.75" customHeight="1">
      <c r="A137" s="698"/>
      <c r="B137" s="89" t="str">
        <f>辅助!P31</f>
        <v/>
      </c>
      <c r="C137" s="90"/>
      <c r="D137" s="90"/>
      <c r="E137" s="91"/>
    </row>
    <row r="138" spans="1:5" ht="12.75" customHeight="1">
      <c r="A138" s="698"/>
      <c r="B138" s="89" t="str">
        <f>辅助!P32</f>
        <v/>
      </c>
      <c r="C138" s="90"/>
      <c r="D138" s="90"/>
      <c r="E138" s="91"/>
    </row>
    <row r="139" spans="1:5" ht="12.75" customHeight="1">
      <c r="A139" s="698"/>
      <c r="B139" s="89" t="str">
        <f>辅助!P33</f>
        <v/>
      </c>
      <c r="C139" s="90"/>
      <c r="D139" s="90"/>
      <c r="E139" s="91"/>
    </row>
    <row r="140" spans="1:5">
      <c r="A140" s="693" t="s">
        <v>93</v>
      </c>
      <c r="B140" s="173" t="str">
        <f>辅助!L26</f>
        <v/>
      </c>
      <c r="C140" s="174"/>
      <c r="D140" s="174"/>
      <c r="E140" s="175"/>
    </row>
    <row r="141" spans="1:5">
      <c r="A141" s="694"/>
      <c r="B141" s="173" t="str">
        <f>辅助!L27</f>
        <v/>
      </c>
      <c r="C141" s="174"/>
      <c r="D141" s="174"/>
      <c r="E141" s="175"/>
    </row>
    <row r="142" spans="1:5">
      <c r="A142" s="694"/>
      <c r="B142" s="173" t="str">
        <f>辅助!L28</f>
        <v/>
      </c>
      <c r="C142" s="174"/>
      <c r="D142" s="174"/>
      <c r="E142" s="175"/>
    </row>
    <row r="143" spans="1:5">
      <c r="A143" s="694"/>
      <c r="B143" s="173" t="str">
        <f>辅助!L29</f>
        <v/>
      </c>
      <c r="C143" s="313"/>
      <c r="D143" s="313"/>
      <c r="E143" s="167"/>
    </row>
    <row r="144" spans="1:5">
      <c r="A144" s="694"/>
      <c r="B144" s="173" t="str">
        <f>辅助!L30</f>
        <v/>
      </c>
      <c r="C144" s="313"/>
      <c r="D144" s="313"/>
      <c r="E144" s="167"/>
    </row>
    <row r="145" spans="1:5">
      <c r="A145" s="694"/>
      <c r="B145" s="173" t="str">
        <f>辅助!L31</f>
        <v/>
      </c>
      <c r="C145" s="313"/>
      <c r="D145" s="313"/>
      <c r="E145" s="167"/>
    </row>
    <row r="146" spans="1:5">
      <c r="A146" s="694"/>
      <c r="B146" s="173" t="str">
        <f>辅助!L32</f>
        <v/>
      </c>
      <c r="C146" s="313"/>
      <c r="D146" s="313"/>
      <c r="E146" s="167"/>
    </row>
    <row r="147" spans="1:5">
      <c r="A147" s="694"/>
      <c r="B147" s="173" t="str">
        <f>辅助!L33</f>
        <v/>
      </c>
      <c r="C147" s="313"/>
      <c r="D147" s="313"/>
      <c r="E147" s="167"/>
    </row>
    <row r="148" spans="1:5">
      <c r="A148" s="693" t="s">
        <v>94</v>
      </c>
      <c r="B148" s="695" t="str">
        <f>IF(辅助!N26&gt;0,VLOOKUP(辅助!P26,数据库!C:J,8,0),"")</f>
        <v/>
      </c>
      <c r="C148" s="696"/>
      <c r="D148" s="312">
        <f>IF(辅助!N26=0,0,"签发日期")</f>
        <v>0</v>
      </c>
      <c r="E148" s="51" t="str">
        <f>IF(辅助!N26&gt;0,VLOOKUP(辅助!P26,数据库!C:K,9,0),"")</f>
        <v/>
      </c>
    </row>
    <row r="149" spans="1:5">
      <c r="A149" s="694"/>
      <c r="B149" s="695" t="str">
        <f>IF(辅助!N27&gt;0,VLOOKUP(辅助!P27,数据库!C:J,8,0),"")</f>
        <v/>
      </c>
      <c r="C149" s="696"/>
      <c r="D149" s="312">
        <f>IF(辅助!N27=0,0,"签发日期")</f>
        <v>0</v>
      </c>
      <c r="E149" s="51" t="str">
        <f>IF(辅助!N27&gt;0,VLOOKUP(辅助!P27,数据库!C:K,9,0),"")</f>
        <v/>
      </c>
    </row>
    <row r="150" spans="1:5">
      <c r="A150" s="694"/>
      <c r="B150" s="695" t="str">
        <f>IF(辅助!N28&gt;0,VLOOKUP(辅助!P28,数据库!C:J,8,0),"")</f>
        <v/>
      </c>
      <c r="C150" s="696"/>
      <c r="D150" s="312">
        <f>IF(辅助!N28=0,0,"签发日期")</f>
        <v>0</v>
      </c>
      <c r="E150" s="51" t="str">
        <f>IF(辅助!N28&gt;0,VLOOKUP(辅助!P28,数据库!C:K,9,0),"")</f>
        <v/>
      </c>
    </row>
    <row r="151" spans="1:5">
      <c r="A151" s="694"/>
      <c r="B151" s="695" t="str">
        <f>IF(辅助!N29&gt;0,VLOOKUP(辅助!P29,数据库!C:J,8,0),"")</f>
        <v/>
      </c>
      <c r="C151" s="696"/>
      <c r="D151" s="312">
        <f>IF(辅助!N29=0,0,"签发日期")</f>
        <v>0</v>
      </c>
      <c r="E151" s="51" t="str">
        <f>IF(辅助!N29&gt;0,VLOOKUP(辅助!P29,数据库!C:K,9,0),"")</f>
        <v/>
      </c>
    </row>
    <row r="152" spans="1:5">
      <c r="A152" s="694"/>
      <c r="B152" s="695" t="str">
        <f>IF(辅助!N30&gt;0,VLOOKUP(辅助!P30,数据库!C:J,8,0),"")</f>
        <v/>
      </c>
      <c r="C152" s="696"/>
      <c r="D152" s="312">
        <f>IF(辅助!N30=0,0,"签发日期")</f>
        <v>0</v>
      </c>
      <c r="E152" s="51" t="str">
        <f>IF(辅助!N30&gt;0,VLOOKUP(辅助!P30,数据库!C:K,9,0),"")</f>
        <v/>
      </c>
    </row>
    <row r="153" spans="1:5" ht="12" customHeight="1">
      <c r="A153" s="694"/>
      <c r="B153" s="695" t="str">
        <f>IF(辅助!N31&gt;0,VLOOKUP(辅助!P31,数据库!C:J,8,0),"")</f>
        <v/>
      </c>
      <c r="C153" s="696"/>
      <c r="D153" s="312">
        <f>IF(辅助!N31=0,0,"签发日期")</f>
        <v>0</v>
      </c>
      <c r="E153" s="51" t="str">
        <f>IF(辅助!N31&gt;0,VLOOKUP(辅助!P31,数据库!C:K,9,0),"")</f>
        <v/>
      </c>
    </row>
    <row r="154" spans="1:5">
      <c r="A154" s="694"/>
      <c r="B154" s="695" t="str">
        <f>IF(辅助!N32&gt;0,VLOOKUP(辅助!P32,数据库!C:J,8,0),"")</f>
        <v/>
      </c>
      <c r="C154" s="696"/>
      <c r="D154" s="312">
        <f>IF(辅助!N32=0,0,"签发日期")</f>
        <v>0</v>
      </c>
      <c r="E154" s="51" t="str">
        <f>IF(辅助!N32&gt;0,VLOOKUP(辅助!P32,数据库!C:K,9,0),"")</f>
        <v/>
      </c>
    </row>
    <row r="155" spans="1:5">
      <c r="A155" s="694"/>
      <c r="B155" s="695" t="str">
        <f>IF(辅助!N33&gt;0,VLOOKUP(辅助!P33,数据库!C:J,8,0),"")</f>
        <v/>
      </c>
      <c r="C155" s="696"/>
      <c r="D155" s="312">
        <f>IF(辅助!N33=0,0,"签发日期")</f>
        <v>0</v>
      </c>
      <c r="E155" s="51" t="str">
        <f>IF(辅助!N33&gt;0,VLOOKUP(辅助!P33,数据库!C:K,9,0),"")</f>
        <v/>
      </c>
    </row>
    <row r="156" spans="1:5" ht="36">
      <c r="A156" s="70" t="s">
        <v>91</v>
      </c>
      <c r="B156" s="678" t="s">
        <v>81</v>
      </c>
      <c r="C156" s="679"/>
      <c r="D156" s="679"/>
      <c r="E156" s="680"/>
    </row>
    <row r="157" spans="1:5" ht="26.25" customHeight="1">
      <c r="A157" s="50" t="s">
        <v>87</v>
      </c>
      <c r="B157" s="681" t="s">
        <v>82</v>
      </c>
      <c r="C157" s="682"/>
      <c r="D157" s="682"/>
      <c r="E157" s="683"/>
    </row>
    <row r="158" spans="1:5" ht="27.75" customHeight="1">
      <c r="A158" s="69" t="s">
        <v>88</v>
      </c>
      <c r="B158" s="684" t="s">
        <v>528</v>
      </c>
      <c r="C158" s="685"/>
      <c r="D158" s="685"/>
      <c r="E158" s="686"/>
    </row>
    <row r="159" spans="1:5">
      <c r="A159" s="50" t="s">
        <v>89</v>
      </c>
      <c r="B159" s="687" t="str">
        <f>B117</f>
        <v>UK</v>
      </c>
      <c r="C159" s="688"/>
      <c r="D159" s="688"/>
      <c r="E159" s="689"/>
    </row>
    <row r="160" spans="1:5" ht="74.25" customHeight="1">
      <c r="A160" s="690" t="str">
        <f>A118</f>
        <v>我公司委托DHL承运的该类货物，无爆炸、无氧化、无腐蚀、无放射性、非易燃、非有毒有害、非用于制造化学武器的原料，经上海市计量测试技术研究院鉴定，无危险性，可按普通货物条件运输，包装符合要求。The shipment that I consign by DHL does not contain the explosive, oxidation, corrosives, radioactive, flammable, toxic and infectious substance and the material for the chemical weapon. After Shanghai Institute of measurement and testing technology_testing, the shipment without fatalness can be transported as the general cargo and the packaging meets the transportation requirement</v>
      </c>
      <c r="B160" s="691"/>
      <c r="C160" s="691"/>
      <c r="D160" s="691"/>
      <c r="E160" s="692"/>
    </row>
    <row r="161" spans="1:5" ht="41.25" customHeight="1">
      <c r="A161" s="690" t="s">
        <v>83</v>
      </c>
      <c r="B161" s="691"/>
      <c r="C161" s="691"/>
      <c r="D161" s="691"/>
      <c r="E161" s="692"/>
    </row>
    <row r="162" spans="1:5">
      <c r="A162" s="669" t="s">
        <v>84</v>
      </c>
      <c r="B162" s="670"/>
      <c r="C162" s="669" t="s">
        <v>85</v>
      </c>
      <c r="D162" s="675"/>
      <c r="E162" s="670"/>
    </row>
    <row r="163" spans="1:5">
      <c r="A163" s="671"/>
      <c r="B163" s="672"/>
      <c r="C163" s="671"/>
      <c r="D163" s="676"/>
      <c r="E163" s="672"/>
    </row>
    <row r="164" spans="1:5">
      <c r="A164" s="671"/>
      <c r="B164" s="672"/>
      <c r="C164" s="671"/>
      <c r="D164" s="676"/>
      <c r="E164" s="672"/>
    </row>
    <row r="165" spans="1:5">
      <c r="A165" s="671"/>
      <c r="B165" s="672"/>
      <c r="C165" s="671"/>
      <c r="D165" s="676"/>
      <c r="E165" s="672"/>
    </row>
    <row r="166" spans="1:5">
      <c r="A166" s="671"/>
      <c r="B166" s="672"/>
      <c r="C166" s="671"/>
      <c r="D166" s="676"/>
      <c r="E166" s="672"/>
    </row>
    <row r="167" spans="1:5">
      <c r="A167" s="671"/>
      <c r="B167" s="672"/>
      <c r="C167" s="671"/>
      <c r="D167" s="676"/>
      <c r="E167" s="672"/>
    </row>
    <row r="168" spans="1:5">
      <c r="A168" s="673"/>
      <c r="B168" s="674"/>
      <c r="C168" s="673"/>
      <c r="D168" s="677"/>
      <c r="E168" s="674"/>
    </row>
  </sheetData>
  <mergeCells count="96">
    <mergeCell ref="A6:A13"/>
    <mergeCell ref="A1:E1"/>
    <mergeCell ref="B2:E2"/>
    <mergeCell ref="B3:E3"/>
    <mergeCell ref="B4:E4"/>
    <mergeCell ref="B5:E5"/>
    <mergeCell ref="A14:A21"/>
    <mergeCell ref="A22:A29"/>
    <mergeCell ref="B22:C22"/>
    <mergeCell ref="B23:C23"/>
    <mergeCell ref="B24:C24"/>
    <mergeCell ref="B25:C25"/>
    <mergeCell ref="B26:C26"/>
    <mergeCell ref="B27:C27"/>
    <mergeCell ref="B28:C28"/>
    <mergeCell ref="B29:C29"/>
    <mergeCell ref="B46:E46"/>
    <mergeCell ref="B30:E30"/>
    <mergeCell ref="B31:E31"/>
    <mergeCell ref="B32:E32"/>
    <mergeCell ref="B33:E33"/>
    <mergeCell ref="A34:E34"/>
    <mergeCell ref="A35:E35"/>
    <mergeCell ref="A36:B42"/>
    <mergeCell ref="C36:E42"/>
    <mergeCell ref="A43:E43"/>
    <mergeCell ref="B44:E44"/>
    <mergeCell ref="B45:E45"/>
    <mergeCell ref="B47:E47"/>
    <mergeCell ref="A48:A55"/>
    <mergeCell ref="A56:A63"/>
    <mergeCell ref="A64:A71"/>
    <mergeCell ref="B64:C64"/>
    <mergeCell ref="B65:C65"/>
    <mergeCell ref="B66:C66"/>
    <mergeCell ref="B67:C67"/>
    <mergeCell ref="B68:C68"/>
    <mergeCell ref="B69:C69"/>
    <mergeCell ref="B86:E86"/>
    <mergeCell ref="B70:C70"/>
    <mergeCell ref="B71:C71"/>
    <mergeCell ref="B72:E72"/>
    <mergeCell ref="B73:E73"/>
    <mergeCell ref="B74:E74"/>
    <mergeCell ref="B75:E75"/>
    <mergeCell ref="A76:E76"/>
    <mergeCell ref="A77:E77"/>
    <mergeCell ref="A78:B84"/>
    <mergeCell ref="C78:E84"/>
    <mergeCell ref="A85:E85"/>
    <mergeCell ref="B115:E115"/>
    <mergeCell ref="B87:E87"/>
    <mergeCell ref="B88:E88"/>
    <mergeCell ref="B89:E89"/>
    <mergeCell ref="A90:A97"/>
    <mergeCell ref="A98:A105"/>
    <mergeCell ref="A106:A113"/>
    <mergeCell ref="B106:C106"/>
    <mergeCell ref="B107:C107"/>
    <mergeCell ref="B108:C108"/>
    <mergeCell ref="B109:C109"/>
    <mergeCell ref="B110:C110"/>
    <mergeCell ref="B111:C111"/>
    <mergeCell ref="B112:C112"/>
    <mergeCell ref="B113:C113"/>
    <mergeCell ref="B114:E114"/>
    <mergeCell ref="A132:A139"/>
    <mergeCell ref="B116:E116"/>
    <mergeCell ref="B117:E117"/>
    <mergeCell ref="A118:E118"/>
    <mergeCell ref="A119:E119"/>
    <mergeCell ref="A120:B126"/>
    <mergeCell ref="C120:E126"/>
    <mergeCell ref="A127:E127"/>
    <mergeCell ref="B128:E128"/>
    <mergeCell ref="B129:E129"/>
    <mergeCell ref="B130:E130"/>
    <mergeCell ref="B131:E131"/>
    <mergeCell ref="A140:A147"/>
    <mergeCell ref="A148:A155"/>
    <mergeCell ref="B148:C148"/>
    <mergeCell ref="B149:C149"/>
    <mergeCell ref="B150:C150"/>
    <mergeCell ref="B151:C151"/>
    <mergeCell ref="B152:C152"/>
    <mergeCell ref="B153:C153"/>
    <mergeCell ref="B154:C154"/>
    <mergeCell ref="B155:C155"/>
    <mergeCell ref="A162:B168"/>
    <mergeCell ref="C162:E168"/>
    <mergeCell ref="B156:E156"/>
    <mergeCell ref="B157:E157"/>
    <mergeCell ref="B158:E158"/>
    <mergeCell ref="B159:E159"/>
    <mergeCell ref="A160:E160"/>
    <mergeCell ref="A161:E161"/>
  </mergeCells>
  <phoneticPr fontId="1" type="noConversion"/>
  <conditionalFormatting sqref="B6:E29 B48:E71">
    <cfRule type="cellIs" dxfId="49" priority="13" operator="equal">
      <formula>0</formula>
    </cfRule>
  </conditionalFormatting>
  <conditionalFormatting sqref="C90:E105">
    <cfRule type="cellIs" dxfId="48" priority="12" operator="equal">
      <formula>0</formula>
    </cfRule>
  </conditionalFormatting>
  <conditionalFormatting sqref="B90:B97">
    <cfRule type="cellIs" dxfId="47" priority="11" operator="equal">
      <formula>0</formula>
    </cfRule>
  </conditionalFormatting>
  <conditionalFormatting sqref="B98:B105">
    <cfRule type="cellIs" dxfId="46" priority="10" operator="equal">
      <formula>0</formula>
    </cfRule>
  </conditionalFormatting>
  <conditionalFormatting sqref="B106:C113">
    <cfRule type="cellIs" dxfId="45" priority="9" operator="equal">
      <formula>0</formula>
    </cfRule>
  </conditionalFormatting>
  <conditionalFormatting sqref="D106:D113">
    <cfRule type="cellIs" dxfId="44" priority="8" operator="equal">
      <formula>0</formula>
    </cfRule>
  </conditionalFormatting>
  <conditionalFormatting sqref="E106:E113">
    <cfRule type="cellIs" dxfId="43" priority="7" operator="equal">
      <formula>0</formula>
    </cfRule>
  </conditionalFormatting>
  <conditionalFormatting sqref="C132:E147">
    <cfRule type="cellIs" dxfId="42" priority="6" operator="equal">
      <formula>0</formula>
    </cfRule>
  </conditionalFormatting>
  <conditionalFormatting sqref="B132:B139">
    <cfRule type="cellIs" dxfId="41" priority="5" operator="equal">
      <formula>0</formula>
    </cfRule>
  </conditionalFormatting>
  <conditionalFormatting sqref="B140:B147">
    <cfRule type="cellIs" dxfId="40" priority="4" operator="equal">
      <formula>0</formula>
    </cfRule>
  </conditionalFormatting>
  <conditionalFormatting sqref="B148:C155">
    <cfRule type="cellIs" dxfId="39" priority="3" operator="equal">
      <formula>0</formula>
    </cfRule>
  </conditionalFormatting>
  <conditionalFormatting sqref="D148:D155">
    <cfRule type="cellIs" dxfId="38" priority="2" operator="equal">
      <formula>0</formula>
    </cfRule>
  </conditionalFormatting>
  <conditionalFormatting sqref="E148:E155">
    <cfRule type="cellIs" dxfId="37" priority="1" operator="equal">
      <formula>0</formula>
    </cfRule>
  </conditionalFormatting>
  <pageMargins left="0.59055118110236227" right="0.19685039370078741" top="0.31496062992125984" bottom="0" header="0.51181102362204722" footer="0.51181102362204722"/>
  <pageSetup paperSize="9" orientation="portrait" horizontalDpi="4294967295" verticalDpi="4294967295" r:id="rId1"/>
  <rowBreaks count="2" manualBreakCount="2">
    <brk id="42" max="16383" man="1"/>
    <brk id="84"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2:S204"/>
  <sheetViews>
    <sheetView topLeftCell="AR1" zoomScaleNormal="100" workbookViewId="0">
      <selection activeCell="C36" sqref="C36"/>
    </sheetView>
  </sheetViews>
  <sheetFormatPr defaultRowHeight="14.25"/>
  <cols>
    <col min="1" max="1" width="9" style="72"/>
    <col min="2" max="2" width="7.125" style="72" customWidth="1"/>
    <col min="3" max="19" width="3.625" style="72" customWidth="1"/>
    <col min="20" max="257" width="9" style="72"/>
    <col min="258" max="258" width="7.125" style="72" customWidth="1"/>
    <col min="259" max="275" width="3.625" style="72" customWidth="1"/>
    <col min="276" max="513" width="9" style="72"/>
    <col min="514" max="514" width="7.125" style="72" customWidth="1"/>
    <col min="515" max="531" width="3.625" style="72" customWidth="1"/>
    <col min="532" max="769" width="9" style="72"/>
    <col min="770" max="770" width="7.125" style="72" customWidth="1"/>
    <col min="771" max="787" width="3.625" style="72" customWidth="1"/>
    <col min="788" max="1025" width="9" style="72"/>
    <col min="1026" max="1026" width="7.125" style="72" customWidth="1"/>
    <col min="1027" max="1043" width="3.625" style="72" customWidth="1"/>
    <col min="1044" max="1281" width="9" style="72"/>
    <col min="1282" max="1282" width="7.125" style="72" customWidth="1"/>
    <col min="1283" max="1299" width="3.625" style="72" customWidth="1"/>
    <col min="1300" max="1537" width="9" style="72"/>
    <col min="1538" max="1538" width="7.125" style="72" customWidth="1"/>
    <col min="1539" max="1555" width="3.625" style="72" customWidth="1"/>
    <col min="1556" max="1793" width="9" style="72"/>
    <col min="1794" max="1794" width="7.125" style="72" customWidth="1"/>
    <col min="1795" max="1811" width="3.625" style="72" customWidth="1"/>
    <col min="1812" max="2049" width="9" style="72"/>
    <col min="2050" max="2050" width="7.125" style="72" customWidth="1"/>
    <col min="2051" max="2067" width="3.625" style="72" customWidth="1"/>
    <col min="2068" max="2305" width="9" style="72"/>
    <col min="2306" max="2306" width="7.125" style="72" customWidth="1"/>
    <col min="2307" max="2323" width="3.625" style="72" customWidth="1"/>
    <col min="2324" max="2561" width="9" style="72"/>
    <col min="2562" max="2562" width="7.125" style="72" customWidth="1"/>
    <col min="2563" max="2579" width="3.625" style="72" customWidth="1"/>
    <col min="2580" max="2817" width="9" style="72"/>
    <col min="2818" max="2818" width="7.125" style="72" customWidth="1"/>
    <col min="2819" max="2835" width="3.625" style="72" customWidth="1"/>
    <col min="2836" max="3073" width="9" style="72"/>
    <col min="3074" max="3074" width="7.125" style="72" customWidth="1"/>
    <col min="3075" max="3091" width="3.625" style="72" customWidth="1"/>
    <col min="3092" max="3329" width="9" style="72"/>
    <col min="3330" max="3330" width="7.125" style="72" customWidth="1"/>
    <col min="3331" max="3347" width="3.625" style="72" customWidth="1"/>
    <col min="3348" max="3585" width="9" style="72"/>
    <col min="3586" max="3586" width="7.125" style="72" customWidth="1"/>
    <col min="3587" max="3603" width="3.625" style="72" customWidth="1"/>
    <col min="3604" max="3841" width="9" style="72"/>
    <col min="3842" max="3842" width="7.125" style="72" customWidth="1"/>
    <col min="3843" max="3859" width="3.625" style="72" customWidth="1"/>
    <col min="3860" max="4097" width="9" style="72"/>
    <col min="4098" max="4098" width="7.125" style="72" customWidth="1"/>
    <col min="4099" max="4115" width="3.625" style="72" customWidth="1"/>
    <col min="4116" max="4353" width="9" style="72"/>
    <col min="4354" max="4354" width="7.125" style="72" customWidth="1"/>
    <col min="4355" max="4371" width="3.625" style="72" customWidth="1"/>
    <col min="4372" max="4609" width="9" style="72"/>
    <col min="4610" max="4610" width="7.125" style="72" customWidth="1"/>
    <col min="4611" max="4627" width="3.625" style="72" customWidth="1"/>
    <col min="4628" max="4865" width="9" style="72"/>
    <col min="4866" max="4866" width="7.125" style="72" customWidth="1"/>
    <col min="4867" max="4883" width="3.625" style="72" customWidth="1"/>
    <col min="4884" max="5121" width="9" style="72"/>
    <col min="5122" max="5122" width="7.125" style="72" customWidth="1"/>
    <col min="5123" max="5139" width="3.625" style="72" customWidth="1"/>
    <col min="5140" max="5377" width="9" style="72"/>
    <col min="5378" max="5378" width="7.125" style="72" customWidth="1"/>
    <col min="5379" max="5395" width="3.625" style="72" customWidth="1"/>
    <col min="5396" max="5633" width="9" style="72"/>
    <col min="5634" max="5634" width="7.125" style="72" customWidth="1"/>
    <col min="5635" max="5651" width="3.625" style="72" customWidth="1"/>
    <col min="5652" max="5889" width="9" style="72"/>
    <col min="5890" max="5890" width="7.125" style="72" customWidth="1"/>
    <col min="5891" max="5907" width="3.625" style="72" customWidth="1"/>
    <col min="5908" max="6145" width="9" style="72"/>
    <col min="6146" max="6146" width="7.125" style="72" customWidth="1"/>
    <col min="6147" max="6163" width="3.625" style="72" customWidth="1"/>
    <col min="6164" max="6401" width="9" style="72"/>
    <col min="6402" max="6402" width="7.125" style="72" customWidth="1"/>
    <col min="6403" max="6419" width="3.625" style="72" customWidth="1"/>
    <col min="6420" max="6657" width="9" style="72"/>
    <col min="6658" max="6658" width="7.125" style="72" customWidth="1"/>
    <col min="6659" max="6675" width="3.625" style="72" customWidth="1"/>
    <col min="6676" max="6913" width="9" style="72"/>
    <col min="6914" max="6914" width="7.125" style="72" customWidth="1"/>
    <col min="6915" max="6931" width="3.625" style="72" customWidth="1"/>
    <col min="6932" max="7169" width="9" style="72"/>
    <col min="7170" max="7170" width="7.125" style="72" customWidth="1"/>
    <col min="7171" max="7187" width="3.625" style="72" customWidth="1"/>
    <col min="7188" max="7425" width="9" style="72"/>
    <col min="7426" max="7426" width="7.125" style="72" customWidth="1"/>
    <col min="7427" max="7443" width="3.625" style="72" customWidth="1"/>
    <col min="7444" max="7681" width="9" style="72"/>
    <col min="7682" max="7682" width="7.125" style="72" customWidth="1"/>
    <col min="7683" max="7699" width="3.625" style="72" customWidth="1"/>
    <col min="7700" max="7937" width="9" style="72"/>
    <col min="7938" max="7938" width="7.125" style="72" customWidth="1"/>
    <col min="7939" max="7955" width="3.625" style="72" customWidth="1"/>
    <col min="7956" max="8193" width="9" style="72"/>
    <col min="8194" max="8194" width="7.125" style="72" customWidth="1"/>
    <col min="8195" max="8211" width="3.625" style="72" customWidth="1"/>
    <col min="8212" max="8449" width="9" style="72"/>
    <col min="8450" max="8450" width="7.125" style="72" customWidth="1"/>
    <col min="8451" max="8467" width="3.625" style="72" customWidth="1"/>
    <col min="8468" max="8705" width="9" style="72"/>
    <col min="8706" max="8706" width="7.125" style="72" customWidth="1"/>
    <col min="8707" max="8723" width="3.625" style="72" customWidth="1"/>
    <col min="8724" max="8961" width="9" style="72"/>
    <col min="8962" max="8962" width="7.125" style="72" customWidth="1"/>
    <col min="8963" max="8979" width="3.625" style="72" customWidth="1"/>
    <col min="8980" max="9217" width="9" style="72"/>
    <col min="9218" max="9218" width="7.125" style="72" customWidth="1"/>
    <col min="9219" max="9235" width="3.625" style="72" customWidth="1"/>
    <col min="9236" max="9473" width="9" style="72"/>
    <col min="9474" max="9474" width="7.125" style="72" customWidth="1"/>
    <col min="9475" max="9491" width="3.625" style="72" customWidth="1"/>
    <col min="9492" max="9729" width="9" style="72"/>
    <col min="9730" max="9730" width="7.125" style="72" customWidth="1"/>
    <col min="9731" max="9747" width="3.625" style="72" customWidth="1"/>
    <col min="9748" max="9985" width="9" style="72"/>
    <col min="9986" max="9986" width="7.125" style="72" customWidth="1"/>
    <col min="9987" max="10003" width="3.625" style="72" customWidth="1"/>
    <col min="10004" max="10241" width="9" style="72"/>
    <col min="10242" max="10242" width="7.125" style="72" customWidth="1"/>
    <col min="10243" max="10259" width="3.625" style="72" customWidth="1"/>
    <col min="10260" max="10497" width="9" style="72"/>
    <col min="10498" max="10498" width="7.125" style="72" customWidth="1"/>
    <col min="10499" max="10515" width="3.625" style="72" customWidth="1"/>
    <col min="10516" max="10753" width="9" style="72"/>
    <col min="10754" max="10754" width="7.125" style="72" customWidth="1"/>
    <col min="10755" max="10771" width="3.625" style="72" customWidth="1"/>
    <col min="10772" max="11009" width="9" style="72"/>
    <col min="11010" max="11010" width="7.125" style="72" customWidth="1"/>
    <col min="11011" max="11027" width="3.625" style="72" customWidth="1"/>
    <col min="11028" max="11265" width="9" style="72"/>
    <col min="11266" max="11266" width="7.125" style="72" customWidth="1"/>
    <col min="11267" max="11283" width="3.625" style="72" customWidth="1"/>
    <col min="11284" max="11521" width="9" style="72"/>
    <col min="11522" max="11522" width="7.125" style="72" customWidth="1"/>
    <col min="11523" max="11539" width="3.625" style="72" customWidth="1"/>
    <col min="11540" max="11777" width="9" style="72"/>
    <col min="11778" max="11778" width="7.125" style="72" customWidth="1"/>
    <col min="11779" max="11795" width="3.625" style="72" customWidth="1"/>
    <col min="11796" max="12033" width="9" style="72"/>
    <col min="12034" max="12034" width="7.125" style="72" customWidth="1"/>
    <col min="12035" max="12051" width="3.625" style="72" customWidth="1"/>
    <col min="12052" max="12289" width="9" style="72"/>
    <col min="12290" max="12290" width="7.125" style="72" customWidth="1"/>
    <col min="12291" max="12307" width="3.625" style="72" customWidth="1"/>
    <col min="12308" max="12545" width="9" style="72"/>
    <col min="12546" max="12546" width="7.125" style="72" customWidth="1"/>
    <col min="12547" max="12563" width="3.625" style="72" customWidth="1"/>
    <col min="12564" max="12801" width="9" style="72"/>
    <col min="12802" max="12802" width="7.125" style="72" customWidth="1"/>
    <col min="12803" max="12819" width="3.625" style="72" customWidth="1"/>
    <col min="12820" max="13057" width="9" style="72"/>
    <col min="13058" max="13058" width="7.125" style="72" customWidth="1"/>
    <col min="13059" max="13075" width="3.625" style="72" customWidth="1"/>
    <col min="13076" max="13313" width="9" style="72"/>
    <col min="13314" max="13314" width="7.125" style="72" customWidth="1"/>
    <col min="13315" max="13331" width="3.625" style="72" customWidth="1"/>
    <col min="13332" max="13569" width="9" style="72"/>
    <col min="13570" max="13570" width="7.125" style="72" customWidth="1"/>
    <col min="13571" max="13587" width="3.625" style="72" customWidth="1"/>
    <col min="13588" max="13825" width="9" style="72"/>
    <col min="13826" max="13826" width="7.125" style="72" customWidth="1"/>
    <col min="13827" max="13843" width="3.625" style="72" customWidth="1"/>
    <col min="13844" max="14081" width="9" style="72"/>
    <col min="14082" max="14082" width="7.125" style="72" customWidth="1"/>
    <col min="14083" max="14099" width="3.625" style="72" customWidth="1"/>
    <col min="14100" max="14337" width="9" style="72"/>
    <col min="14338" max="14338" width="7.125" style="72" customWidth="1"/>
    <col min="14339" max="14355" width="3.625" style="72" customWidth="1"/>
    <col min="14356" max="14593" width="9" style="72"/>
    <col min="14594" max="14594" width="7.125" style="72" customWidth="1"/>
    <col min="14595" max="14611" width="3.625" style="72" customWidth="1"/>
    <col min="14612" max="14849" width="9" style="72"/>
    <col min="14850" max="14850" width="7.125" style="72" customWidth="1"/>
    <col min="14851" max="14867" width="3.625" style="72" customWidth="1"/>
    <col min="14868" max="15105" width="9" style="72"/>
    <col min="15106" max="15106" width="7.125" style="72" customWidth="1"/>
    <col min="15107" max="15123" width="3.625" style="72" customWidth="1"/>
    <col min="15124" max="15361" width="9" style="72"/>
    <col min="15362" max="15362" width="7.125" style="72" customWidth="1"/>
    <col min="15363" max="15379" width="3.625" style="72" customWidth="1"/>
    <col min="15380" max="15617" width="9" style="72"/>
    <col min="15618" max="15618" width="7.125" style="72" customWidth="1"/>
    <col min="15619" max="15635" width="3.625" style="72" customWidth="1"/>
    <col min="15636" max="15873" width="9" style="72"/>
    <col min="15874" max="15874" width="7.125" style="72" customWidth="1"/>
    <col min="15875" max="15891" width="3.625" style="72" customWidth="1"/>
    <col min="15892" max="16129" width="9" style="72"/>
    <col min="16130" max="16130" width="7.125" style="72" customWidth="1"/>
    <col min="16131" max="16147" width="3.625" style="72" customWidth="1"/>
    <col min="16148" max="16384" width="9" style="72"/>
  </cols>
  <sheetData>
    <row r="2" spans="1:19" ht="12.75" customHeight="1"/>
    <row r="3" spans="1:19" ht="24">
      <c r="A3" s="747" t="s">
        <v>46</v>
      </c>
      <c r="B3" s="747"/>
      <c r="C3" s="747"/>
      <c r="D3" s="747"/>
      <c r="E3" s="747"/>
      <c r="F3" s="747"/>
      <c r="G3" s="747"/>
      <c r="H3" s="747"/>
      <c r="I3" s="747"/>
      <c r="J3" s="747"/>
      <c r="K3" s="747"/>
      <c r="L3" s="747"/>
      <c r="M3" s="747"/>
      <c r="N3" s="747"/>
      <c r="O3" s="747"/>
      <c r="P3" s="747"/>
      <c r="Q3" s="747"/>
      <c r="R3" s="747"/>
      <c r="S3" s="747"/>
    </row>
    <row r="4" spans="1:19" ht="9.75" customHeight="1" thickBot="1"/>
    <row r="5" spans="1:19" ht="20.100000000000001" customHeight="1">
      <c r="A5" s="744" t="s">
        <v>47</v>
      </c>
      <c r="B5" s="745"/>
      <c r="C5" s="745" t="s">
        <v>74</v>
      </c>
      <c r="D5" s="745"/>
      <c r="E5" s="745"/>
      <c r="F5" s="745"/>
      <c r="G5" s="745"/>
      <c r="H5" s="745"/>
      <c r="I5" s="745"/>
      <c r="J5" s="745"/>
      <c r="K5" s="745"/>
      <c r="L5" s="745"/>
      <c r="M5" s="745"/>
      <c r="N5" s="745"/>
      <c r="O5" s="745"/>
      <c r="P5" s="745"/>
      <c r="Q5" s="745"/>
      <c r="R5" s="745"/>
      <c r="S5" s="746"/>
    </row>
    <row r="6" spans="1:19" ht="20.100000000000001" customHeight="1">
      <c r="A6" s="723" t="s">
        <v>48</v>
      </c>
      <c r="B6" s="724"/>
      <c r="C6" s="724" t="s">
        <v>461</v>
      </c>
      <c r="D6" s="724"/>
      <c r="E6" s="724"/>
      <c r="F6" s="724"/>
      <c r="G6" s="724"/>
      <c r="H6" s="724"/>
      <c r="I6" s="724"/>
      <c r="J6" s="724"/>
      <c r="K6" s="724"/>
      <c r="L6" s="724"/>
      <c r="M6" s="724"/>
      <c r="N6" s="724"/>
      <c r="O6" s="724"/>
      <c r="P6" s="724"/>
      <c r="Q6" s="724"/>
      <c r="R6" s="724"/>
      <c r="S6" s="738"/>
    </row>
    <row r="7" spans="1:19" ht="20.100000000000001" customHeight="1">
      <c r="A7" s="723" t="s">
        <v>49</v>
      </c>
      <c r="B7" s="724"/>
      <c r="C7" s="724">
        <v>201209</v>
      </c>
      <c r="D7" s="724"/>
      <c r="E7" s="724"/>
      <c r="F7" s="724"/>
      <c r="G7" s="724"/>
      <c r="H7" s="724"/>
      <c r="I7" s="724"/>
      <c r="J7" s="734" t="s">
        <v>50</v>
      </c>
      <c r="K7" s="735"/>
      <c r="L7" s="742"/>
      <c r="M7" s="724"/>
      <c r="N7" s="724"/>
      <c r="O7" s="724"/>
      <c r="P7" s="724"/>
      <c r="Q7" s="724"/>
      <c r="R7" s="724"/>
      <c r="S7" s="738"/>
    </row>
    <row r="8" spans="1:19" ht="20.100000000000001" customHeight="1">
      <c r="A8" s="723" t="s">
        <v>51</v>
      </c>
      <c r="B8" s="724"/>
      <c r="C8" s="724" t="s">
        <v>117</v>
      </c>
      <c r="D8" s="724"/>
      <c r="E8" s="724"/>
      <c r="F8" s="724"/>
      <c r="G8" s="724"/>
      <c r="H8" s="724"/>
      <c r="I8" s="724"/>
      <c r="J8" s="734" t="s">
        <v>52</v>
      </c>
      <c r="K8" s="735"/>
      <c r="L8" s="742"/>
      <c r="M8" s="724"/>
      <c r="N8" s="724"/>
      <c r="O8" s="724"/>
      <c r="P8" s="724"/>
      <c r="Q8" s="724"/>
      <c r="R8" s="724"/>
      <c r="S8" s="738"/>
    </row>
    <row r="9" spans="1:19" ht="13.5" customHeight="1">
      <c r="A9" s="739" t="s">
        <v>99</v>
      </c>
      <c r="B9" s="743"/>
      <c r="C9" s="734">
        <f>辅助!R2</f>
        <v>2917190090</v>
      </c>
      <c r="D9" s="735"/>
      <c r="E9" s="735"/>
      <c r="F9" s="735"/>
      <c r="G9" s="735"/>
      <c r="H9" s="735"/>
      <c r="I9" s="735"/>
      <c r="J9" s="735"/>
      <c r="K9" s="735"/>
      <c r="L9" s="735"/>
      <c r="M9" s="735"/>
      <c r="N9" s="735"/>
      <c r="O9" s="735"/>
      <c r="P9" s="735"/>
      <c r="Q9" s="735"/>
      <c r="R9" s="735"/>
      <c r="S9" s="736"/>
    </row>
    <row r="10" spans="1:19" ht="13.5" customHeight="1">
      <c r="A10" s="707"/>
      <c r="B10" s="708"/>
      <c r="C10" s="734">
        <f>辅助!R3</f>
        <v>2917190090</v>
      </c>
      <c r="D10" s="735"/>
      <c r="E10" s="735"/>
      <c r="F10" s="735"/>
      <c r="G10" s="735"/>
      <c r="H10" s="735"/>
      <c r="I10" s="735"/>
      <c r="J10" s="735"/>
      <c r="K10" s="735"/>
      <c r="L10" s="735"/>
      <c r="M10" s="735"/>
      <c r="N10" s="735"/>
      <c r="O10" s="735"/>
      <c r="P10" s="735"/>
      <c r="Q10" s="735"/>
      <c r="R10" s="735"/>
      <c r="S10" s="736"/>
    </row>
    <row r="11" spans="1:19" ht="13.5" customHeight="1">
      <c r="A11" s="707"/>
      <c r="B11" s="708"/>
      <c r="C11" s="734">
        <f>辅助!R4</f>
        <v>2935900090</v>
      </c>
      <c r="D11" s="735"/>
      <c r="E11" s="735"/>
      <c r="F11" s="735"/>
      <c r="G11" s="735"/>
      <c r="H11" s="735"/>
      <c r="I11" s="735"/>
      <c r="J11" s="735"/>
      <c r="K11" s="735"/>
      <c r="L11" s="735"/>
      <c r="M11" s="735"/>
      <c r="N11" s="735"/>
      <c r="O11" s="735"/>
      <c r="P11" s="735"/>
      <c r="Q11" s="735"/>
      <c r="R11" s="735"/>
      <c r="S11" s="736"/>
    </row>
    <row r="12" spans="1:19" ht="13.5" customHeight="1">
      <c r="A12" s="707"/>
      <c r="B12" s="708"/>
      <c r="C12" s="734">
        <f>辅助!R5</f>
        <v>2932999099</v>
      </c>
      <c r="D12" s="735"/>
      <c r="E12" s="735"/>
      <c r="F12" s="735"/>
      <c r="G12" s="735"/>
      <c r="H12" s="735"/>
      <c r="I12" s="735"/>
      <c r="J12" s="735"/>
      <c r="K12" s="735"/>
      <c r="L12" s="735"/>
      <c r="M12" s="735"/>
      <c r="N12" s="735"/>
      <c r="O12" s="735"/>
      <c r="P12" s="735"/>
      <c r="Q12" s="735"/>
      <c r="R12" s="735"/>
      <c r="S12" s="736"/>
    </row>
    <row r="13" spans="1:19" ht="13.5" customHeight="1">
      <c r="A13" s="707"/>
      <c r="B13" s="708"/>
      <c r="C13" s="734">
        <f>辅助!R6</f>
        <v>2903399090</v>
      </c>
      <c r="D13" s="735"/>
      <c r="E13" s="735"/>
      <c r="F13" s="735"/>
      <c r="G13" s="735"/>
      <c r="H13" s="735"/>
      <c r="I13" s="735"/>
      <c r="J13" s="735"/>
      <c r="K13" s="735"/>
      <c r="L13" s="735"/>
      <c r="M13" s="735"/>
      <c r="N13" s="735"/>
      <c r="O13" s="735"/>
      <c r="P13" s="735"/>
      <c r="Q13" s="735"/>
      <c r="R13" s="735"/>
      <c r="S13" s="736"/>
    </row>
    <row r="14" spans="1:19" ht="13.5" customHeight="1">
      <c r="A14" s="707"/>
      <c r="B14" s="708"/>
      <c r="C14" s="734">
        <f>辅助!R7</f>
        <v>2903399090</v>
      </c>
      <c r="D14" s="735"/>
      <c r="E14" s="735"/>
      <c r="F14" s="735"/>
      <c r="G14" s="735"/>
      <c r="H14" s="735"/>
      <c r="I14" s="735"/>
      <c r="J14" s="735"/>
      <c r="K14" s="735"/>
      <c r="L14" s="735"/>
      <c r="M14" s="735"/>
      <c r="N14" s="735"/>
      <c r="O14" s="735"/>
      <c r="P14" s="735"/>
      <c r="Q14" s="735"/>
      <c r="R14" s="735"/>
      <c r="S14" s="736"/>
    </row>
    <row r="15" spans="1:19" ht="13.5" customHeight="1">
      <c r="A15" s="707"/>
      <c r="B15" s="708"/>
      <c r="C15" s="734">
        <f>辅助!R8</f>
        <v>2933990099</v>
      </c>
      <c r="D15" s="735"/>
      <c r="E15" s="735"/>
      <c r="F15" s="735"/>
      <c r="G15" s="735"/>
      <c r="H15" s="735"/>
      <c r="I15" s="735"/>
      <c r="J15" s="735"/>
      <c r="K15" s="735"/>
      <c r="L15" s="735"/>
      <c r="M15" s="735"/>
      <c r="N15" s="735"/>
      <c r="O15" s="735"/>
      <c r="P15" s="735"/>
      <c r="Q15" s="735"/>
      <c r="R15" s="735"/>
      <c r="S15" s="736"/>
    </row>
    <row r="16" spans="1:19" ht="13.5" customHeight="1">
      <c r="A16" s="707"/>
      <c r="B16" s="708"/>
      <c r="C16" s="734">
        <f>辅助!R9</f>
        <v>2933990099</v>
      </c>
      <c r="D16" s="735"/>
      <c r="E16" s="735"/>
      <c r="F16" s="735"/>
      <c r="G16" s="735"/>
      <c r="H16" s="735"/>
      <c r="I16" s="735"/>
      <c r="J16" s="735"/>
      <c r="K16" s="735"/>
      <c r="L16" s="735"/>
      <c r="M16" s="735"/>
      <c r="N16" s="735"/>
      <c r="O16" s="735"/>
      <c r="P16" s="735"/>
      <c r="Q16" s="735"/>
      <c r="R16" s="735"/>
      <c r="S16" s="736"/>
    </row>
    <row r="17" spans="1:19" ht="13.5" customHeight="1">
      <c r="A17" s="739" t="s">
        <v>53</v>
      </c>
      <c r="B17" s="740"/>
      <c r="C17" s="748" t="str">
        <f>辅助!L2</f>
        <v>十三烷二酸</v>
      </c>
      <c r="D17" s="748"/>
      <c r="E17" s="748"/>
      <c r="F17" s="748"/>
      <c r="G17" s="748"/>
      <c r="H17" s="748"/>
      <c r="I17" s="748"/>
      <c r="J17" s="748"/>
      <c r="K17" s="748"/>
      <c r="L17" s="748"/>
      <c r="M17" s="748"/>
      <c r="N17" s="748"/>
      <c r="O17" s="748"/>
      <c r="P17" s="748"/>
      <c r="Q17" s="748"/>
      <c r="R17" s="748"/>
      <c r="S17" s="749"/>
    </row>
    <row r="18" spans="1:19" ht="13.5" customHeight="1">
      <c r="A18" s="707"/>
      <c r="B18" s="741"/>
      <c r="C18" s="748" t="str">
        <f>辅助!L3</f>
        <v>辛二酸单甲酯</v>
      </c>
      <c r="D18" s="748"/>
      <c r="E18" s="748"/>
      <c r="F18" s="748"/>
      <c r="G18" s="748"/>
      <c r="H18" s="748"/>
      <c r="I18" s="748"/>
      <c r="J18" s="748"/>
      <c r="K18" s="748"/>
      <c r="L18" s="748"/>
      <c r="M18" s="748"/>
      <c r="N18" s="748"/>
      <c r="O18" s="748"/>
      <c r="P18" s="748"/>
      <c r="Q18" s="748"/>
      <c r="R18" s="748"/>
      <c r="S18" s="749"/>
    </row>
    <row r="19" spans="1:19" ht="13.5" customHeight="1">
      <c r="A19" s="707"/>
      <c r="B19" s="741"/>
      <c r="C19" s="748" t="str">
        <f>辅助!L4</f>
        <v>N-甲基对甲苯磺酰胺</v>
      </c>
      <c r="D19" s="748"/>
      <c r="E19" s="748"/>
      <c r="F19" s="748"/>
      <c r="G19" s="748"/>
      <c r="H19" s="748"/>
      <c r="I19" s="748"/>
      <c r="J19" s="748"/>
      <c r="K19" s="748"/>
      <c r="L19" s="748"/>
      <c r="M19" s="748"/>
      <c r="N19" s="748"/>
      <c r="O19" s="748"/>
      <c r="P19" s="748"/>
      <c r="Q19" s="748"/>
      <c r="R19" s="748"/>
      <c r="S19" s="749"/>
    </row>
    <row r="20" spans="1:19" ht="13.5" customHeight="1">
      <c r="A20" s="707"/>
      <c r="B20" s="741"/>
      <c r="C20" s="748" t="str">
        <f>辅助!L5</f>
        <v>异山梨醇</v>
      </c>
      <c r="D20" s="748"/>
      <c r="E20" s="748"/>
      <c r="F20" s="748"/>
      <c r="G20" s="748"/>
      <c r="H20" s="748"/>
      <c r="I20" s="748"/>
      <c r="J20" s="748"/>
      <c r="K20" s="748"/>
      <c r="L20" s="748"/>
      <c r="M20" s="748"/>
      <c r="N20" s="748"/>
      <c r="O20" s="748"/>
      <c r="P20" s="748"/>
      <c r="Q20" s="748"/>
      <c r="R20" s="748"/>
      <c r="S20" s="749"/>
    </row>
    <row r="21" spans="1:19" ht="13.5" customHeight="1">
      <c r="A21" s="707"/>
      <c r="B21" s="741"/>
      <c r="C21" s="748" t="str">
        <f>辅助!L6</f>
        <v>溴代十六烷</v>
      </c>
      <c r="D21" s="748"/>
      <c r="E21" s="748"/>
      <c r="F21" s="748"/>
      <c r="G21" s="748"/>
      <c r="H21" s="748"/>
      <c r="I21" s="748"/>
      <c r="J21" s="748"/>
      <c r="K21" s="748"/>
      <c r="L21" s="748"/>
      <c r="M21" s="748"/>
      <c r="N21" s="748"/>
      <c r="O21" s="748"/>
      <c r="P21" s="748"/>
      <c r="Q21" s="748"/>
      <c r="R21" s="748"/>
      <c r="S21" s="749"/>
    </row>
    <row r="22" spans="1:19" ht="13.5" customHeight="1">
      <c r="A22" s="707"/>
      <c r="B22" s="741"/>
      <c r="C22" s="748" t="str">
        <f>辅助!L7</f>
        <v>1,4-二碘代丁烷</v>
      </c>
      <c r="D22" s="748"/>
      <c r="E22" s="748"/>
      <c r="F22" s="748"/>
      <c r="G22" s="748"/>
      <c r="H22" s="748"/>
      <c r="I22" s="748"/>
      <c r="J22" s="748"/>
      <c r="K22" s="748"/>
      <c r="L22" s="748"/>
      <c r="M22" s="748"/>
      <c r="N22" s="748"/>
      <c r="O22" s="748"/>
      <c r="P22" s="748"/>
      <c r="Q22" s="748"/>
      <c r="R22" s="748"/>
      <c r="S22" s="749"/>
    </row>
    <row r="23" spans="1:19" ht="13.5" customHeight="1">
      <c r="A23" s="707"/>
      <c r="B23" s="741"/>
      <c r="C23" s="748" t="str">
        <f>辅助!L8</f>
        <v>5-甲氧基吲哚-2-甲酸乙酯</v>
      </c>
      <c r="D23" s="748"/>
      <c r="E23" s="748"/>
      <c r="F23" s="748"/>
      <c r="G23" s="748"/>
      <c r="H23" s="748"/>
      <c r="I23" s="748"/>
      <c r="J23" s="748"/>
      <c r="K23" s="748"/>
      <c r="L23" s="748"/>
      <c r="M23" s="748"/>
      <c r="N23" s="748"/>
      <c r="O23" s="748"/>
      <c r="P23" s="748"/>
      <c r="Q23" s="748"/>
      <c r="R23" s="748"/>
      <c r="S23" s="749"/>
    </row>
    <row r="24" spans="1:19" ht="13.5" customHeight="1">
      <c r="A24" s="707"/>
      <c r="B24" s="741"/>
      <c r="C24" s="748" t="str">
        <f>辅助!L9</f>
        <v>6-氯吡嗪-2-羧酸甲酯</v>
      </c>
      <c r="D24" s="748"/>
      <c r="E24" s="748"/>
      <c r="F24" s="748"/>
      <c r="G24" s="748"/>
      <c r="H24" s="748"/>
      <c r="I24" s="748"/>
      <c r="J24" s="748"/>
      <c r="K24" s="748"/>
      <c r="L24" s="748"/>
      <c r="M24" s="748"/>
      <c r="N24" s="748"/>
      <c r="O24" s="748"/>
      <c r="P24" s="748"/>
      <c r="Q24" s="748"/>
      <c r="R24" s="748"/>
      <c r="S24" s="749"/>
    </row>
    <row r="25" spans="1:19" ht="17.25" customHeight="1">
      <c r="A25" s="723" t="s">
        <v>54</v>
      </c>
      <c r="B25" s="724"/>
      <c r="C25" s="737">
        <v>0.99</v>
      </c>
      <c r="D25" s="724"/>
      <c r="E25" s="724"/>
      <c r="F25" s="724"/>
      <c r="G25" s="724"/>
      <c r="H25" s="724"/>
      <c r="I25" s="724"/>
      <c r="J25" s="724"/>
      <c r="K25" s="724"/>
      <c r="L25" s="724"/>
      <c r="M25" s="724"/>
      <c r="N25" s="724"/>
      <c r="O25" s="724"/>
      <c r="P25" s="724"/>
      <c r="Q25" s="724"/>
      <c r="R25" s="724"/>
      <c r="S25" s="738"/>
    </row>
    <row r="26" spans="1:19" ht="17.25" customHeight="1">
      <c r="A26" s="723" t="s">
        <v>55</v>
      </c>
      <c r="B26" s="724"/>
      <c r="C26" s="724"/>
      <c r="D26" s="724"/>
      <c r="E26" s="724"/>
      <c r="F26" s="724"/>
      <c r="G26" s="724"/>
      <c r="H26" s="724"/>
      <c r="I26" s="724"/>
      <c r="J26" s="724"/>
      <c r="K26" s="724"/>
      <c r="L26" s="724"/>
      <c r="M26" s="724"/>
      <c r="N26" s="724"/>
      <c r="O26" s="724"/>
      <c r="P26" s="724"/>
      <c r="Q26" s="724"/>
      <c r="R26" s="724"/>
      <c r="S26" s="738"/>
    </row>
    <row r="27" spans="1:19" ht="17.25" customHeight="1">
      <c r="A27" s="723" t="s">
        <v>56</v>
      </c>
      <c r="B27" s="724"/>
      <c r="C27" s="724"/>
      <c r="D27" s="724"/>
      <c r="E27" s="724"/>
      <c r="F27" s="724"/>
      <c r="G27" s="724"/>
      <c r="H27" s="724"/>
      <c r="I27" s="724"/>
      <c r="J27" s="724"/>
      <c r="K27" s="724"/>
      <c r="L27" s="724"/>
      <c r="M27" s="724"/>
      <c r="N27" s="724"/>
      <c r="O27" s="724"/>
      <c r="P27" s="724"/>
      <c r="Q27" s="724"/>
      <c r="R27" s="724"/>
      <c r="S27" s="738"/>
    </row>
    <row r="28" spans="1:19" ht="17.25" customHeight="1" thickBot="1">
      <c r="A28" s="725" t="s">
        <v>57</v>
      </c>
      <c r="B28" s="726"/>
      <c r="C28" s="726" t="s">
        <v>58</v>
      </c>
      <c r="D28" s="726"/>
      <c r="E28" s="726"/>
      <c r="F28" s="726"/>
      <c r="G28" s="726"/>
      <c r="H28" s="726"/>
      <c r="I28" s="726"/>
      <c r="J28" s="726"/>
      <c r="K28" s="726"/>
      <c r="L28" s="726"/>
      <c r="M28" s="726"/>
      <c r="N28" s="726"/>
      <c r="O28" s="726"/>
      <c r="P28" s="726"/>
      <c r="Q28" s="726"/>
      <c r="R28" s="726"/>
      <c r="S28" s="730"/>
    </row>
    <row r="29" spans="1:19" ht="20.100000000000001" customHeight="1" thickTop="1">
      <c r="A29" s="731" t="s">
        <v>59</v>
      </c>
      <c r="B29" s="732"/>
      <c r="C29" s="732"/>
      <c r="D29" s="732"/>
      <c r="E29" s="732"/>
      <c r="F29" s="732"/>
      <c r="G29" s="732"/>
      <c r="H29" s="732"/>
      <c r="I29" s="732"/>
      <c r="J29" s="732"/>
      <c r="K29" s="732"/>
      <c r="L29" s="732"/>
      <c r="M29" s="732"/>
      <c r="N29" s="732"/>
      <c r="O29" s="732"/>
      <c r="P29" s="732"/>
      <c r="Q29" s="732"/>
      <c r="R29" s="732"/>
      <c r="S29" s="733"/>
    </row>
    <row r="30" spans="1:19" ht="20.100000000000001" customHeight="1">
      <c r="A30" s="723" t="s">
        <v>60</v>
      </c>
      <c r="B30" s="724"/>
      <c r="C30" s="448"/>
      <c r="D30" s="449"/>
      <c r="E30" s="449"/>
      <c r="F30" s="449" t="s">
        <v>61</v>
      </c>
      <c r="G30" s="449"/>
      <c r="H30" s="449"/>
      <c r="I30" s="449"/>
      <c r="J30" s="449"/>
      <c r="K30" s="449"/>
      <c r="L30" s="449"/>
      <c r="M30" s="449" t="s">
        <v>62</v>
      </c>
      <c r="N30" s="449"/>
      <c r="O30" s="449"/>
      <c r="P30" s="449"/>
      <c r="Q30" s="449"/>
      <c r="R30" s="449"/>
      <c r="S30" s="450"/>
    </row>
    <row r="31" spans="1:19" ht="20.100000000000001" customHeight="1">
      <c r="A31" s="723" t="s">
        <v>63</v>
      </c>
      <c r="B31" s="724"/>
      <c r="C31" s="448"/>
      <c r="D31" s="449"/>
      <c r="E31" s="449"/>
      <c r="F31" s="449" t="s">
        <v>61</v>
      </c>
      <c r="G31" s="449"/>
      <c r="H31" s="449"/>
      <c r="I31" s="449"/>
      <c r="J31" s="449"/>
      <c r="K31" s="449"/>
      <c r="L31" s="449"/>
      <c r="M31" s="449" t="s">
        <v>62</v>
      </c>
      <c r="N31" s="449"/>
      <c r="O31" s="449"/>
      <c r="P31" s="449"/>
      <c r="Q31" s="449"/>
      <c r="R31" s="449"/>
      <c r="S31" s="450"/>
    </row>
    <row r="32" spans="1:19" ht="20.100000000000001" customHeight="1">
      <c r="A32" s="723" t="s">
        <v>64</v>
      </c>
      <c r="B32" s="724"/>
      <c r="C32" s="448"/>
      <c r="D32" s="449"/>
      <c r="E32" s="449"/>
      <c r="F32" s="449" t="s">
        <v>61</v>
      </c>
      <c r="G32" s="449"/>
      <c r="H32" s="449"/>
      <c r="I32" s="449"/>
      <c r="J32" s="449"/>
      <c r="K32" s="449"/>
      <c r="L32" s="449"/>
      <c r="M32" s="449" t="s">
        <v>62</v>
      </c>
      <c r="N32" s="449"/>
      <c r="O32" s="449"/>
      <c r="P32" s="449"/>
      <c r="Q32" s="449"/>
      <c r="R32" s="449"/>
      <c r="S32" s="450"/>
    </row>
    <row r="33" spans="1:19" ht="20.100000000000001" customHeight="1">
      <c r="A33" s="723" t="s">
        <v>65</v>
      </c>
      <c r="B33" s="724"/>
      <c r="C33" s="448"/>
      <c r="D33" s="449"/>
      <c r="E33" s="449"/>
      <c r="F33" s="449" t="s">
        <v>61</v>
      </c>
      <c r="G33" s="449"/>
      <c r="H33" s="449"/>
      <c r="I33" s="449"/>
      <c r="J33" s="449"/>
      <c r="K33" s="449"/>
      <c r="L33" s="449"/>
      <c r="M33" s="449" t="s">
        <v>62</v>
      </c>
      <c r="N33" s="449"/>
      <c r="O33" s="449"/>
      <c r="P33" s="449"/>
      <c r="Q33" s="449"/>
      <c r="R33" s="449"/>
      <c r="S33" s="450"/>
    </row>
    <row r="34" spans="1:19" ht="20.100000000000001" customHeight="1">
      <c r="A34" s="723" t="s">
        <v>66</v>
      </c>
      <c r="B34" s="724"/>
      <c r="C34" s="449"/>
      <c r="D34" s="449"/>
      <c r="E34" s="449"/>
      <c r="F34" s="449" t="s">
        <v>61</v>
      </c>
      <c r="G34" s="449"/>
      <c r="H34" s="449"/>
      <c r="I34" s="449"/>
      <c r="J34" s="449"/>
      <c r="K34" s="449"/>
      <c r="L34" s="449"/>
      <c r="M34" s="449" t="s">
        <v>62</v>
      </c>
      <c r="N34" s="449"/>
      <c r="O34" s="449"/>
      <c r="P34" s="449"/>
      <c r="Q34" s="449"/>
      <c r="R34" s="449"/>
      <c r="S34" s="450"/>
    </row>
    <row r="35" spans="1:19" ht="19.5" customHeight="1" thickBot="1">
      <c r="A35" s="725" t="s">
        <v>67</v>
      </c>
      <c r="B35" s="726"/>
      <c r="C35" s="45"/>
      <c r="D35" s="45"/>
      <c r="E35" s="45"/>
      <c r="F35" s="45" t="s">
        <v>61</v>
      </c>
      <c r="G35" s="45"/>
      <c r="H35" s="45"/>
      <c r="I35" s="45"/>
      <c r="J35" s="45"/>
      <c r="K35" s="45"/>
      <c r="L35" s="45"/>
      <c r="M35" s="45" t="s">
        <v>62</v>
      </c>
      <c r="N35" s="45"/>
      <c r="O35" s="45"/>
      <c r="P35" s="45"/>
      <c r="Q35" s="45"/>
      <c r="R35" s="45"/>
      <c r="S35" s="46"/>
    </row>
    <row r="36" spans="1:19" ht="15" thickTop="1">
      <c r="A36" s="727" t="s">
        <v>68</v>
      </c>
      <c r="B36" s="728"/>
      <c r="C36" s="728"/>
      <c r="D36" s="728"/>
      <c r="E36" s="728"/>
      <c r="F36" s="728"/>
      <c r="G36" s="728"/>
      <c r="H36" s="728"/>
      <c r="I36" s="728"/>
      <c r="J36" s="728"/>
      <c r="K36" s="728"/>
      <c r="L36" s="728"/>
      <c r="M36" s="728"/>
      <c r="N36" s="728"/>
      <c r="O36" s="728"/>
      <c r="P36" s="728"/>
      <c r="Q36" s="728"/>
      <c r="R36" s="728"/>
      <c r="S36" s="729"/>
    </row>
    <row r="37" spans="1:19" ht="8.25" customHeight="1">
      <c r="A37" s="707"/>
      <c r="B37" s="708"/>
      <c r="C37" s="708"/>
      <c r="D37" s="708"/>
      <c r="E37" s="708"/>
      <c r="F37" s="708"/>
      <c r="G37" s="708"/>
      <c r="H37" s="708"/>
      <c r="I37" s="708"/>
      <c r="J37" s="708"/>
      <c r="K37" s="708"/>
      <c r="L37" s="708"/>
      <c r="M37" s="708"/>
      <c r="N37" s="708"/>
      <c r="O37" s="708"/>
      <c r="P37" s="708"/>
      <c r="Q37" s="708"/>
      <c r="R37" s="708"/>
      <c r="S37" s="709"/>
    </row>
    <row r="38" spans="1:19" ht="8.25" customHeight="1">
      <c r="A38" s="707"/>
      <c r="B38" s="708"/>
      <c r="C38" s="708"/>
      <c r="D38" s="708"/>
      <c r="E38" s="708"/>
      <c r="F38" s="708"/>
      <c r="G38" s="708"/>
      <c r="H38" s="708"/>
      <c r="I38" s="708"/>
      <c r="J38" s="708"/>
      <c r="K38" s="708"/>
      <c r="L38" s="708"/>
      <c r="M38" s="708"/>
      <c r="N38" s="708"/>
      <c r="O38" s="708"/>
      <c r="P38" s="708"/>
      <c r="Q38" s="708"/>
      <c r="R38" s="708"/>
      <c r="S38" s="709"/>
    </row>
    <row r="39" spans="1:19" ht="8.25" customHeight="1">
      <c r="A39" s="707"/>
      <c r="B39" s="708"/>
      <c r="C39" s="708"/>
      <c r="D39" s="708"/>
      <c r="E39" s="708"/>
      <c r="F39" s="708"/>
      <c r="G39" s="708"/>
      <c r="H39" s="708"/>
      <c r="I39" s="708"/>
      <c r="J39" s="708"/>
      <c r="K39" s="708"/>
      <c r="L39" s="708"/>
      <c r="M39" s="708"/>
      <c r="N39" s="708"/>
      <c r="O39" s="708"/>
      <c r="P39" s="708"/>
      <c r="Q39" s="708"/>
      <c r="R39" s="708"/>
      <c r="S39" s="709"/>
    </row>
    <row r="40" spans="1:19" ht="8.25" customHeight="1">
      <c r="A40" s="707"/>
      <c r="B40" s="708"/>
      <c r="C40" s="708"/>
      <c r="D40" s="708"/>
      <c r="E40" s="708"/>
      <c r="F40" s="708"/>
      <c r="G40" s="708"/>
      <c r="H40" s="708"/>
      <c r="I40" s="708"/>
      <c r="J40" s="708"/>
      <c r="K40" s="708"/>
      <c r="L40" s="708"/>
      <c r="M40" s="708"/>
      <c r="N40" s="708"/>
      <c r="O40" s="708"/>
      <c r="P40" s="708"/>
      <c r="Q40" s="708"/>
      <c r="R40" s="708"/>
      <c r="S40" s="709"/>
    </row>
    <row r="41" spans="1:19" ht="8.25" customHeight="1">
      <c r="A41" s="707"/>
      <c r="B41" s="708"/>
      <c r="C41" s="708"/>
      <c r="D41" s="708"/>
      <c r="E41" s="708"/>
      <c r="F41" s="708"/>
      <c r="G41" s="708"/>
      <c r="H41" s="708"/>
      <c r="I41" s="708"/>
      <c r="J41" s="708"/>
      <c r="K41" s="708"/>
      <c r="L41" s="708"/>
      <c r="M41" s="708"/>
      <c r="N41" s="708"/>
      <c r="O41" s="708"/>
      <c r="P41" s="708"/>
      <c r="Q41" s="708"/>
      <c r="R41" s="708"/>
      <c r="S41" s="709"/>
    </row>
    <row r="42" spans="1:19" ht="8.25" customHeight="1">
      <c r="A42" s="707"/>
      <c r="B42" s="708"/>
      <c r="C42" s="708"/>
      <c r="D42" s="708"/>
      <c r="E42" s="708"/>
      <c r="F42" s="708"/>
      <c r="G42" s="708"/>
      <c r="H42" s="708"/>
      <c r="I42" s="708"/>
      <c r="J42" s="708"/>
      <c r="K42" s="708"/>
      <c r="L42" s="708"/>
      <c r="M42" s="708"/>
      <c r="N42" s="708"/>
      <c r="O42" s="708"/>
      <c r="P42" s="708"/>
      <c r="Q42" s="708"/>
      <c r="R42" s="708"/>
      <c r="S42" s="709"/>
    </row>
    <row r="43" spans="1:19" ht="8.25" customHeight="1" thickBot="1">
      <c r="A43" s="710"/>
      <c r="B43" s="711"/>
      <c r="C43" s="711"/>
      <c r="D43" s="711"/>
      <c r="E43" s="711"/>
      <c r="F43" s="711"/>
      <c r="G43" s="711"/>
      <c r="H43" s="711"/>
      <c r="I43" s="711"/>
      <c r="J43" s="711"/>
      <c r="K43" s="711"/>
      <c r="L43" s="711"/>
      <c r="M43" s="711"/>
      <c r="N43" s="711"/>
      <c r="O43" s="711"/>
      <c r="P43" s="711"/>
      <c r="Q43" s="711"/>
      <c r="R43" s="711"/>
      <c r="S43" s="712"/>
    </row>
    <row r="44" spans="1:19" ht="20.100000000000001" customHeight="1" thickTop="1">
      <c r="A44" s="713" t="s">
        <v>69</v>
      </c>
      <c r="B44" s="714"/>
      <c r="C44" s="714"/>
      <c r="D44" s="714"/>
      <c r="E44" s="714"/>
      <c r="F44" s="714"/>
      <c r="G44" s="714"/>
      <c r="H44" s="714"/>
      <c r="I44" s="714"/>
      <c r="J44" s="714"/>
      <c r="K44" s="714"/>
      <c r="L44" s="714"/>
      <c r="M44" s="714"/>
      <c r="N44" s="714"/>
      <c r="O44" s="714"/>
      <c r="P44" s="714"/>
      <c r="Q44" s="714"/>
      <c r="R44" s="714"/>
      <c r="S44" s="715"/>
    </row>
    <row r="45" spans="1:19" ht="7.5" customHeight="1">
      <c r="A45" s="707"/>
      <c r="B45" s="708"/>
      <c r="C45" s="708"/>
      <c r="D45" s="708"/>
      <c r="E45" s="708"/>
      <c r="F45" s="708"/>
      <c r="G45" s="708"/>
      <c r="H45" s="708"/>
      <c r="I45" s="708"/>
      <c r="J45" s="708"/>
      <c r="K45" s="708"/>
      <c r="L45" s="708"/>
      <c r="M45" s="708"/>
      <c r="N45" s="708"/>
      <c r="O45" s="708"/>
      <c r="P45" s="708"/>
      <c r="Q45" s="708"/>
      <c r="R45" s="708"/>
      <c r="S45" s="709"/>
    </row>
    <row r="46" spans="1:19" ht="11.25" customHeight="1">
      <c r="A46" s="707"/>
      <c r="B46" s="708"/>
      <c r="C46" s="708"/>
      <c r="D46" s="708"/>
      <c r="E46" s="708"/>
      <c r="F46" s="708"/>
      <c r="G46" s="708"/>
      <c r="H46" s="708"/>
      <c r="I46" s="708"/>
      <c r="J46" s="708"/>
      <c r="K46" s="708"/>
      <c r="L46" s="708"/>
      <c r="M46" s="708"/>
      <c r="N46" s="708"/>
      <c r="O46" s="708"/>
      <c r="P46" s="708"/>
      <c r="Q46" s="708"/>
      <c r="R46" s="708"/>
      <c r="S46" s="709"/>
    </row>
    <row r="47" spans="1:19" ht="9" customHeight="1">
      <c r="A47" s="707"/>
      <c r="B47" s="708"/>
      <c r="C47" s="708"/>
      <c r="D47" s="708"/>
      <c r="E47" s="708"/>
      <c r="F47" s="708"/>
      <c r="G47" s="708"/>
      <c r="H47" s="708"/>
      <c r="I47" s="708"/>
      <c r="J47" s="708"/>
      <c r="K47" s="708"/>
      <c r="L47" s="708"/>
      <c r="M47" s="708"/>
      <c r="N47" s="708"/>
      <c r="O47" s="708"/>
      <c r="P47" s="708"/>
      <c r="Q47" s="708"/>
      <c r="R47" s="708"/>
      <c r="S47" s="709"/>
    </row>
    <row r="48" spans="1:19" ht="12" customHeight="1">
      <c r="A48" s="707"/>
      <c r="B48" s="708"/>
      <c r="C48" s="708"/>
      <c r="D48" s="708"/>
      <c r="E48" s="708"/>
      <c r="F48" s="708"/>
      <c r="G48" s="708"/>
      <c r="H48" s="708"/>
      <c r="I48" s="708"/>
      <c r="J48" s="708"/>
      <c r="K48" s="708"/>
      <c r="L48" s="708"/>
      <c r="M48" s="708"/>
      <c r="N48" s="708"/>
      <c r="O48" s="708"/>
      <c r="P48" s="708"/>
      <c r="Q48" s="708"/>
      <c r="R48" s="708"/>
      <c r="S48" s="709"/>
    </row>
    <row r="49" spans="1:19" ht="12" customHeight="1" thickBot="1">
      <c r="A49" s="716"/>
      <c r="B49" s="717"/>
      <c r="C49" s="717"/>
      <c r="D49" s="717"/>
      <c r="E49" s="717"/>
      <c r="F49" s="717"/>
      <c r="G49" s="717"/>
      <c r="H49" s="717"/>
      <c r="I49" s="717"/>
      <c r="J49" s="717"/>
      <c r="K49" s="717"/>
      <c r="L49" s="717"/>
      <c r="M49" s="717"/>
      <c r="N49" s="717"/>
      <c r="O49" s="717"/>
      <c r="P49" s="717"/>
      <c r="Q49" s="717"/>
      <c r="R49" s="717"/>
      <c r="S49" s="718"/>
    </row>
    <row r="50" spans="1:19" ht="19.5" customHeight="1">
      <c r="A50" s="719" t="s">
        <v>98</v>
      </c>
      <c r="B50" s="720"/>
      <c r="C50" s="720"/>
      <c r="D50" s="720"/>
      <c r="E50" s="720"/>
      <c r="F50" s="720"/>
      <c r="G50" s="720"/>
      <c r="H50" s="720"/>
      <c r="I50" s="720"/>
      <c r="J50" s="720"/>
      <c r="K50" s="720"/>
      <c r="L50" s="720"/>
      <c r="M50" s="720"/>
      <c r="N50" s="720"/>
      <c r="O50" s="720"/>
      <c r="P50" s="720"/>
      <c r="Q50" s="720"/>
      <c r="R50" s="720"/>
      <c r="S50" s="721"/>
    </row>
    <row r="51" spans="1:19" ht="19.5" customHeight="1" thickBot="1">
      <c r="A51" s="722">
        <f ca="1">TODAY()</f>
        <v>43839</v>
      </c>
      <c r="B51" s="717"/>
      <c r="C51" s="717"/>
      <c r="D51" s="717"/>
      <c r="E51" s="717"/>
      <c r="F51" s="717"/>
      <c r="G51" s="717"/>
      <c r="H51" s="717"/>
      <c r="I51" s="717"/>
      <c r="J51" s="717"/>
      <c r="K51" s="717"/>
      <c r="L51" s="717"/>
      <c r="M51" s="717"/>
      <c r="N51" s="717"/>
      <c r="O51" s="717"/>
      <c r="P51" s="717"/>
      <c r="Q51" s="717"/>
      <c r="R51" s="717"/>
      <c r="S51" s="718"/>
    </row>
    <row r="52" spans="1:19">
      <c r="H52" s="72" t="str">
        <f>"1/"&amp;IF(COUNTIF(辅助!K:K,"&gt;0")&lt;9,1,IF(COUNTIF(辅助!K:K,"&gt;0")&lt;17,2,IF(COUNTIF(辅助!K:K,"&gt;0")&lt;25,3,IF(COUNTIF(辅助!K:K,"&gt;0")&lt;33,4))))</f>
        <v>1/2</v>
      </c>
    </row>
    <row r="53" spans="1:19" ht="12.75" customHeight="1"/>
    <row r="54" spans="1:19" ht="24">
      <c r="A54" s="747" t="s">
        <v>46</v>
      </c>
      <c r="B54" s="747"/>
      <c r="C54" s="747"/>
      <c r="D54" s="747"/>
      <c r="E54" s="747"/>
      <c r="F54" s="747"/>
      <c r="G54" s="747"/>
      <c r="H54" s="747"/>
      <c r="I54" s="747"/>
      <c r="J54" s="747"/>
      <c r="K54" s="747"/>
      <c r="L54" s="747"/>
      <c r="M54" s="747"/>
      <c r="N54" s="747"/>
      <c r="O54" s="747"/>
      <c r="P54" s="747"/>
      <c r="Q54" s="747"/>
      <c r="R54" s="747"/>
      <c r="S54" s="747"/>
    </row>
    <row r="55" spans="1:19" ht="9.75" customHeight="1" thickBot="1"/>
    <row r="56" spans="1:19" ht="20.100000000000001" customHeight="1">
      <c r="A56" s="744" t="s">
        <v>47</v>
      </c>
      <c r="B56" s="745"/>
      <c r="C56" s="745" t="s">
        <v>74</v>
      </c>
      <c r="D56" s="745"/>
      <c r="E56" s="745"/>
      <c r="F56" s="745"/>
      <c r="G56" s="745"/>
      <c r="H56" s="745"/>
      <c r="I56" s="745"/>
      <c r="J56" s="745"/>
      <c r="K56" s="745"/>
      <c r="L56" s="745"/>
      <c r="M56" s="745"/>
      <c r="N56" s="745"/>
      <c r="O56" s="745"/>
      <c r="P56" s="745"/>
      <c r="Q56" s="745"/>
      <c r="R56" s="745"/>
      <c r="S56" s="746"/>
    </row>
    <row r="57" spans="1:19" ht="20.100000000000001" customHeight="1">
      <c r="A57" s="723" t="s">
        <v>48</v>
      </c>
      <c r="B57" s="724"/>
      <c r="C57" s="724" t="s">
        <v>461</v>
      </c>
      <c r="D57" s="724"/>
      <c r="E57" s="724"/>
      <c r="F57" s="724"/>
      <c r="G57" s="724"/>
      <c r="H57" s="724"/>
      <c r="I57" s="724"/>
      <c r="J57" s="724"/>
      <c r="K57" s="724"/>
      <c r="L57" s="724"/>
      <c r="M57" s="724"/>
      <c r="N57" s="724"/>
      <c r="O57" s="724"/>
      <c r="P57" s="724"/>
      <c r="Q57" s="724"/>
      <c r="R57" s="724"/>
      <c r="S57" s="738"/>
    </row>
    <row r="58" spans="1:19" ht="20.100000000000001" customHeight="1">
      <c r="A58" s="723" t="s">
        <v>49</v>
      </c>
      <c r="B58" s="724"/>
      <c r="C58" s="724">
        <v>201209</v>
      </c>
      <c r="D58" s="724"/>
      <c r="E58" s="724"/>
      <c r="F58" s="724"/>
      <c r="G58" s="724"/>
      <c r="H58" s="724"/>
      <c r="I58" s="724"/>
      <c r="J58" s="734" t="s">
        <v>50</v>
      </c>
      <c r="K58" s="735"/>
      <c r="L58" s="742"/>
      <c r="M58" s="724"/>
      <c r="N58" s="724"/>
      <c r="O58" s="724"/>
      <c r="P58" s="724"/>
      <c r="Q58" s="724"/>
      <c r="R58" s="724"/>
      <c r="S58" s="738"/>
    </row>
    <row r="59" spans="1:19" ht="20.100000000000001" customHeight="1">
      <c r="A59" s="723" t="s">
        <v>51</v>
      </c>
      <c r="B59" s="724"/>
      <c r="C59" s="724" t="s">
        <v>117</v>
      </c>
      <c r="D59" s="724"/>
      <c r="E59" s="724"/>
      <c r="F59" s="724"/>
      <c r="G59" s="724"/>
      <c r="H59" s="724"/>
      <c r="I59" s="724"/>
      <c r="J59" s="734" t="s">
        <v>52</v>
      </c>
      <c r="K59" s="735"/>
      <c r="L59" s="742"/>
      <c r="M59" s="724"/>
      <c r="N59" s="724"/>
      <c r="O59" s="724"/>
      <c r="P59" s="724"/>
      <c r="Q59" s="724"/>
      <c r="R59" s="724"/>
      <c r="S59" s="738"/>
    </row>
    <row r="60" spans="1:19" ht="13.5" customHeight="1">
      <c r="A60" s="739" t="s">
        <v>99</v>
      </c>
      <c r="B60" s="743"/>
      <c r="C60" s="734">
        <f>辅助!R10</f>
        <v>2903999090</v>
      </c>
      <c r="D60" s="735"/>
      <c r="E60" s="735"/>
      <c r="F60" s="735"/>
      <c r="G60" s="735"/>
      <c r="H60" s="735"/>
      <c r="I60" s="735"/>
      <c r="J60" s="735"/>
      <c r="K60" s="735"/>
      <c r="L60" s="735"/>
      <c r="M60" s="735"/>
      <c r="N60" s="735"/>
      <c r="O60" s="735"/>
      <c r="P60" s="735"/>
      <c r="Q60" s="735"/>
      <c r="R60" s="735"/>
      <c r="S60" s="736"/>
    </row>
    <row r="61" spans="1:19" ht="13.5" customHeight="1">
      <c r="A61" s="707"/>
      <c r="B61" s="708"/>
      <c r="C61" s="734">
        <f>辅助!R11</f>
        <v>2916399090</v>
      </c>
      <c r="D61" s="735"/>
      <c r="E61" s="735"/>
      <c r="F61" s="735"/>
      <c r="G61" s="735"/>
      <c r="H61" s="735"/>
      <c r="I61" s="735"/>
      <c r="J61" s="735"/>
      <c r="K61" s="735"/>
      <c r="L61" s="735"/>
      <c r="M61" s="735"/>
      <c r="N61" s="735"/>
      <c r="O61" s="735"/>
      <c r="P61" s="735"/>
      <c r="Q61" s="735"/>
      <c r="R61" s="735"/>
      <c r="S61" s="736"/>
    </row>
    <row r="62" spans="1:19" ht="13.5" customHeight="1">
      <c r="A62" s="707"/>
      <c r="B62" s="708"/>
      <c r="C62" s="734" t="str">
        <f>辅助!R12</f>
        <v/>
      </c>
      <c r="D62" s="735"/>
      <c r="E62" s="735"/>
      <c r="F62" s="735"/>
      <c r="G62" s="735"/>
      <c r="H62" s="735"/>
      <c r="I62" s="735"/>
      <c r="J62" s="735"/>
      <c r="K62" s="735"/>
      <c r="L62" s="735"/>
      <c r="M62" s="735"/>
      <c r="N62" s="735"/>
      <c r="O62" s="735"/>
      <c r="P62" s="735"/>
      <c r="Q62" s="735"/>
      <c r="R62" s="735"/>
      <c r="S62" s="736"/>
    </row>
    <row r="63" spans="1:19" ht="13.5" customHeight="1">
      <c r="A63" s="707"/>
      <c r="B63" s="708"/>
      <c r="C63" s="734" t="str">
        <f>辅助!R13</f>
        <v/>
      </c>
      <c r="D63" s="735"/>
      <c r="E63" s="735"/>
      <c r="F63" s="735"/>
      <c r="G63" s="735"/>
      <c r="H63" s="735"/>
      <c r="I63" s="735"/>
      <c r="J63" s="735"/>
      <c r="K63" s="735"/>
      <c r="L63" s="735"/>
      <c r="M63" s="735"/>
      <c r="N63" s="735"/>
      <c r="O63" s="735"/>
      <c r="P63" s="735"/>
      <c r="Q63" s="735"/>
      <c r="R63" s="735"/>
      <c r="S63" s="736"/>
    </row>
    <row r="64" spans="1:19" ht="13.5" customHeight="1">
      <c r="A64" s="707"/>
      <c r="B64" s="708"/>
      <c r="C64" s="734" t="str">
        <f>辅助!R14</f>
        <v/>
      </c>
      <c r="D64" s="735"/>
      <c r="E64" s="735"/>
      <c r="F64" s="735"/>
      <c r="G64" s="735"/>
      <c r="H64" s="735"/>
      <c r="I64" s="735"/>
      <c r="J64" s="735"/>
      <c r="K64" s="735"/>
      <c r="L64" s="735"/>
      <c r="M64" s="735"/>
      <c r="N64" s="735"/>
      <c r="O64" s="735"/>
      <c r="P64" s="735"/>
      <c r="Q64" s="735"/>
      <c r="R64" s="735"/>
      <c r="S64" s="736"/>
    </row>
    <row r="65" spans="1:19" ht="13.5" customHeight="1">
      <c r="A65" s="707"/>
      <c r="B65" s="708"/>
      <c r="C65" s="734" t="str">
        <f>辅助!R15</f>
        <v/>
      </c>
      <c r="D65" s="735"/>
      <c r="E65" s="735"/>
      <c r="F65" s="735"/>
      <c r="G65" s="735"/>
      <c r="H65" s="735"/>
      <c r="I65" s="735"/>
      <c r="J65" s="735"/>
      <c r="K65" s="735"/>
      <c r="L65" s="735"/>
      <c r="M65" s="735"/>
      <c r="N65" s="735"/>
      <c r="O65" s="735"/>
      <c r="P65" s="735"/>
      <c r="Q65" s="735"/>
      <c r="R65" s="735"/>
      <c r="S65" s="736"/>
    </row>
    <row r="66" spans="1:19" ht="13.5" customHeight="1">
      <c r="A66" s="707"/>
      <c r="B66" s="708"/>
      <c r="C66" s="734" t="str">
        <f>辅助!R16</f>
        <v/>
      </c>
      <c r="D66" s="735"/>
      <c r="E66" s="735"/>
      <c r="F66" s="735"/>
      <c r="G66" s="735"/>
      <c r="H66" s="735"/>
      <c r="I66" s="735"/>
      <c r="J66" s="735"/>
      <c r="K66" s="735"/>
      <c r="L66" s="735"/>
      <c r="M66" s="735"/>
      <c r="N66" s="735"/>
      <c r="O66" s="735"/>
      <c r="P66" s="735"/>
      <c r="Q66" s="735"/>
      <c r="R66" s="735"/>
      <c r="S66" s="736"/>
    </row>
    <row r="67" spans="1:19" ht="13.5" customHeight="1">
      <c r="A67" s="707"/>
      <c r="B67" s="708"/>
      <c r="C67" s="734" t="str">
        <f>辅助!R17</f>
        <v/>
      </c>
      <c r="D67" s="735"/>
      <c r="E67" s="735"/>
      <c r="F67" s="735"/>
      <c r="G67" s="735"/>
      <c r="H67" s="735"/>
      <c r="I67" s="735"/>
      <c r="J67" s="735"/>
      <c r="K67" s="735"/>
      <c r="L67" s="735"/>
      <c r="M67" s="735"/>
      <c r="N67" s="735"/>
      <c r="O67" s="735"/>
      <c r="P67" s="735"/>
      <c r="Q67" s="735"/>
      <c r="R67" s="735"/>
      <c r="S67" s="736"/>
    </row>
    <row r="68" spans="1:19" ht="13.5" customHeight="1">
      <c r="A68" s="739" t="s">
        <v>53</v>
      </c>
      <c r="B68" s="740"/>
      <c r="C68" s="748" t="str">
        <f>辅助!L10</f>
        <v>2-氟-5-碘硝基苯</v>
      </c>
      <c r="D68" s="748"/>
      <c r="E68" s="748"/>
      <c r="F68" s="748"/>
      <c r="G68" s="748"/>
      <c r="H68" s="748"/>
      <c r="I68" s="748"/>
      <c r="J68" s="748"/>
      <c r="K68" s="748"/>
      <c r="L68" s="748"/>
      <c r="M68" s="748"/>
      <c r="N68" s="748"/>
      <c r="O68" s="748"/>
      <c r="P68" s="748"/>
      <c r="Q68" s="748"/>
      <c r="R68" s="748"/>
      <c r="S68" s="749"/>
    </row>
    <row r="69" spans="1:19" ht="13.5" customHeight="1">
      <c r="A69" s="707"/>
      <c r="B69" s="741"/>
      <c r="C69" s="748" t="str">
        <f>辅助!L11</f>
        <v>2,4-双(三氟甲基)苯乙酸</v>
      </c>
      <c r="D69" s="748"/>
      <c r="E69" s="748"/>
      <c r="F69" s="748"/>
      <c r="G69" s="748"/>
      <c r="H69" s="748"/>
      <c r="I69" s="748"/>
      <c r="J69" s="748"/>
      <c r="K69" s="748"/>
      <c r="L69" s="748"/>
      <c r="M69" s="748"/>
      <c r="N69" s="748"/>
      <c r="O69" s="748"/>
      <c r="P69" s="748"/>
      <c r="Q69" s="748"/>
      <c r="R69" s="748"/>
      <c r="S69" s="749"/>
    </row>
    <row r="70" spans="1:19" ht="13.5" customHeight="1">
      <c r="A70" s="707"/>
      <c r="B70" s="741"/>
      <c r="C70" s="748" t="str">
        <f>辅助!L12</f>
        <v/>
      </c>
      <c r="D70" s="748"/>
      <c r="E70" s="748"/>
      <c r="F70" s="748"/>
      <c r="G70" s="748"/>
      <c r="H70" s="748"/>
      <c r="I70" s="748"/>
      <c r="J70" s="748"/>
      <c r="K70" s="748"/>
      <c r="L70" s="748"/>
      <c r="M70" s="748"/>
      <c r="N70" s="748"/>
      <c r="O70" s="748"/>
      <c r="P70" s="748"/>
      <c r="Q70" s="748"/>
      <c r="R70" s="748"/>
      <c r="S70" s="749"/>
    </row>
    <row r="71" spans="1:19" ht="13.5" customHeight="1">
      <c r="A71" s="707"/>
      <c r="B71" s="741"/>
      <c r="C71" s="748" t="str">
        <f>辅助!L13</f>
        <v/>
      </c>
      <c r="D71" s="748"/>
      <c r="E71" s="748"/>
      <c r="F71" s="748"/>
      <c r="G71" s="748"/>
      <c r="H71" s="748"/>
      <c r="I71" s="748"/>
      <c r="J71" s="748"/>
      <c r="K71" s="748"/>
      <c r="L71" s="748"/>
      <c r="M71" s="748"/>
      <c r="N71" s="748"/>
      <c r="O71" s="748"/>
      <c r="P71" s="748"/>
      <c r="Q71" s="748"/>
      <c r="R71" s="748"/>
      <c r="S71" s="749"/>
    </row>
    <row r="72" spans="1:19" ht="13.5" customHeight="1">
      <c r="A72" s="707"/>
      <c r="B72" s="741"/>
      <c r="C72" s="748" t="str">
        <f>辅助!L14</f>
        <v/>
      </c>
      <c r="D72" s="748"/>
      <c r="E72" s="748"/>
      <c r="F72" s="748"/>
      <c r="G72" s="748"/>
      <c r="H72" s="748"/>
      <c r="I72" s="748"/>
      <c r="J72" s="748"/>
      <c r="K72" s="748"/>
      <c r="L72" s="748"/>
      <c r="M72" s="748"/>
      <c r="N72" s="748"/>
      <c r="O72" s="748"/>
      <c r="P72" s="748"/>
      <c r="Q72" s="748"/>
      <c r="R72" s="748"/>
      <c r="S72" s="749"/>
    </row>
    <row r="73" spans="1:19" ht="13.5" customHeight="1">
      <c r="A73" s="707"/>
      <c r="B73" s="741"/>
      <c r="C73" s="748" t="str">
        <f>辅助!L15</f>
        <v/>
      </c>
      <c r="D73" s="748"/>
      <c r="E73" s="748"/>
      <c r="F73" s="748"/>
      <c r="G73" s="748"/>
      <c r="H73" s="748"/>
      <c r="I73" s="748"/>
      <c r="J73" s="748"/>
      <c r="K73" s="748"/>
      <c r="L73" s="748"/>
      <c r="M73" s="748"/>
      <c r="N73" s="748"/>
      <c r="O73" s="748"/>
      <c r="P73" s="748"/>
      <c r="Q73" s="748"/>
      <c r="R73" s="748"/>
      <c r="S73" s="749"/>
    </row>
    <row r="74" spans="1:19" ht="13.5" customHeight="1">
      <c r="A74" s="707"/>
      <c r="B74" s="741"/>
      <c r="C74" s="748" t="str">
        <f>辅助!L16</f>
        <v/>
      </c>
      <c r="D74" s="748"/>
      <c r="E74" s="748"/>
      <c r="F74" s="748"/>
      <c r="G74" s="748"/>
      <c r="H74" s="748"/>
      <c r="I74" s="748"/>
      <c r="J74" s="748"/>
      <c r="K74" s="748"/>
      <c r="L74" s="748"/>
      <c r="M74" s="748"/>
      <c r="N74" s="748"/>
      <c r="O74" s="748"/>
      <c r="P74" s="748"/>
      <c r="Q74" s="748"/>
      <c r="R74" s="748"/>
      <c r="S74" s="749"/>
    </row>
    <row r="75" spans="1:19" ht="13.5" customHeight="1">
      <c r="A75" s="707"/>
      <c r="B75" s="741"/>
      <c r="C75" s="748" t="str">
        <f>辅助!L17</f>
        <v/>
      </c>
      <c r="D75" s="748"/>
      <c r="E75" s="748"/>
      <c r="F75" s="748"/>
      <c r="G75" s="748"/>
      <c r="H75" s="748"/>
      <c r="I75" s="748"/>
      <c r="J75" s="748"/>
      <c r="K75" s="748"/>
      <c r="L75" s="748"/>
      <c r="M75" s="748"/>
      <c r="N75" s="748"/>
      <c r="O75" s="748"/>
      <c r="P75" s="748"/>
      <c r="Q75" s="748"/>
      <c r="R75" s="748"/>
      <c r="S75" s="749"/>
    </row>
    <row r="76" spans="1:19" ht="17.25" customHeight="1">
      <c r="A76" s="723" t="s">
        <v>54</v>
      </c>
      <c r="B76" s="724"/>
      <c r="C76" s="737">
        <v>0.99</v>
      </c>
      <c r="D76" s="724"/>
      <c r="E76" s="724"/>
      <c r="F76" s="724"/>
      <c r="G76" s="724"/>
      <c r="H76" s="724"/>
      <c r="I76" s="724"/>
      <c r="J76" s="724"/>
      <c r="K76" s="724"/>
      <c r="L76" s="724"/>
      <c r="M76" s="724"/>
      <c r="N76" s="724"/>
      <c r="O76" s="724"/>
      <c r="P76" s="724"/>
      <c r="Q76" s="724"/>
      <c r="R76" s="724"/>
      <c r="S76" s="738"/>
    </row>
    <row r="77" spans="1:19" ht="17.25" customHeight="1">
      <c r="A77" s="723" t="s">
        <v>55</v>
      </c>
      <c r="B77" s="724"/>
      <c r="C77" s="724"/>
      <c r="D77" s="724"/>
      <c r="E77" s="724"/>
      <c r="F77" s="724"/>
      <c r="G77" s="724"/>
      <c r="H77" s="724"/>
      <c r="I77" s="724"/>
      <c r="J77" s="724"/>
      <c r="K77" s="724"/>
      <c r="L77" s="724"/>
      <c r="M77" s="724"/>
      <c r="N77" s="724"/>
      <c r="O77" s="724"/>
      <c r="P77" s="724"/>
      <c r="Q77" s="724"/>
      <c r="R77" s="724"/>
      <c r="S77" s="738"/>
    </row>
    <row r="78" spans="1:19" ht="17.25" customHeight="1">
      <c r="A78" s="723" t="s">
        <v>56</v>
      </c>
      <c r="B78" s="724"/>
      <c r="C78" s="724"/>
      <c r="D78" s="724"/>
      <c r="E78" s="724"/>
      <c r="F78" s="724"/>
      <c r="G78" s="724"/>
      <c r="H78" s="724"/>
      <c r="I78" s="724"/>
      <c r="J78" s="724"/>
      <c r="K78" s="724"/>
      <c r="L78" s="724"/>
      <c r="M78" s="724"/>
      <c r="N78" s="724"/>
      <c r="O78" s="724"/>
      <c r="P78" s="724"/>
      <c r="Q78" s="724"/>
      <c r="R78" s="724"/>
      <c r="S78" s="738"/>
    </row>
    <row r="79" spans="1:19" ht="17.25" customHeight="1" thickBot="1">
      <c r="A79" s="725" t="s">
        <v>57</v>
      </c>
      <c r="B79" s="726"/>
      <c r="C79" s="726" t="s">
        <v>58</v>
      </c>
      <c r="D79" s="726"/>
      <c r="E79" s="726"/>
      <c r="F79" s="726"/>
      <c r="G79" s="726"/>
      <c r="H79" s="726"/>
      <c r="I79" s="726"/>
      <c r="J79" s="726"/>
      <c r="K79" s="726"/>
      <c r="L79" s="726"/>
      <c r="M79" s="726"/>
      <c r="N79" s="726"/>
      <c r="O79" s="726"/>
      <c r="P79" s="726"/>
      <c r="Q79" s="726"/>
      <c r="R79" s="726"/>
      <c r="S79" s="730"/>
    </row>
    <row r="80" spans="1:19" ht="20.100000000000001" customHeight="1" thickTop="1">
      <c r="A80" s="731" t="s">
        <v>59</v>
      </c>
      <c r="B80" s="732"/>
      <c r="C80" s="732"/>
      <c r="D80" s="732"/>
      <c r="E80" s="732"/>
      <c r="F80" s="732"/>
      <c r="G80" s="732"/>
      <c r="H80" s="732"/>
      <c r="I80" s="732"/>
      <c r="J80" s="732"/>
      <c r="K80" s="732"/>
      <c r="L80" s="732"/>
      <c r="M80" s="732"/>
      <c r="N80" s="732"/>
      <c r="O80" s="732"/>
      <c r="P80" s="732"/>
      <c r="Q80" s="732"/>
      <c r="R80" s="732"/>
      <c r="S80" s="733"/>
    </row>
    <row r="81" spans="1:19" ht="20.100000000000001" customHeight="1">
      <c r="A81" s="723" t="s">
        <v>60</v>
      </c>
      <c r="B81" s="724"/>
      <c r="C81" s="448"/>
      <c r="D81" s="449"/>
      <c r="E81" s="449"/>
      <c r="F81" s="449" t="s">
        <v>61</v>
      </c>
      <c r="G81" s="449"/>
      <c r="H81" s="449"/>
      <c r="I81" s="449"/>
      <c r="J81" s="449"/>
      <c r="K81" s="449"/>
      <c r="L81" s="449"/>
      <c r="M81" s="449" t="s">
        <v>62</v>
      </c>
      <c r="N81" s="449"/>
      <c r="O81" s="449"/>
      <c r="P81" s="449"/>
      <c r="Q81" s="449"/>
      <c r="R81" s="449"/>
      <c r="S81" s="450"/>
    </row>
    <row r="82" spans="1:19" ht="20.100000000000001" customHeight="1">
      <c r="A82" s="723" t="s">
        <v>63</v>
      </c>
      <c r="B82" s="724"/>
      <c r="C82" s="448"/>
      <c r="D82" s="449"/>
      <c r="E82" s="449"/>
      <c r="F82" s="449" t="s">
        <v>61</v>
      </c>
      <c r="G82" s="449"/>
      <c r="H82" s="449"/>
      <c r="I82" s="449"/>
      <c r="J82" s="449"/>
      <c r="K82" s="449"/>
      <c r="L82" s="449"/>
      <c r="M82" s="449" t="s">
        <v>62</v>
      </c>
      <c r="N82" s="449"/>
      <c r="O82" s="449"/>
      <c r="P82" s="449"/>
      <c r="Q82" s="449"/>
      <c r="R82" s="449"/>
      <c r="S82" s="450"/>
    </row>
    <row r="83" spans="1:19" ht="20.100000000000001" customHeight="1">
      <c r="A83" s="723" t="s">
        <v>64</v>
      </c>
      <c r="B83" s="724"/>
      <c r="C83" s="448"/>
      <c r="D83" s="449"/>
      <c r="E83" s="449"/>
      <c r="F83" s="449" t="s">
        <v>61</v>
      </c>
      <c r="G83" s="449"/>
      <c r="H83" s="449"/>
      <c r="I83" s="449"/>
      <c r="J83" s="449"/>
      <c r="K83" s="449"/>
      <c r="L83" s="449"/>
      <c r="M83" s="449" t="s">
        <v>62</v>
      </c>
      <c r="N83" s="449"/>
      <c r="O83" s="449"/>
      <c r="P83" s="449"/>
      <c r="Q83" s="449"/>
      <c r="R83" s="449"/>
      <c r="S83" s="450"/>
    </row>
    <row r="84" spans="1:19" ht="20.100000000000001" customHeight="1">
      <c r="A84" s="723" t="s">
        <v>65</v>
      </c>
      <c r="B84" s="724"/>
      <c r="C84" s="448"/>
      <c r="D84" s="449"/>
      <c r="E84" s="449"/>
      <c r="F84" s="449" t="s">
        <v>61</v>
      </c>
      <c r="G84" s="449"/>
      <c r="H84" s="449"/>
      <c r="I84" s="449"/>
      <c r="J84" s="449"/>
      <c r="K84" s="449"/>
      <c r="L84" s="449"/>
      <c r="M84" s="449" t="s">
        <v>62</v>
      </c>
      <c r="N84" s="449"/>
      <c r="O84" s="449"/>
      <c r="P84" s="449"/>
      <c r="Q84" s="449"/>
      <c r="R84" s="449"/>
      <c r="S84" s="450"/>
    </row>
    <row r="85" spans="1:19" ht="20.100000000000001" customHeight="1">
      <c r="A85" s="723" t="s">
        <v>66</v>
      </c>
      <c r="B85" s="724"/>
      <c r="C85" s="449"/>
      <c r="D85" s="449"/>
      <c r="E85" s="449"/>
      <c r="F85" s="449" t="s">
        <v>61</v>
      </c>
      <c r="G85" s="449"/>
      <c r="H85" s="449"/>
      <c r="I85" s="449"/>
      <c r="J85" s="449"/>
      <c r="K85" s="449"/>
      <c r="L85" s="449"/>
      <c r="M85" s="449" t="s">
        <v>62</v>
      </c>
      <c r="N85" s="449"/>
      <c r="O85" s="449"/>
      <c r="P85" s="449"/>
      <c r="Q85" s="449"/>
      <c r="R85" s="449"/>
      <c r="S85" s="450"/>
    </row>
    <row r="86" spans="1:19" ht="19.5" customHeight="1" thickBot="1">
      <c r="A86" s="725" t="s">
        <v>67</v>
      </c>
      <c r="B86" s="726"/>
      <c r="C86" s="45"/>
      <c r="D86" s="45"/>
      <c r="E86" s="45"/>
      <c r="F86" s="45" t="s">
        <v>61</v>
      </c>
      <c r="G86" s="45"/>
      <c r="H86" s="45"/>
      <c r="I86" s="45"/>
      <c r="J86" s="45"/>
      <c r="K86" s="45"/>
      <c r="L86" s="45"/>
      <c r="M86" s="45" t="s">
        <v>62</v>
      </c>
      <c r="N86" s="45"/>
      <c r="O86" s="45"/>
      <c r="P86" s="45"/>
      <c r="Q86" s="45"/>
      <c r="R86" s="45"/>
      <c r="S86" s="46"/>
    </row>
    <row r="87" spans="1:19" ht="15" thickTop="1">
      <c r="A87" s="727" t="s">
        <v>68</v>
      </c>
      <c r="B87" s="728"/>
      <c r="C87" s="728"/>
      <c r="D87" s="728"/>
      <c r="E87" s="728"/>
      <c r="F87" s="728"/>
      <c r="G87" s="728"/>
      <c r="H87" s="728"/>
      <c r="I87" s="728"/>
      <c r="J87" s="728"/>
      <c r="K87" s="728"/>
      <c r="L87" s="728"/>
      <c r="M87" s="728"/>
      <c r="N87" s="728"/>
      <c r="O87" s="728"/>
      <c r="P87" s="728"/>
      <c r="Q87" s="728"/>
      <c r="R87" s="728"/>
      <c r="S87" s="729"/>
    </row>
    <row r="88" spans="1:19" ht="8.25" customHeight="1">
      <c r="A88" s="707"/>
      <c r="B88" s="708"/>
      <c r="C88" s="708"/>
      <c r="D88" s="708"/>
      <c r="E88" s="708"/>
      <c r="F88" s="708"/>
      <c r="G88" s="708"/>
      <c r="H88" s="708"/>
      <c r="I88" s="708"/>
      <c r="J88" s="708"/>
      <c r="K88" s="708"/>
      <c r="L88" s="708"/>
      <c r="M88" s="708"/>
      <c r="N88" s="708"/>
      <c r="O88" s="708"/>
      <c r="P88" s="708"/>
      <c r="Q88" s="708"/>
      <c r="R88" s="708"/>
      <c r="S88" s="709"/>
    </row>
    <row r="89" spans="1:19" ht="8.25" customHeight="1">
      <c r="A89" s="707"/>
      <c r="B89" s="708"/>
      <c r="C89" s="708"/>
      <c r="D89" s="708"/>
      <c r="E89" s="708"/>
      <c r="F89" s="708"/>
      <c r="G89" s="708"/>
      <c r="H89" s="708"/>
      <c r="I89" s="708"/>
      <c r="J89" s="708"/>
      <c r="K89" s="708"/>
      <c r="L89" s="708"/>
      <c r="M89" s="708"/>
      <c r="N89" s="708"/>
      <c r="O89" s="708"/>
      <c r="P89" s="708"/>
      <c r="Q89" s="708"/>
      <c r="R89" s="708"/>
      <c r="S89" s="709"/>
    </row>
    <row r="90" spans="1:19" ht="8.25" customHeight="1">
      <c r="A90" s="707"/>
      <c r="B90" s="708"/>
      <c r="C90" s="708"/>
      <c r="D90" s="708"/>
      <c r="E90" s="708"/>
      <c r="F90" s="708"/>
      <c r="G90" s="708"/>
      <c r="H90" s="708"/>
      <c r="I90" s="708"/>
      <c r="J90" s="708"/>
      <c r="K90" s="708"/>
      <c r="L90" s="708"/>
      <c r="M90" s="708"/>
      <c r="N90" s="708"/>
      <c r="O90" s="708"/>
      <c r="P90" s="708"/>
      <c r="Q90" s="708"/>
      <c r="R90" s="708"/>
      <c r="S90" s="709"/>
    </row>
    <row r="91" spans="1:19" ht="8.25" customHeight="1">
      <c r="A91" s="707"/>
      <c r="B91" s="708"/>
      <c r="C91" s="708"/>
      <c r="D91" s="708"/>
      <c r="E91" s="708"/>
      <c r="F91" s="708"/>
      <c r="G91" s="708"/>
      <c r="H91" s="708"/>
      <c r="I91" s="708"/>
      <c r="J91" s="708"/>
      <c r="K91" s="708"/>
      <c r="L91" s="708"/>
      <c r="M91" s="708"/>
      <c r="N91" s="708"/>
      <c r="O91" s="708"/>
      <c r="P91" s="708"/>
      <c r="Q91" s="708"/>
      <c r="R91" s="708"/>
      <c r="S91" s="709"/>
    </row>
    <row r="92" spans="1:19" ht="8.25" customHeight="1">
      <c r="A92" s="707"/>
      <c r="B92" s="708"/>
      <c r="C92" s="708"/>
      <c r="D92" s="708"/>
      <c r="E92" s="708"/>
      <c r="F92" s="708"/>
      <c r="G92" s="708"/>
      <c r="H92" s="708"/>
      <c r="I92" s="708"/>
      <c r="J92" s="708"/>
      <c r="K92" s="708"/>
      <c r="L92" s="708"/>
      <c r="M92" s="708"/>
      <c r="N92" s="708"/>
      <c r="O92" s="708"/>
      <c r="P92" s="708"/>
      <c r="Q92" s="708"/>
      <c r="R92" s="708"/>
      <c r="S92" s="709"/>
    </row>
    <row r="93" spans="1:19" ht="8.25" customHeight="1">
      <c r="A93" s="707"/>
      <c r="B93" s="708"/>
      <c r="C93" s="708"/>
      <c r="D93" s="708"/>
      <c r="E93" s="708"/>
      <c r="F93" s="708"/>
      <c r="G93" s="708"/>
      <c r="H93" s="708"/>
      <c r="I93" s="708"/>
      <c r="J93" s="708"/>
      <c r="K93" s="708"/>
      <c r="L93" s="708"/>
      <c r="M93" s="708"/>
      <c r="N93" s="708"/>
      <c r="O93" s="708"/>
      <c r="P93" s="708"/>
      <c r="Q93" s="708"/>
      <c r="R93" s="708"/>
      <c r="S93" s="709"/>
    </row>
    <row r="94" spans="1:19" ht="8.25" customHeight="1" thickBot="1">
      <c r="A94" s="710"/>
      <c r="B94" s="711"/>
      <c r="C94" s="711"/>
      <c r="D94" s="711"/>
      <c r="E94" s="711"/>
      <c r="F94" s="711"/>
      <c r="G94" s="711"/>
      <c r="H94" s="711"/>
      <c r="I94" s="711"/>
      <c r="J94" s="711"/>
      <c r="K94" s="711"/>
      <c r="L94" s="711"/>
      <c r="M94" s="711"/>
      <c r="N94" s="711"/>
      <c r="O94" s="711"/>
      <c r="P94" s="711"/>
      <c r="Q94" s="711"/>
      <c r="R94" s="711"/>
      <c r="S94" s="712"/>
    </row>
    <row r="95" spans="1:19" ht="20.100000000000001" customHeight="1" thickTop="1">
      <c r="A95" s="713" t="s">
        <v>69</v>
      </c>
      <c r="B95" s="714"/>
      <c r="C95" s="714"/>
      <c r="D95" s="714"/>
      <c r="E95" s="714"/>
      <c r="F95" s="714"/>
      <c r="G95" s="714"/>
      <c r="H95" s="714"/>
      <c r="I95" s="714"/>
      <c r="J95" s="714"/>
      <c r="K95" s="714"/>
      <c r="L95" s="714"/>
      <c r="M95" s="714"/>
      <c r="N95" s="714"/>
      <c r="O95" s="714"/>
      <c r="P95" s="714"/>
      <c r="Q95" s="714"/>
      <c r="R95" s="714"/>
      <c r="S95" s="715"/>
    </row>
    <row r="96" spans="1:19" ht="12" customHeight="1">
      <c r="A96" s="707"/>
      <c r="B96" s="708"/>
      <c r="C96" s="708"/>
      <c r="D96" s="708"/>
      <c r="E96" s="708"/>
      <c r="F96" s="708"/>
      <c r="G96" s="708"/>
      <c r="H96" s="708"/>
      <c r="I96" s="708"/>
      <c r="J96" s="708"/>
      <c r="K96" s="708"/>
      <c r="L96" s="708"/>
      <c r="M96" s="708"/>
      <c r="N96" s="708"/>
      <c r="O96" s="708"/>
      <c r="P96" s="708"/>
      <c r="Q96" s="708"/>
      <c r="R96" s="708"/>
      <c r="S96" s="709"/>
    </row>
    <row r="97" spans="1:19" ht="20.25" customHeight="1">
      <c r="A97" s="707"/>
      <c r="B97" s="708"/>
      <c r="C97" s="708"/>
      <c r="D97" s="708"/>
      <c r="E97" s="708"/>
      <c r="F97" s="708"/>
      <c r="G97" s="708"/>
      <c r="H97" s="708"/>
      <c r="I97" s="708"/>
      <c r="J97" s="708"/>
      <c r="K97" s="708"/>
      <c r="L97" s="708"/>
      <c r="M97" s="708"/>
      <c r="N97" s="708"/>
      <c r="O97" s="708"/>
      <c r="P97" s="708"/>
      <c r="Q97" s="708"/>
      <c r="R97" s="708"/>
      <c r="S97" s="709"/>
    </row>
    <row r="98" spans="1:19" ht="18.75" customHeight="1">
      <c r="A98" s="707"/>
      <c r="B98" s="708"/>
      <c r="C98" s="708"/>
      <c r="D98" s="708"/>
      <c r="E98" s="708"/>
      <c r="F98" s="708"/>
      <c r="G98" s="708"/>
      <c r="H98" s="708"/>
      <c r="I98" s="708"/>
      <c r="J98" s="708"/>
      <c r="K98" s="708"/>
      <c r="L98" s="708"/>
      <c r="M98" s="708"/>
      <c r="N98" s="708"/>
      <c r="O98" s="708"/>
      <c r="P98" s="708"/>
      <c r="Q98" s="708"/>
      <c r="R98" s="708"/>
      <c r="S98" s="709"/>
    </row>
    <row r="99" spans="1:19" ht="12" customHeight="1">
      <c r="A99" s="707"/>
      <c r="B99" s="708"/>
      <c r="C99" s="708"/>
      <c r="D99" s="708"/>
      <c r="E99" s="708"/>
      <c r="F99" s="708"/>
      <c r="G99" s="708"/>
      <c r="H99" s="708"/>
      <c r="I99" s="708"/>
      <c r="J99" s="708"/>
      <c r="K99" s="708"/>
      <c r="L99" s="708"/>
      <c r="M99" s="708"/>
      <c r="N99" s="708"/>
      <c r="O99" s="708"/>
      <c r="P99" s="708"/>
      <c r="Q99" s="708"/>
      <c r="R99" s="708"/>
      <c r="S99" s="709"/>
    </row>
    <row r="100" spans="1:19" ht="12" customHeight="1" thickBot="1">
      <c r="A100" s="716"/>
      <c r="B100" s="717"/>
      <c r="C100" s="717"/>
      <c r="D100" s="717"/>
      <c r="E100" s="717"/>
      <c r="F100" s="717"/>
      <c r="G100" s="717"/>
      <c r="H100" s="717"/>
      <c r="I100" s="717"/>
      <c r="J100" s="717"/>
      <c r="K100" s="717"/>
      <c r="L100" s="717"/>
      <c r="M100" s="717"/>
      <c r="N100" s="717"/>
      <c r="O100" s="717"/>
      <c r="P100" s="717"/>
      <c r="Q100" s="717"/>
      <c r="R100" s="717"/>
      <c r="S100" s="718"/>
    </row>
    <row r="101" spans="1:19" ht="19.5" customHeight="1">
      <c r="A101" s="719" t="s">
        <v>98</v>
      </c>
      <c r="B101" s="720"/>
      <c r="C101" s="720"/>
      <c r="D101" s="720"/>
      <c r="E101" s="720"/>
      <c r="F101" s="720"/>
      <c r="G101" s="720"/>
      <c r="H101" s="720"/>
      <c r="I101" s="720"/>
      <c r="J101" s="720"/>
      <c r="K101" s="720"/>
      <c r="L101" s="720"/>
      <c r="M101" s="720"/>
      <c r="N101" s="720"/>
      <c r="O101" s="720"/>
      <c r="P101" s="720"/>
      <c r="Q101" s="720"/>
      <c r="R101" s="720"/>
      <c r="S101" s="721"/>
    </row>
    <row r="102" spans="1:19" ht="19.5" customHeight="1" thickBot="1">
      <c r="A102" s="722">
        <f ca="1">TODAY()</f>
        <v>43839</v>
      </c>
      <c r="B102" s="717"/>
      <c r="C102" s="717"/>
      <c r="D102" s="717"/>
      <c r="E102" s="717"/>
      <c r="F102" s="717"/>
      <c r="G102" s="717"/>
      <c r="H102" s="717"/>
      <c r="I102" s="717"/>
      <c r="J102" s="717"/>
      <c r="K102" s="717"/>
      <c r="L102" s="717"/>
      <c r="M102" s="717"/>
      <c r="N102" s="717"/>
      <c r="O102" s="717"/>
      <c r="P102" s="717"/>
      <c r="Q102" s="717"/>
      <c r="R102" s="717"/>
      <c r="S102" s="718"/>
    </row>
    <row r="103" spans="1:19">
      <c r="H103" s="72" t="str">
        <f>"2/"&amp;IF(COUNTIF(辅助!K:K,"&gt;0")&lt;9,1,IF(COUNTIF(辅助!K:K,"&gt;0")&lt;17,2,IF(COUNTIF(辅助!K:K,"&gt;0")&lt;25,3,IF(COUNTIF(辅助!K:K,"&gt;0")&lt;33,4))))</f>
        <v>2/2</v>
      </c>
    </row>
    <row r="104" spans="1:19" ht="12.75" customHeight="1"/>
    <row r="105" spans="1:19" ht="24">
      <c r="A105" s="747" t="s">
        <v>46</v>
      </c>
      <c r="B105" s="747"/>
      <c r="C105" s="747"/>
      <c r="D105" s="747"/>
      <c r="E105" s="747"/>
      <c r="F105" s="747"/>
      <c r="G105" s="747"/>
      <c r="H105" s="747"/>
      <c r="I105" s="747"/>
      <c r="J105" s="747"/>
      <c r="K105" s="747"/>
      <c r="L105" s="747"/>
      <c r="M105" s="747"/>
      <c r="N105" s="747"/>
      <c r="O105" s="747"/>
      <c r="P105" s="747"/>
      <c r="Q105" s="747"/>
      <c r="R105" s="747"/>
      <c r="S105" s="747"/>
    </row>
    <row r="106" spans="1:19" ht="9.75" customHeight="1" thickBot="1"/>
    <row r="107" spans="1:19" ht="20.100000000000001" customHeight="1">
      <c r="A107" s="744" t="s">
        <v>47</v>
      </c>
      <c r="B107" s="745"/>
      <c r="C107" s="745" t="s">
        <v>74</v>
      </c>
      <c r="D107" s="745"/>
      <c r="E107" s="745"/>
      <c r="F107" s="745"/>
      <c r="G107" s="745"/>
      <c r="H107" s="745"/>
      <c r="I107" s="745"/>
      <c r="J107" s="745"/>
      <c r="K107" s="745"/>
      <c r="L107" s="745"/>
      <c r="M107" s="745"/>
      <c r="N107" s="745"/>
      <c r="O107" s="745"/>
      <c r="P107" s="745"/>
      <c r="Q107" s="745"/>
      <c r="R107" s="745"/>
      <c r="S107" s="746"/>
    </row>
    <row r="108" spans="1:19" ht="20.100000000000001" customHeight="1">
      <c r="A108" s="723" t="s">
        <v>48</v>
      </c>
      <c r="B108" s="724"/>
      <c r="C108" s="724" t="s">
        <v>461</v>
      </c>
      <c r="D108" s="724"/>
      <c r="E108" s="724"/>
      <c r="F108" s="724"/>
      <c r="G108" s="724"/>
      <c r="H108" s="724"/>
      <c r="I108" s="724"/>
      <c r="J108" s="724"/>
      <c r="K108" s="724"/>
      <c r="L108" s="724"/>
      <c r="M108" s="724"/>
      <c r="N108" s="724"/>
      <c r="O108" s="724"/>
      <c r="P108" s="724"/>
      <c r="Q108" s="724"/>
      <c r="R108" s="724"/>
      <c r="S108" s="738"/>
    </row>
    <row r="109" spans="1:19" ht="20.100000000000001" customHeight="1">
      <c r="A109" s="723" t="s">
        <v>49</v>
      </c>
      <c r="B109" s="724"/>
      <c r="C109" s="724">
        <v>201209</v>
      </c>
      <c r="D109" s="724"/>
      <c r="E109" s="724"/>
      <c r="F109" s="724"/>
      <c r="G109" s="724"/>
      <c r="H109" s="724"/>
      <c r="I109" s="724"/>
      <c r="J109" s="734" t="s">
        <v>50</v>
      </c>
      <c r="K109" s="735"/>
      <c r="L109" s="742"/>
      <c r="M109" s="724"/>
      <c r="N109" s="724"/>
      <c r="O109" s="724"/>
      <c r="P109" s="724"/>
      <c r="Q109" s="724"/>
      <c r="R109" s="724"/>
      <c r="S109" s="738"/>
    </row>
    <row r="110" spans="1:19" ht="20.100000000000001" customHeight="1">
      <c r="A110" s="723" t="s">
        <v>51</v>
      </c>
      <c r="B110" s="724"/>
      <c r="C110" s="724" t="s">
        <v>117</v>
      </c>
      <c r="D110" s="724"/>
      <c r="E110" s="724"/>
      <c r="F110" s="724"/>
      <c r="G110" s="724"/>
      <c r="H110" s="724"/>
      <c r="I110" s="724"/>
      <c r="J110" s="734" t="s">
        <v>52</v>
      </c>
      <c r="K110" s="735"/>
      <c r="L110" s="742"/>
      <c r="M110" s="724"/>
      <c r="N110" s="724"/>
      <c r="O110" s="724"/>
      <c r="P110" s="724"/>
      <c r="Q110" s="724"/>
      <c r="R110" s="724"/>
      <c r="S110" s="738"/>
    </row>
    <row r="111" spans="1:19" ht="13.5" customHeight="1">
      <c r="A111" s="739" t="s">
        <v>99</v>
      </c>
      <c r="B111" s="743"/>
      <c r="C111" s="734" t="str">
        <f>辅助!R18</f>
        <v/>
      </c>
      <c r="D111" s="735"/>
      <c r="E111" s="735"/>
      <c r="F111" s="735"/>
      <c r="G111" s="735"/>
      <c r="H111" s="735"/>
      <c r="I111" s="735"/>
      <c r="J111" s="735"/>
      <c r="K111" s="735"/>
      <c r="L111" s="735"/>
      <c r="M111" s="735"/>
      <c r="N111" s="735"/>
      <c r="O111" s="735"/>
      <c r="P111" s="735"/>
      <c r="Q111" s="735"/>
      <c r="R111" s="735"/>
      <c r="S111" s="736"/>
    </row>
    <row r="112" spans="1:19" ht="13.5" customHeight="1">
      <c r="A112" s="707"/>
      <c r="B112" s="708"/>
      <c r="C112" s="734" t="str">
        <f>辅助!R19</f>
        <v/>
      </c>
      <c r="D112" s="735"/>
      <c r="E112" s="735"/>
      <c r="F112" s="735"/>
      <c r="G112" s="735"/>
      <c r="H112" s="735"/>
      <c r="I112" s="735"/>
      <c r="J112" s="735"/>
      <c r="K112" s="735"/>
      <c r="L112" s="735"/>
      <c r="M112" s="735"/>
      <c r="N112" s="735"/>
      <c r="O112" s="735"/>
      <c r="P112" s="735"/>
      <c r="Q112" s="735"/>
      <c r="R112" s="735"/>
      <c r="S112" s="736"/>
    </row>
    <row r="113" spans="1:19" ht="13.5" customHeight="1">
      <c r="A113" s="707"/>
      <c r="B113" s="708"/>
      <c r="C113" s="734" t="str">
        <f>辅助!R20</f>
        <v/>
      </c>
      <c r="D113" s="735"/>
      <c r="E113" s="735"/>
      <c r="F113" s="735"/>
      <c r="G113" s="735"/>
      <c r="H113" s="735"/>
      <c r="I113" s="735"/>
      <c r="J113" s="735"/>
      <c r="K113" s="735"/>
      <c r="L113" s="735"/>
      <c r="M113" s="735"/>
      <c r="N113" s="735"/>
      <c r="O113" s="735"/>
      <c r="P113" s="735"/>
      <c r="Q113" s="735"/>
      <c r="R113" s="735"/>
      <c r="S113" s="736"/>
    </row>
    <row r="114" spans="1:19" ht="13.5" customHeight="1">
      <c r="A114" s="707"/>
      <c r="B114" s="708"/>
      <c r="C114" s="734" t="str">
        <f>辅助!R21</f>
        <v/>
      </c>
      <c r="D114" s="735"/>
      <c r="E114" s="735"/>
      <c r="F114" s="735"/>
      <c r="G114" s="735"/>
      <c r="H114" s="735"/>
      <c r="I114" s="735"/>
      <c r="J114" s="735"/>
      <c r="K114" s="735"/>
      <c r="L114" s="735"/>
      <c r="M114" s="735"/>
      <c r="N114" s="735"/>
      <c r="O114" s="735"/>
      <c r="P114" s="735"/>
      <c r="Q114" s="735"/>
      <c r="R114" s="735"/>
      <c r="S114" s="736"/>
    </row>
    <row r="115" spans="1:19" ht="13.5" customHeight="1">
      <c r="A115" s="707"/>
      <c r="B115" s="708"/>
      <c r="C115" s="734" t="str">
        <f>辅助!R22</f>
        <v/>
      </c>
      <c r="D115" s="735"/>
      <c r="E115" s="735"/>
      <c r="F115" s="735"/>
      <c r="G115" s="735"/>
      <c r="H115" s="735"/>
      <c r="I115" s="735"/>
      <c r="J115" s="735"/>
      <c r="K115" s="735"/>
      <c r="L115" s="735"/>
      <c r="M115" s="735"/>
      <c r="N115" s="735"/>
      <c r="O115" s="735"/>
      <c r="P115" s="735"/>
      <c r="Q115" s="735"/>
      <c r="R115" s="735"/>
      <c r="S115" s="736"/>
    </row>
    <row r="116" spans="1:19" ht="13.5" customHeight="1">
      <c r="A116" s="707"/>
      <c r="B116" s="708"/>
      <c r="C116" s="734" t="str">
        <f>辅助!R23</f>
        <v/>
      </c>
      <c r="D116" s="735"/>
      <c r="E116" s="735"/>
      <c r="F116" s="735"/>
      <c r="G116" s="735"/>
      <c r="H116" s="735"/>
      <c r="I116" s="735"/>
      <c r="J116" s="735"/>
      <c r="K116" s="735"/>
      <c r="L116" s="735"/>
      <c r="M116" s="735"/>
      <c r="N116" s="735"/>
      <c r="O116" s="735"/>
      <c r="P116" s="735"/>
      <c r="Q116" s="735"/>
      <c r="R116" s="735"/>
      <c r="S116" s="736"/>
    </row>
    <row r="117" spans="1:19" ht="13.5" customHeight="1">
      <c r="A117" s="707"/>
      <c r="B117" s="708"/>
      <c r="C117" s="734" t="str">
        <f>辅助!R24</f>
        <v/>
      </c>
      <c r="D117" s="735"/>
      <c r="E117" s="735"/>
      <c r="F117" s="735"/>
      <c r="G117" s="735"/>
      <c r="H117" s="735"/>
      <c r="I117" s="735"/>
      <c r="J117" s="735"/>
      <c r="K117" s="735"/>
      <c r="L117" s="735"/>
      <c r="M117" s="735"/>
      <c r="N117" s="735"/>
      <c r="O117" s="735"/>
      <c r="P117" s="735"/>
      <c r="Q117" s="735"/>
      <c r="R117" s="735"/>
      <c r="S117" s="736"/>
    </row>
    <row r="118" spans="1:19" ht="13.5" customHeight="1">
      <c r="A118" s="707"/>
      <c r="B118" s="708"/>
      <c r="C118" s="734" t="str">
        <f>辅助!R25</f>
        <v/>
      </c>
      <c r="D118" s="735"/>
      <c r="E118" s="735"/>
      <c r="F118" s="735"/>
      <c r="G118" s="735"/>
      <c r="H118" s="735"/>
      <c r="I118" s="735"/>
      <c r="J118" s="735"/>
      <c r="K118" s="735"/>
      <c r="L118" s="735"/>
      <c r="M118" s="735"/>
      <c r="N118" s="735"/>
      <c r="O118" s="735"/>
      <c r="P118" s="735"/>
      <c r="Q118" s="735"/>
      <c r="R118" s="735"/>
      <c r="S118" s="736"/>
    </row>
    <row r="119" spans="1:19" ht="13.5" customHeight="1">
      <c r="A119" s="739" t="s">
        <v>53</v>
      </c>
      <c r="B119" s="740"/>
      <c r="C119" s="748" t="str">
        <f>辅助!L18</f>
        <v/>
      </c>
      <c r="D119" s="748"/>
      <c r="E119" s="748"/>
      <c r="F119" s="748"/>
      <c r="G119" s="748"/>
      <c r="H119" s="748"/>
      <c r="I119" s="748"/>
      <c r="J119" s="748"/>
      <c r="K119" s="748"/>
      <c r="L119" s="748"/>
      <c r="M119" s="748"/>
      <c r="N119" s="748"/>
      <c r="O119" s="748"/>
      <c r="P119" s="748"/>
      <c r="Q119" s="748"/>
      <c r="R119" s="748"/>
      <c r="S119" s="749"/>
    </row>
    <row r="120" spans="1:19" ht="13.5" customHeight="1">
      <c r="A120" s="707"/>
      <c r="B120" s="741"/>
      <c r="C120" s="748" t="str">
        <f>辅助!L19</f>
        <v/>
      </c>
      <c r="D120" s="748"/>
      <c r="E120" s="748"/>
      <c r="F120" s="748"/>
      <c r="G120" s="748"/>
      <c r="H120" s="748"/>
      <c r="I120" s="748"/>
      <c r="J120" s="748"/>
      <c r="K120" s="748"/>
      <c r="L120" s="748"/>
      <c r="M120" s="748"/>
      <c r="N120" s="748"/>
      <c r="O120" s="748"/>
      <c r="P120" s="748"/>
      <c r="Q120" s="748"/>
      <c r="R120" s="748"/>
      <c r="S120" s="749"/>
    </row>
    <row r="121" spans="1:19" ht="13.5" customHeight="1">
      <c r="A121" s="707"/>
      <c r="B121" s="741"/>
      <c r="C121" s="748" t="str">
        <f>辅助!L20</f>
        <v/>
      </c>
      <c r="D121" s="748"/>
      <c r="E121" s="748"/>
      <c r="F121" s="748"/>
      <c r="G121" s="748"/>
      <c r="H121" s="748"/>
      <c r="I121" s="748"/>
      <c r="J121" s="748"/>
      <c r="K121" s="748"/>
      <c r="L121" s="748"/>
      <c r="M121" s="748"/>
      <c r="N121" s="748"/>
      <c r="O121" s="748"/>
      <c r="P121" s="748"/>
      <c r="Q121" s="748"/>
      <c r="R121" s="748"/>
      <c r="S121" s="749"/>
    </row>
    <row r="122" spans="1:19" ht="13.5" customHeight="1">
      <c r="A122" s="707"/>
      <c r="B122" s="741"/>
      <c r="C122" s="748" t="str">
        <f>辅助!L21</f>
        <v/>
      </c>
      <c r="D122" s="748"/>
      <c r="E122" s="748"/>
      <c r="F122" s="748"/>
      <c r="G122" s="748"/>
      <c r="H122" s="748"/>
      <c r="I122" s="748"/>
      <c r="J122" s="748"/>
      <c r="K122" s="748"/>
      <c r="L122" s="748"/>
      <c r="M122" s="748"/>
      <c r="N122" s="748"/>
      <c r="O122" s="748"/>
      <c r="P122" s="748"/>
      <c r="Q122" s="748"/>
      <c r="R122" s="748"/>
      <c r="S122" s="749"/>
    </row>
    <row r="123" spans="1:19" ht="13.5" customHeight="1">
      <c r="A123" s="707"/>
      <c r="B123" s="741"/>
      <c r="C123" s="748" t="str">
        <f>辅助!L22</f>
        <v/>
      </c>
      <c r="D123" s="748"/>
      <c r="E123" s="748"/>
      <c r="F123" s="748"/>
      <c r="G123" s="748"/>
      <c r="H123" s="748"/>
      <c r="I123" s="748"/>
      <c r="J123" s="748"/>
      <c r="K123" s="748"/>
      <c r="L123" s="748"/>
      <c r="M123" s="748"/>
      <c r="N123" s="748"/>
      <c r="O123" s="748"/>
      <c r="P123" s="748"/>
      <c r="Q123" s="748"/>
      <c r="R123" s="748"/>
      <c r="S123" s="749"/>
    </row>
    <row r="124" spans="1:19" ht="13.5" customHeight="1">
      <c r="A124" s="707"/>
      <c r="B124" s="741"/>
      <c r="C124" s="748" t="str">
        <f>辅助!L23</f>
        <v/>
      </c>
      <c r="D124" s="748"/>
      <c r="E124" s="748"/>
      <c r="F124" s="748"/>
      <c r="G124" s="748"/>
      <c r="H124" s="748"/>
      <c r="I124" s="748"/>
      <c r="J124" s="748"/>
      <c r="K124" s="748"/>
      <c r="L124" s="748"/>
      <c r="M124" s="748"/>
      <c r="N124" s="748"/>
      <c r="O124" s="748"/>
      <c r="P124" s="748"/>
      <c r="Q124" s="748"/>
      <c r="R124" s="748"/>
      <c r="S124" s="749"/>
    </row>
    <row r="125" spans="1:19" ht="13.5" customHeight="1">
      <c r="A125" s="707"/>
      <c r="B125" s="741"/>
      <c r="C125" s="748" t="str">
        <f>辅助!L24</f>
        <v/>
      </c>
      <c r="D125" s="748"/>
      <c r="E125" s="748"/>
      <c r="F125" s="748"/>
      <c r="G125" s="748"/>
      <c r="H125" s="748"/>
      <c r="I125" s="748"/>
      <c r="J125" s="748"/>
      <c r="K125" s="748"/>
      <c r="L125" s="748"/>
      <c r="M125" s="748"/>
      <c r="N125" s="748"/>
      <c r="O125" s="748"/>
      <c r="P125" s="748"/>
      <c r="Q125" s="748"/>
      <c r="R125" s="748"/>
      <c r="S125" s="749"/>
    </row>
    <row r="126" spans="1:19" ht="13.5" customHeight="1">
      <c r="A126" s="707"/>
      <c r="B126" s="741"/>
      <c r="C126" s="748" t="str">
        <f>辅助!L25</f>
        <v/>
      </c>
      <c r="D126" s="748"/>
      <c r="E126" s="748"/>
      <c r="F126" s="748"/>
      <c r="G126" s="748"/>
      <c r="H126" s="748"/>
      <c r="I126" s="748"/>
      <c r="J126" s="748"/>
      <c r="K126" s="748"/>
      <c r="L126" s="748"/>
      <c r="M126" s="748"/>
      <c r="N126" s="748"/>
      <c r="O126" s="748"/>
      <c r="P126" s="748"/>
      <c r="Q126" s="748"/>
      <c r="R126" s="748"/>
      <c r="S126" s="749"/>
    </row>
    <row r="127" spans="1:19" ht="17.25" customHeight="1">
      <c r="A127" s="723" t="s">
        <v>54</v>
      </c>
      <c r="B127" s="724"/>
      <c r="C127" s="737">
        <v>0.99</v>
      </c>
      <c r="D127" s="724"/>
      <c r="E127" s="724"/>
      <c r="F127" s="724"/>
      <c r="G127" s="724"/>
      <c r="H127" s="724"/>
      <c r="I127" s="724"/>
      <c r="J127" s="724"/>
      <c r="K127" s="724"/>
      <c r="L127" s="724"/>
      <c r="M127" s="724"/>
      <c r="N127" s="724"/>
      <c r="O127" s="724"/>
      <c r="P127" s="724"/>
      <c r="Q127" s="724"/>
      <c r="R127" s="724"/>
      <c r="S127" s="738"/>
    </row>
    <row r="128" spans="1:19" ht="17.25" customHeight="1">
      <c r="A128" s="723" t="s">
        <v>55</v>
      </c>
      <c r="B128" s="724"/>
      <c r="C128" s="724"/>
      <c r="D128" s="724"/>
      <c r="E128" s="724"/>
      <c r="F128" s="724"/>
      <c r="G128" s="724"/>
      <c r="H128" s="724"/>
      <c r="I128" s="724"/>
      <c r="J128" s="724"/>
      <c r="K128" s="724"/>
      <c r="L128" s="724"/>
      <c r="M128" s="724"/>
      <c r="N128" s="724"/>
      <c r="O128" s="724"/>
      <c r="P128" s="724"/>
      <c r="Q128" s="724"/>
      <c r="R128" s="724"/>
      <c r="S128" s="738"/>
    </row>
    <row r="129" spans="1:19" ht="17.25" customHeight="1">
      <c r="A129" s="723" t="s">
        <v>56</v>
      </c>
      <c r="B129" s="724"/>
      <c r="C129" s="724"/>
      <c r="D129" s="724"/>
      <c r="E129" s="724"/>
      <c r="F129" s="724"/>
      <c r="G129" s="724"/>
      <c r="H129" s="724"/>
      <c r="I129" s="724"/>
      <c r="J129" s="724"/>
      <c r="K129" s="724"/>
      <c r="L129" s="724"/>
      <c r="M129" s="724"/>
      <c r="N129" s="724"/>
      <c r="O129" s="724"/>
      <c r="P129" s="724"/>
      <c r="Q129" s="724"/>
      <c r="R129" s="724"/>
      <c r="S129" s="738"/>
    </row>
    <row r="130" spans="1:19" ht="17.25" customHeight="1" thickBot="1">
      <c r="A130" s="725" t="s">
        <v>57</v>
      </c>
      <c r="B130" s="726"/>
      <c r="C130" s="726" t="s">
        <v>58</v>
      </c>
      <c r="D130" s="726"/>
      <c r="E130" s="726"/>
      <c r="F130" s="726"/>
      <c r="G130" s="726"/>
      <c r="H130" s="726"/>
      <c r="I130" s="726"/>
      <c r="J130" s="726"/>
      <c r="K130" s="726"/>
      <c r="L130" s="726"/>
      <c r="M130" s="726"/>
      <c r="N130" s="726"/>
      <c r="O130" s="726"/>
      <c r="P130" s="726"/>
      <c r="Q130" s="726"/>
      <c r="R130" s="726"/>
      <c r="S130" s="730"/>
    </row>
    <row r="131" spans="1:19" ht="20.100000000000001" customHeight="1" thickTop="1">
      <c r="A131" s="731" t="s">
        <v>59</v>
      </c>
      <c r="B131" s="732"/>
      <c r="C131" s="732"/>
      <c r="D131" s="732"/>
      <c r="E131" s="732"/>
      <c r="F131" s="732"/>
      <c r="G131" s="732"/>
      <c r="H131" s="732"/>
      <c r="I131" s="732"/>
      <c r="J131" s="732"/>
      <c r="K131" s="732"/>
      <c r="L131" s="732"/>
      <c r="M131" s="732"/>
      <c r="N131" s="732"/>
      <c r="O131" s="732"/>
      <c r="P131" s="732"/>
      <c r="Q131" s="732"/>
      <c r="R131" s="732"/>
      <c r="S131" s="733"/>
    </row>
    <row r="132" spans="1:19" ht="20.100000000000001" customHeight="1">
      <c r="A132" s="723" t="s">
        <v>60</v>
      </c>
      <c r="B132" s="724"/>
      <c r="C132" s="448"/>
      <c r="D132" s="449"/>
      <c r="E132" s="449"/>
      <c r="F132" s="449" t="s">
        <v>61</v>
      </c>
      <c r="G132" s="449"/>
      <c r="H132" s="449"/>
      <c r="I132" s="449"/>
      <c r="J132" s="449"/>
      <c r="K132" s="449"/>
      <c r="L132" s="449"/>
      <c r="M132" s="449" t="s">
        <v>62</v>
      </c>
      <c r="N132" s="449"/>
      <c r="O132" s="449"/>
      <c r="P132" s="449"/>
      <c r="Q132" s="449"/>
      <c r="R132" s="449"/>
      <c r="S132" s="450"/>
    </row>
    <row r="133" spans="1:19" ht="20.100000000000001" customHeight="1">
      <c r="A133" s="723" t="s">
        <v>63</v>
      </c>
      <c r="B133" s="724"/>
      <c r="C133" s="448"/>
      <c r="D133" s="449"/>
      <c r="E133" s="449"/>
      <c r="F133" s="449" t="s">
        <v>61</v>
      </c>
      <c r="G133" s="449"/>
      <c r="H133" s="449"/>
      <c r="I133" s="449"/>
      <c r="J133" s="449"/>
      <c r="K133" s="449"/>
      <c r="L133" s="449"/>
      <c r="M133" s="449" t="s">
        <v>62</v>
      </c>
      <c r="N133" s="449"/>
      <c r="O133" s="449"/>
      <c r="P133" s="449"/>
      <c r="Q133" s="449"/>
      <c r="R133" s="449"/>
      <c r="S133" s="450"/>
    </row>
    <row r="134" spans="1:19" ht="20.100000000000001" customHeight="1">
      <c r="A134" s="723" t="s">
        <v>64</v>
      </c>
      <c r="B134" s="724"/>
      <c r="C134" s="448"/>
      <c r="D134" s="449"/>
      <c r="E134" s="449"/>
      <c r="F134" s="449" t="s">
        <v>61</v>
      </c>
      <c r="G134" s="449"/>
      <c r="H134" s="449"/>
      <c r="I134" s="449"/>
      <c r="J134" s="449"/>
      <c r="K134" s="449"/>
      <c r="L134" s="449"/>
      <c r="M134" s="449" t="s">
        <v>62</v>
      </c>
      <c r="N134" s="449"/>
      <c r="O134" s="449"/>
      <c r="P134" s="449"/>
      <c r="Q134" s="449"/>
      <c r="R134" s="449"/>
      <c r="S134" s="450"/>
    </row>
    <row r="135" spans="1:19" ht="20.100000000000001" customHeight="1">
      <c r="A135" s="723" t="s">
        <v>65</v>
      </c>
      <c r="B135" s="724"/>
      <c r="C135" s="448"/>
      <c r="D135" s="449"/>
      <c r="E135" s="449"/>
      <c r="F135" s="449" t="s">
        <v>61</v>
      </c>
      <c r="G135" s="449"/>
      <c r="H135" s="449"/>
      <c r="I135" s="449"/>
      <c r="J135" s="449"/>
      <c r="K135" s="449"/>
      <c r="L135" s="449"/>
      <c r="M135" s="449" t="s">
        <v>62</v>
      </c>
      <c r="N135" s="449"/>
      <c r="O135" s="449"/>
      <c r="P135" s="449"/>
      <c r="Q135" s="449"/>
      <c r="R135" s="449"/>
      <c r="S135" s="450"/>
    </row>
    <row r="136" spans="1:19" ht="20.100000000000001" customHeight="1">
      <c r="A136" s="723" t="s">
        <v>66</v>
      </c>
      <c r="B136" s="724"/>
      <c r="C136" s="449"/>
      <c r="D136" s="449"/>
      <c r="E136" s="449"/>
      <c r="F136" s="449" t="s">
        <v>61</v>
      </c>
      <c r="G136" s="449"/>
      <c r="H136" s="449"/>
      <c r="I136" s="449"/>
      <c r="J136" s="449"/>
      <c r="K136" s="449"/>
      <c r="L136" s="449"/>
      <c r="M136" s="449" t="s">
        <v>62</v>
      </c>
      <c r="N136" s="449"/>
      <c r="O136" s="449"/>
      <c r="P136" s="449"/>
      <c r="Q136" s="449"/>
      <c r="R136" s="449"/>
      <c r="S136" s="450"/>
    </row>
    <row r="137" spans="1:19" ht="19.5" customHeight="1" thickBot="1">
      <c r="A137" s="725" t="s">
        <v>67</v>
      </c>
      <c r="B137" s="726"/>
      <c r="C137" s="45"/>
      <c r="D137" s="45"/>
      <c r="E137" s="45"/>
      <c r="F137" s="45" t="s">
        <v>61</v>
      </c>
      <c r="G137" s="45"/>
      <c r="H137" s="45"/>
      <c r="I137" s="45"/>
      <c r="J137" s="45"/>
      <c r="K137" s="45"/>
      <c r="L137" s="45"/>
      <c r="M137" s="45" t="s">
        <v>62</v>
      </c>
      <c r="N137" s="45"/>
      <c r="O137" s="45"/>
      <c r="P137" s="45"/>
      <c r="Q137" s="45"/>
      <c r="R137" s="45"/>
      <c r="S137" s="46"/>
    </row>
    <row r="138" spans="1:19" ht="15" thickTop="1">
      <c r="A138" s="727" t="s">
        <v>68</v>
      </c>
      <c r="B138" s="728"/>
      <c r="C138" s="728"/>
      <c r="D138" s="728"/>
      <c r="E138" s="728"/>
      <c r="F138" s="728"/>
      <c r="G138" s="728"/>
      <c r="H138" s="728"/>
      <c r="I138" s="728"/>
      <c r="J138" s="728"/>
      <c r="K138" s="728"/>
      <c r="L138" s="728"/>
      <c r="M138" s="728"/>
      <c r="N138" s="728"/>
      <c r="O138" s="728"/>
      <c r="P138" s="728"/>
      <c r="Q138" s="728"/>
      <c r="R138" s="728"/>
      <c r="S138" s="729"/>
    </row>
    <row r="139" spans="1:19" ht="8.25" customHeight="1">
      <c r="A139" s="707"/>
      <c r="B139" s="708"/>
      <c r="C139" s="708"/>
      <c r="D139" s="708"/>
      <c r="E139" s="708"/>
      <c r="F139" s="708"/>
      <c r="G139" s="708"/>
      <c r="H139" s="708"/>
      <c r="I139" s="708"/>
      <c r="J139" s="708"/>
      <c r="K139" s="708"/>
      <c r="L139" s="708"/>
      <c r="M139" s="708"/>
      <c r="N139" s="708"/>
      <c r="O139" s="708"/>
      <c r="P139" s="708"/>
      <c r="Q139" s="708"/>
      <c r="R139" s="708"/>
      <c r="S139" s="709"/>
    </row>
    <row r="140" spans="1:19" ht="8.25" customHeight="1">
      <c r="A140" s="707"/>
      <c r="B140" s="708"/>
      <c r="C140" s="708"/>
      <c r="D140" s="708"/>
      <c r="E140" s="708"/>
      <c r="F140" s="708"/>
      <c r="G140" s="708"/>
      <c r="H140" s="708"/>
      <c r="I140" s="708"/>
      <c r="J140" s="708"/>
      <c r="K140" s="708"/>
      <c r="L140" s="708"/>
      <c r="M140" s="708"/>
      <c r="N140" s="708"/>
      <c r="O140" s="708"/>
      <c r="P140" s="708"/>
      <c r="Q140" s="708"/>
      <c r="R140" s="708"/>
      <c r="S140" s="709"/>
    </row>
    <row r="141" spans="1:19" ht="15.75" customHeight="1">
      <c r="A141" s="707"/>
      <c r="B141" s="708"/>
      <c r="C141" s="708"/>
      <c r="D141" s="708"/>
      <c r="E141" s="708"/>
      <c r="F141" s="708"/>
      <c r="G141" s="708"/>
      <c r="H141" s="708"/>
      <c r="I141" s="708"/>
      <c r="J141" s="708"/>
      <c r="K141" s="708"/>
      <c r="L141" s="708"/>
      <c r="M141" s="708"/>
      <c r="N141" s="708"/>
      <c r="O141" s="708"/>
      <c r="P141" s="708"/>
      <c r="Q141" s="708"/>
      <c r="R141" s="708"/>
      <c r="S141" s="709"/>
    </row>
    <row r="142" spans="1:19" ht="8.25" customHeight="1">
      <c r="A142" s="707"/>
      <c r="B142" s="708"/>
      <c r="C142" s="708"/>
      <c r="D142" s="708"/>
      <c r="E142" s="708"/>
      <c r="F142" s="708"/>
      <c r="G142" s="708"/>
      <c r="H142" s="708"/>
      <c r="I142" s="708"/>
      <c r="J142" s="708"/>
      <c r="K142" s="708"/>
      <c r="L142" s="708"/>
      <c r="M142" s="708"/>
      <c r="N142" s="708"/>
      <c r="O142" s="708"/>
      <c r="P142" s="708"/>
      <c r="Q142" s="708"/>
      <c r="R142" s="708"/>
      <c r="S142" s="709"/>
    </row>
    <row r="143" spans="1:19" ht="13.5" customHeight="1">
      <c r="A143" s="707"/>
      <c r="B143" s="708"/>
      <c r="C143" s="708"/>
      <c r="D143" s="708"/>
      <c r="E143" s="708"/>
      <c r="F143" s="708"/>
      <c r="G143" s="708"/>
      <c r="H143" s="708"/>
      <c r="I143" s="708"/>
      <c r="J143" s="708"/>
      <c r="K143" s="708"/>
      <c r="L143" s="708"/>
      <c r="M143" s="708"/>
      <c r="N143" s="708"/>
      <c r="O143" s="708"/>
      <c r="P143" s="708"/>
      <c r="Q143" s="708"/>
      <c r="R143" s="708"/>
      <c r="S143" s="709"/>
    </row>
    <row r="144" spans="1:19" ht="8.25" customHeight="1">
      <c r="A144" s="707"/>
      <c r="B144" s="708"/>
      <c r="C144" s="708"/>
      <c r="D144" s="708"/>
      <c r="E144" s="708"/>
      <c r="F144" s="708"/>
      <c r="G144" s="708"/>
      <c r="H144" s="708"/>
      <c r="I144" s="708"/>
      <c r="J144" s="708"/>
      <c r="K144" s="708"/>
      <c r="L144" s="708"/>
      <c r="M144" s="708"/>
      <c r="N144" s="708"/>
      <c r="O144" s="708"/>
      <c r="P144" s="708"/>
      <c r="Q144" s="708"/>
      <c r="R144" s="708"/>
      <c r="S144" s="709"/>
    </row>
    <row r="145" spans="1:19" ht="8.25" customHeight="1" thickBot="1">
      <c r="A145" s="710"/>
      <c r="B145" s="711"/>
      <c r="C145" s="711"/>
      <c r="D145" s="711"/>
      <c r="E145" s="711"/>
      <c r="F145" s="711"/>
      <c r="G145" s="711"/>
      <c r="H145" s="711"/>
      <c r="I145" s="711"/>
      <c r="J145" s="711"/>
      <c r="K145" s="711"/>
      <c r="L145" s="711"/>
      <c r="M145" s="711"/>
      <c r="N145" s="711"/>
      <c r="O145" s="711"/>
      <c r="P145" s="711"/>
      <c r="Q145" s="711"/>
      <c r="R145" s="711"/>
      <c r="S145" s="712"/>
    </row>
    <row r="146" spans="1:19" ht="20.100000000000001" customHeight="1" thickTop="1">
      <c r="A146" s="713" t="s">
        <v>69</v>
      </c>
      <c r="B146" s="714"/>
      <c r="C146" s="714"/>
      <c r="D146" s="714"/>
      <c r="E146" s="714"/>
      <c r="F146" s="714"/>
      <c r="G146" s="714"/>
      <c r="H146" s="714"/>
      <c r="I146" s="714"/>
      <c r="J146" s="714"/>
      <c r="K146" s="714"/>
      <c r="L146" s="714"/>
      <c r="M146" s="714"/>
      <c r="N146" s="714"/>
      <c r="O146" s="714"/>
      <c r="P146" s="714"/>
      <c r="Q146" s="714"/>
      <c r="R146" s="714"/>
      <c r="S146" s="715"/>
    </row>
    <row r="147" spans="1:19" ht="12" customHeight="1">
      <c r="A147" s="707"/>
      <c r="B147" s="708"/>
      <c r="C147" s="708"/>
      <c r="D147" s="708"/>
      <c r="E147" s="708"/>
      <c r="F147" s="708"/>
      <c r="G147" s="708"/>
      <c r="H147" s="708"/>
      <c r="I147" s="708"/>
      <c r="J147" s="708"/>
      <c r="K147" s="708"/>
      <c r="L147" s="708"/>
      <c r="M147" s="708"/>
      <c r="N147" s="708"/>
      <c r="O147" s="708"/>
      <c r="P147" s="708"/>
      <c r="Q147" s="708"/>
      <c r="R147" s="708"/>
      <c r="S147" s="709"/>
    </row>
    <row r="148" spans="1:19" ht="12" customHeight="1">
      <c r="A148" s="707"/>
      <c r="B148" s="708"/>
      <c r="C148" s="708"/>
      <c r="D148" s="708"/>
      <c r="E148" s="708"/>
      <c r="F148" s="708"/>
      <c r="G148" s="708"/>
      <c r="H148" s="708"/>
      <c r="I148" s="708"/>
      <c r="J148" s="708"/>
      <c r="K148" s="708"/>
      <c r="L148" s="708"/>
      <c r="M148" s="708"/>
      <c r="N148" s="708"/>
      <c r="O148" s="708"/>
      <c r="P148" s="708"/>
      <c r="Q148" s="708"/>
      <c r="R148" s="708"/>
      <c r="S148" s="709"/>
    </row>
    <row r="149" spans="1:19" ht="12" customHeight="1">
      <c r="A149" s="707"/>
      <c r="B149" s="708"/>
      <c r="C149" s="708"/>
      <c r="D149" s="708"/>
      <c r="E149" s="708"/>
      <c r="F149" s="708"/>
      <c r="G149" s="708"/>
      <c r="H149" s="708"/>
      <c r="I149" s="708"/>
      <c r="J149" s="708"/>
      <c r="K149" s="708"/>
      <c r="L149" s="708"/>
      <c r="M149" s="708"/>
      <c r="N149" s="708"/>
      <c r="O149" s="708"/>
      <c r="P149" s="708"/>
      <c r="Q149" s="708"/>
      <c r="R149" s="708"/>
      <c r="S149" s="709"/>
    </row>
    <row r="150" spans="1:19" ht="17.25" customHeight="1">
      <c r="A150" s="707"/>
      <c r="B150" s="708"/>
      <c r="C150" s="708"/>
      <c r="D150" s="708"/>
      <c r="E150" s="708"/>
      <c r="F150" s="708"/>
      <c r="G150" s="708"/>
      <c r="H150" s="708"/>
      <c r="I150" s="708"/>
      <c r="J150" s="708"/>
      <c r="K150" s="708"/>
      <c r="L150" s="708"/>
      <c r="M150" s="708"/>
      <c r="N150" s="708"/>
      <c r="O150" s="708"/>
      <c r="P150" s="708"/>
      <c r="Q150" s="708"/>
      <c r="R150" s="708"/>
      <c r="S150" s="709"/>
    </row>
    <row r="151" spans="1:19" ht="12" customHeight="1" thickBot="1">
      <c r="A151" s="716"/>
      <c r="B151" s="717"/>
      <c r="C151" s="717"/>
      <c r="D151" s="717"/>
      <c r="E151" s="717"/>
      <c r="F151" s="717"/>
      <c r="G151" s="717"/>
      <c r="H151" s="717"/>
      <c r="I151" s="717"/>
      <c r="J151" s="717"/>
      <c r="K151" s="717"/>
      <c r="L151" s="717"/>
      <c r="M151" s="717"/>
      <c r="N151" s="717"/>
      <c r="O151" s="717"/>
      <c r="P151" s="717"/>
      <c r="Q151" s="717"/>
      <c r="R151" s="717"/>
      <c r="S151" s="718"/>
    </row>
    <row r="152" spans="1:19" ht="19.5" customHeight="1">
      <c r="A152" s="719" t="s">
        <v>98</v>
      </c>
      <c r="B152" s="720"/>
      <c r="C152" s="720"/>
      <c r="D152" s="720"/>
      <c r="E152" s="720"/>
      <c r="F152" s="720"/>
      <c r="G152" s="720"/>
      <c r="H152" s="720"/>
      <c r="I152" s="720"/>
      <c r="J152" s="720"/>
      <c r="K152" s="720"/>
      <c r="L152" s="720"/>
      <c r="M152" s="720"/>
      <c r="N152" s="720"/>
      <c r="O152" s="720"/>
      <c r="P152" s="720"/>
      <c r="Q152" s="720"/>
      <c r="R152" s="720"/>
      <c r="S152" s="721"/>
    </row>
    <row r="153" spans="1:19" ht="19.5" customHeight="1" thickBot="1">
      <c r="A153" s="722">
        <f ca="1">TODAY()</f>
        <v>43839</v>
      </c>
      <c r="B153" s="717"/>
      <c r="C153" s="717"/>
      <c r="D153" s="717"/>
      <c r="E153" s="717"/>
      <c r="F153" s="717"/>
      <c r="G153" s="717"/>
      <c r="H153" s="717"/>
      <c r="I153" s="717"/>
      <c r="J153" s="717"/>
      <c r="K153" s="717"/>
      <c r="L153" s="717"/>
      <c r="M153" s="717"/>
      <c r="N153" s="717"/>
      <c r="O153" s="717"/>
      <c r="P153" s="717"/>
      <c r="Q153" s="717"/>
      <c r="R153" s="717"/>
      <c r="S153" s="718"/>
    </row>
    <row r="154" spans="1:19" ht="27.75" customHeight="1">
      <c r="I154" s="72" t="str">
        <f>"3/"&amp;IF(COUNTIF(辅助!K:K,"&gt;0")&lt;9,1,IF(COUNTIF(辅助!K:K,"&gt;0")&lt;17,2,IF(COUNTIF(辅助!K:K,"&gt;0")&lt;25,3,IF(COUNTIF(辅助!K:K,"&gt;0")&lt;33,4))))</f>
        <v>3/2</v>
      </c>
    </row>
    <row r="155" spans="1:19" ht="24">
      <c r="A155" s="747" t="s">
        <v>46</v>
      </c>
      <c r="B155" s="747"/>
      <c r="C155" s="747"/>
      <c r="D155" s="747"/>
      <c r="E155" s="747"/>
      <c r="F155" s="747"/>
      <c r="G155" s="747"/>
      <c r="H155" s="747"/>
      <c r="I155" s="747"/>
      <c r="J155" s="747"/>
      <c r="K155" s="747"/>
      <c r="L155" s="747"/>
      <c r="M155" s="747"/>
      <c r="N155" s="747"/>
      <c r="O155" s="747"/>
      <c r="P155" s="747"/>
      <c r="Q155" s="747"/>
      <c r="R155" s="747"/>
      <c r="S155" s="747"/>
    </row>
    <row r="156" spans="1:19" ht="9.75" customHeight="1" thickBot="1"/>
    <row r="157" spans="1:19" ht="20.100000000000001" customHeight="1">
      <c r="A157" s="744" t="s">
        <v>47</v>
      </c>
      <c r="B157" s="745"/>
      <c r="C157" s="745" t="s">
        <v>74</v>
      </c>
      <c r="D157" s="745"/>
      <c r="E157" s="745"/>
      <c r="F157" s="745"/>
      <c r="G157" s="745"/>
      <c r="H157" s="745"/>
      <c r="I157" s="745"/>
      <c r="J157" s="745"/>
      <c r="K157" s="745"/>
      <c r="L157" s="745"/>
      <c r="M157" s="745"/>
      <c r="N157" s="745"/>
      <c r="O157" s="745"/>
      <c r="P157" s="745"/>
      <c r="Q157" s="745"/>
      <c r="R157" s="745"/>
      <c r="S157" s="746"/>
    </row>
    <row r="158" spans="1:19" ht="20.100000000000001" customHeight="1">
      <c r="A158" s="723" t="s">
        <v>48</v>
      </c>
      <c r="B158" s="724"/>
      <c r="C158" s="724" t="s">
        <v>461</v>
      </c>
      <c r="D158" s="724"/>
      <c r="E158" s="724"/>
      <c r="F158" s="724"/>
      <c r="G158" s="724"/>
      <c r="H158" s="724"/>
      <c r="I158" s="724"/>
      <c r="J158" s="724"/>
      <c r="K158" s="724"/>
      <c r="L158" s="724"/>
      <c r="M158" s="724"/>
      <c r="N158" s="724"/>
      <c r="O158" s="724"/>
      <c r="P158" s="724"/>
      <c r="Q158" s="724"/>
      <c r="R158" s="724"/>
      <c r="S158" s="738"/>
    </row>
    <row r="159" spans="1:19" ht="20.100000000000001" customHeight="1">
      <c r="A159" s="723" t="s">
        <v>49</v>
      </c>
      <c r="B159" s="724"/>
      <c r="C159" s="724">
        <v>201209</v>
      </c>
      <c r="D159" s="724"/>
      <c r="E159" s="724"/>
      <c r="F159" s="724"/>
      <c r="G159" s="724"/>
      <c r="H159" s="724"/>
      <c r="I159" s="724"/>
      <c r="J159" s="734" t="s">
        <v>50</v>
      </c>
      <c r="K159" s="735"/>
      <c r="L159" s="742"/>
      <c r="M159" s="724"/>
      <c r="N159" s="724"/>
      <c r="O159" s="724"/>
      <c r="P159" s="724"/>
      <c r="Q159" s="724"/>
      <c r="R159" s="724"/>
      <c r="S159" s="738"/>
    </row>
    <row r="160" spans="1:19" ht="20.100000000000001" customHeight="1">
      <c r="A160" s="723" t="s">
        <v>51</v>
      </c>
      <c r="B160" s="724"/>
      <c r="C160" s="724" t="s">
        <v>117</v>
      </c>
      <c r="D160" s="724"/>
      <c r="E160" s="724"/>
      <c r="F160" s="724"/>
      <c r="G160" s="724"/>
      <c r="H160" s="724"/>
      <c r="I160" s="724"/>
      <c r="J160" s="734" t="s">
        <v>52</v>
      </c>
      <c r="K160" s="735"/>
      <c r="L160" s="742"/>
      <c r="M160" s="724"/>
      <c r="N160" s="724"/>
      <c r="O160" s="724"/>
      <c r="P160" s="724"/>
      <c r="Q160" s="724"/>
      <c r="R160" s="724"/>
      <c r="S160" s="738"/>
    </row>
    <row r="161" spans="1:19" ht="13.5" customHeight="1">
      <c r="A161" s="739" t="s">
        <v>99</v>
      </c>
      <c r="B161" s="743"/>
      <c r="C161" s="734" t="str">
        <f>辅助!R26</f>
        <v/>
      </c>
      <c r="D161" s="735"/>
      <c r="E161" s="735"/>
      <c r="F161" s="735"/>
      <c r="G161" s="735"/>
      <c r="H161" s="735"/>
      <c r="I161" s="735"/>
      <c r="J161" s="735"/>
      <c r="K161" s="735"/>
      <c r="L161" s="735"/>
      <c r="M161" s="735"/>
      <c r="N161" s="735"/>
      <c r="O161" s="735"/>
      <c r="P161" s="735"/>
      <c r="Q161" s="735"/>
      <c r="R161" s="735"/>
      <c r="S161" s="736"/>
    </row>
    <row r="162" spans="1:19" ht="13.5" customHeight="1">
      <c r="A162" s="707"/>
      <c r="B162" s="708"/>
      <c r="C162" s="734" t="str">
        <f>辅助!R27</f>
        <v/>
      </c>
      <c r="D162" s="735"/>
      <c r="E162" s="735"/>
      <c r="F162" s="735"/>
      <c r="G162" s="735"/>
      <c r="H162" s="735"/>
      <c r="I162" s="735"/>
      <c r="J162" s="735"/>
      <c r="K162" s="735"/>
      <c r="L162" s="735"/>
      <c r="M162" s="735"/>
      <c r="N162" s="735"/>
      <c r="O162" s="735"/>
      <c r="P162" s="735"/>
      <c r="Q162" s="735"/>
      <c r="R162" s="735"/>
      <c r="S162" s="736"/>
    </row>
    <row r="163" spans="1:19" ht="13.5" customHeight="1">
      <c r="A163" s="707"/>
      <c r="B163" s="708"/>
      <c r="C163" s="734" t="str">
        <f>辅助!R28</f>
        <v/>
      </c>
      <c r="D163" s="735"/>
      <c r="E163" s="735"/>
      <c r="F163" s="735"/>
      <c r="G163" s="735"/>
      <c r="H163" s="735"/>
      <c r="I163" s="735"/>
      <c r="J163" s="735"/>
      <c r="K163" s="735"/>
      <c r="L163" s="735"/>
      <c r="M163" s="735"/>
      <c r="N163" s="735"/>
      <c r="O163" s="735"/>
      <c r="P163" s="735"/>
      <c r="Q163" s="735"/>
      <c r="R163" s="735"/>
      <c r="S163" s="736"/>
    </row>
    <row r="164" spans="1:19" ht="13.5" customHeight="1">
      <c r="A164" s="707"/>
      <c r="B164" s="708"/>
      <c r="C164" s="734" t="str">
        <f>辅助!R29</f>
        <v/>
      </c>
      <c r="D164" s="735"/>
      <c r="E164" s="735"/>
      <c r="F164" s="735"/>
      <c r="G164" s="735"/>
      <c r="H164" s="735"/>
      <c r="I164" s="735"/>
      <c r="J164" s="735"/>
      <c r="K164" s="735"/>
      <c r="L164" s="735"/>
      <c r="M164" s="735"/>
      <c r="N164" s="735"/>
      <c r="O164" s="735"/>
      <c r="P164" s="735"/>
      <c r="Q164" s="735"/>
      <c r="R164" s="735"/>
      <c r="S164" s="736"/>
    </row>
    <row r="165" spans="1:19" ht="13.5" customHeight="1">
      <c r="A165" s="707"/>
      <c r="B165" s="708"/>
      <c r="C165" s="734" t="str">
        <f>辅助!R30</f>
        <v/>
      </c>
      <c r="D165" s="735"/>
      <c r="E165" s="735"/>
      <c r="F165" s="735"/>
      <c r="G165" s="735"/>
      <c r="H165" s="735"/>
      <c r="I165" s="735"/>
      <c r="J165" s="735"/>
      <c r="K165" s="735"/>
      <c r="L165" s="735"/>
      <c r="M165" s="735"/>
      <c r="N165" s="735"/>
      <c r="O165" s="735"/>
      <c r="P165" s="735"/>
      <c r="Q165" s="735"/>
      <c r="R165" s="735"/>
      <c r="S165" s="736"/>
    </row>
    <row r="166" spans="1:19" ht="13.5" customHeight="1">
      <c r="A166" s="707"/>
      <c r="B166" s="708"/>
      <c r="C166" s="734" t="str">
        <f>辅助!R31</f>
        <v/>
      </c>
      <c r="D166" s="735"/>
      <c r="E166" s="735"/>
      <c r="F166" s="735"/>
      <c r="G166" s="735"/>
      <c r="H166" s="735"/>
      <c r="I166" s="735"/>
      <c r="J166" s="735"/>
      <c r="K166" s="735"/>
      <c r="L166" s="735"/>
      <c r="M166" s="735"/>
      <c r="N166" s="735"/>
      <c r="O166" s="735"/>
      <c r="P166" s="735"/>
      <c r="Q166" s="735"/>
      <c r="R166" s="735"/>
      <c r="S166" s="736"/>
    </row>
    <row r="167" spans="1:19" ht="13.5" customHeight="1">
      <c r="A167" s="707"/>
      <c r="B167" s="708"/>
      <c r="C167" s="734" t="str">
        <f>辅助!R32</f>
        <v/>
      </c>
      <c r="D167" s="735"/>
      <c r="E167" s="735"/>
      <c r="F167" s="735"/>
      <c r="G167" s="735"/>
      <c r="H167" s="735"/>
      <c r="I167" s="735"/>
      <c r="J167" s="735"/>
      <c r="K167" s="735"/>
      <c r="L167" s="735"/>
      <c r="M167" s="735"/>
      <c r="N167" s="735"/>
      <c r="O167" s="735"/>
      <c r="P167" s="735"/>
      <c r="Q167" s="735"/>
      <c r="R167" s="735"/>
      <c r="S167" s="736"/>
    </row>
    <row r="168" spans="1:19" ht="13.5" customHeight="1">
      <c r="A168" s="707"/>
      <c r="B168" s="708"/>
      <c r="C168" s="734" t="str">
        <f>辅助!R33</f>
        <v/>
      </c>
      <c r="D168" s="735"/>
      <c r="E168" s="735"/>
      <c r="F168" s="735"/>
      <c r="G168" s="735"/>
      <c r="H168" s="735"/>
      <c r="I168" s="735"/>
      <c r="J168" s="735"/>
      <c r="K168" s="735"/>
      <c r="L168" s="735"/>
      <c r="M168" s="735"/>
      <c r="N168" s="735"/>
      <c r="O168" s="735"/>
      <c r="P168" s="735"/>
      <c r="Q168" s="735"/>
      <c r="R168" s="735"/>
      <c r="S168" s="736"/>
    </row>
    <row r="169" spans="1:19" ht="13.5" customHeight="1">
      <c r="A169" s="739" t="s">
        <v>53</v>
      </c>
      <c r="B169" s="740"/>
      <c r="C169" s="734" t="str">
        <f>辅助!L26</f>
        <v/>
      </c>
      <c r="D169" s="735"/>
      <c r="E169" s="735"/>
      <c r="F169" s="735"/>
      <c r="G169" s="735"/>
      <c r="H169" s="735"/>
      <c r="I169" s="735"/>
      <c r="J169" s="735"/>
      <c r="K169" s="735"/>
      <c r="L169" s="735"/>
      <c r="M169" s="735"/>
      <c r="N169" s="735"/>
      <c r="O169" s="735"/>
      <c r="P169" s="735"/>
      <c r="Q169" s="735"/>
      <c r="R169" s="735"/>
      <c r="S169" s="736"/>
    </row>
    <row r="170" spans="1:19" ht="13.5" customHeight="1">
      <c r="A170" s="707"/>
      <c r="B170" s="741"/>
      <c r="C170" s="734" t="str">
        <f>辅助!L27</f>
        <v/>
      </c>
      <c r="D170" s="735"/>
      <c r="E170" s="735"/>
      <c r="F170" s="735"/>
      <c r="G170" s="735"/>
      <c r="H170" s="735"/>
      <c r="I170" s="735"/>
      <c r="J170" s="735"/>
      <c r="K170" s="735"/>
      <c r="L170" s="735"/>
      <c r="M170" s="735"/>
      <c r="N170" s="735"/>
      <c r="O170" s="735"/>
      <c r="P170" s="735"/>
      <c r="Q170" s="735"/>
      <c r="R170" s="735"/>
      <c r="S170" s="736"/>
    </row>
    <row r="171" spans="1:19" ht="13.5" customHeight="1">
      <c r="A171" s="707"/>
      <c r="B171" s="741"/>
      <c r="C171" s="734" t="str">
        <f>辅助!L28</f>
        <v/>
      </c>
      <c r="D171" s="735"/>
      <c r="E171" s="735"/>
      <c r="F171" s="735"/>
      <c r="G171" s="735"/>
      <c r="H171" s="735"/>
      <c r="I171" s="735"/>
      <c r="J171" s="735"/>
      <c r="K171" s="735"/>
      <c r="L171" s="735"/>
      <c r="M171" s="735"/>
      <c r="N171" s="735"/>
      <c r="O171" s="735"/>
      <c r="P171" s="735"/>
      <c r="Q171" s="735"/>
      <c r="R171" s="735"/>
      <c r="S171" s="736"/>
    </row>
    <row r="172" spans="1:19" ht="13.5" customHeight="1">
      <c r="A172" s="707"/>
      <c r="B172" s="741"/>
      <c r="C172" s="734" t="str">
        <f>辅助!L29</f>
        <v/>
      </c>
      <c r="D172" s="735"/>
      <c r="E172" s="735"/>
      <c r="F172" s="735"/>
      <c r="G172" s="735"/>
      <c r="H172" s="735"/>
      <c r="I172" s="735"/>
      <c r="J172" s="735"/>
      <c r="K172" s="735"/>
      <c r="L172" s="735"/>
      <c r="M172" s="735"/>
      <c r="N172" s="735"/>
      <c r="O172" s="735"/>
      <c r="P172" s="735"/>
      <c r="Q172" s="735"/>
      <c r="R172" s="735"/>
      <c r="S172" s="736"/>
    </row>
    <row r="173" spans="1:19" ht="13.5" customHeight="1">
      <c r="A173" s="707"/>
      <c r="B173" s="741"/>
      <c r="C173" s="734" t="str">
        <f>辅助!L30</f>
        <v/>
      </c>
      <c r="D173" s="735"/>
      <c r="E173" s="735"/>
      <c r="F173" s="735"/>
      <c r="G173" s="735"/>
      <c r="H173" s="735"/>
      <c r="I173" s="735"/>
      <c r="J173" s="735"/>
      <c r="K173" s="735"/>
      <c r="L173" s="735"/>
      <c r="M173" s="735"/>
      <c r="N173" s="735"/>
      <c r="O173" s="735"/>
      <c r="P173" s="735"/>
      <c r="Q173" s="735"/>
      <c r="R173" s="735"/>
      <c r="S173" s="736"/>
    </row>
    <row r="174" spans="1:19" ht="13.5" customHeight="1">
      <c r="A174" s="707"/>
      <c r="B174" s="741"/>
      <c r="C174" s="734" t="str">
        <f>辅助!L31</f>
        <v/>
      </c>
      <c r="D174" s="735"/>
      <c r="E174" s="735"/>
      <c r="F174" s="735"/>
      <c r="G174" s="735"/>
      <c r="H174" s="735"/>
      <c r="I174" s="735"/>
      <c r="J174" s="735"/>
      <c r="K174" s="735"/>
      <c r="L174" s="735"/>
      <c r="M174" s="735"/>
      <c r="N174" s="735"/>
      <c r="O174" s="735"/>
      <c r="P174" s="735"/>
      <c r="Q174" s="735"/>
      <c r="R174" s="735"/>
      <c r="S174" s="736"/>
    </row>
    <row r="175" spans="1:19" ht="13.5" customHeight="1">
      <c r="A175" s="707"/>
      <c r="B175" s="741"/>
      <c r="C175" s="734" t="str">
        <f>辅助!L32</f>
        <v/>
      </c>
      <c r="D175" s="735"/>
      <c r="E175" s="735"/>
      <c r="F175" s="735"/>
      <c r="G175" s="735"/>
      <c r="H175" s="735"/>
      <c r="I175" s="735"/>
      <c r="J175" s="735"/>
      <c r="K175" s="735"/>
      <c r="L175" s="735"/>
      <c r="M175" s="735"/>
      <c r="N175" s="735"/>
      <c r="O175" s="735"/>
      <c r="P175" s="735"/>
      <c r="Q175" s="735"/>
      <c r="R175" s="735"/>
      <c r="S175" s="736"/>
    </row>
    <row r="176" spans="1:19" ht="13.5" customHeight="1">
      <c r="A176" s="707"/>
      <c r="B176" s="741"/>
      <c r="C176" s="734" t="str">
        <f>辅助!L33</f>
        <v/>
      </c>
      <c r="D176" s="735"/>
      <c r="E176" s="735"/>
      <c r="F176" s="735"/>
      <c r="G176" s="735"/>
      <c r="H176" s="735"/>
      <c r="I176" s="735"/>
      <c r="J176" s="735"/>
      <c r="K176" s="735"/>
      <c r="L176" s="735"/>
      <c r="M176" s="735"/>
      <c r="N176" s="735"/>
      <c r="O176" s="735"/>
      <c r="P176" s="735"/>
      <c r="Q176" s="735"/>
      <c r="R176" s="735"/>
      <c r="S176" s="736"/>
    </row>
    <row r="177" spans="1:19" ht="17.25" customHeight="1">
      <c r="A177" s="723" t="s">
        <v>54</v>
      </c>
      <c r="B177" s="724"/>
      <c r="C177" s="737">
        <v>0.99</v>
      </c>
      <c r="D177" s="724"/>
      <c r="E177" s="724"/>
      <c r="F177" s="724"/>
      <c r="G177" s="724"/>
      <c r="H177" s="724"/>
      <c r="I177" s="724"/>
      <c r="J177" s="724"/>
      <c r="K177" s="724"/>
      <c r="L177" s="724"/>
      <c r="M177" s="724"/>
      <c r="N177" s="724"/>
      <c r="O177" s="724"/>
      <c r="P177" s="724"/>
      <c r="Q177" s="724"/>
      <c r="R177" s="724"/>
      <c r="S177" s="738"/>
    </row>
    <row r="178" spans="1:19" ht="17.25" customHeight="1">
      <c r="A178" s="723" t="s">
        <v>55</v>
      </c>
      <c r="B178" s="724"/>
      <c r="C178" s="724"/>
      <c r="D178" s="724"/>
      <c r="E178" s="724"/>
      <c r="F178" s="724"/>
      <c r="G178" s="724"/>
      <c r="H178" s="724"/>
      <c r="I178" s="724"/>
      <c r="J178" s="724"/>
      <c r="K178" s="724"/>
      <c r="L178" s="724"/>
      <c r="M178" s="724"/>
      <c r="N178" s="724"/>
      <c r="O178" s="724"/>
      <c r="P178" s="724"/>
      <c r="Q178" s="724"/>
      <c r="R178" s="724"/>
      <c r="S178" s="738"/>
    </row>
    <row r="179" spans="1:19" ht="17.25" customHeight="1">
      <c r="A179" s="723" t="s">
        <v>56</v>
      </c>
      <c r="B179" s="724"/>
      <c r="C179" s="724"/>
      <c r="D179" s="724"/>
      <c r="E179" s="724"/>
      <c r="F179" s="724"/>
      <c r="G179" s="724"/>
      <c r="H179" s="724"/>
      <c r="I179" s="724"/>
      <c r="J179" s="724"/>
      <c r="K179" s="724"/>
      <c r="L179" s="724"/>
      <c r="M179" s="724"/>
      <c r="N179" s="724"/>
      <c r="O179" s="724"/>
      <c r="P179" s="724"/>
      <c r="Q179" s="724"/>
      <c r="R179" s="724"/>
      <c r="S179" s="738"/>
    </row>
    <row r="180" spans="1:19" ht="17.25" customHeight="1" thickBot="1">
      <c r="A180" s="725" t="s">
        <v>57</v>
      </c>
      <c r="B180" s="726"/>
      <c r="C180" s="726" t="s">
        <v>58</v>
      </c>
      <c r="D180" s="726"/>
      <c r="E180" s="726"/>
      <c r="F180" s="726"/>
      <c r="G180" s="726"/>
      <c r="H180" s="726"/>
      <c r="I180" s="726"/>
      <c r="J180" s="726"/>
      <c r="K180" s="726"/>
      <c r="L180" s="726"/>
      <c r="M180" s="726"/>
      <c r="N180" s="726"/>
      <c r="O180" s="726"/>
      <c r="P180" s="726"/>
      <c r="Q180" s="726"/>
      <c r="R180" s="726"/>
      <c r="S180" s="730"/>
    </row>
    <row r="181" spans="1:19" ht="20.100000000000001" customHeight="1" thickTop="1">
      <c r="A181" s="731" t="s">
        <v>59</v>
      </c>
      <c r="B181" s="732"/>
      <c r="C181" s="732"/>
      <c r="D181" s="732"/>
      <c r="E181" s="732"/>
      <c r="F181" s="732"/>
      <c r="G181" s="732"/>
      <c r="H181" s="732"/>
      <c r="I181" s="732"/>
      <c r="J181" s="732"/>
      <c r="K181" s="732"/>
      <c r="L181" s="732"/>
      <c r="M181" s="732"/>
      <c r="N181" s="732"/>
      <c r="O181" s="732"/>
      <c r="P181" s="732"/>
      <c r="Q181" s="732"/>
      <c r="R181" s="732"/>
      <c r="S181" s="733"/>
    </row>
    <row r="182" spans="1:19" ht="20.100000000000001" customHeight="1">
      <c r="A182" s="723" t="s">
        <v>60</v>
      </c>
      <c r="B182" s="724"/>
      <c r="C182" s="448"/>
      <c r="D182" s="449"/>
      <c r="E182" s="449"/>
      <c r="F182" s="449" t="s">
        <v>61</v>
      </c>
      <c r="G182" s="449"/>
      <c r="H182" s="449"/>
      <c r="I182" s="449"/>
      <c r="J182" s="449"/>
      <c r="K182" s="449"/>
      <c r="L182" s="449"/>
      <c r="M182" s="449" t="s">
        <v>62</v>
      </c>
      <c r="N182" s="449"/>
      <c r="O182" s="449"/>
      <c r="P182" s="449"/>
      <c r="Q182" s="449"/>
      <c r="R182" s="449"/>
      <c r="S182" s="450"/>
    </row>
    <row r="183" spans="1:19" ht="20.100000000000001" customHeight="1">
      <c r="A183" s="723" t="s">
        <v>63</v>
      </c>
      <c r="B183" s="724"/>
      <c r="C183" s="448"/>
      <c r="D183" s="449"/>
      <c r="E183" s="449"/>
      <c r="F183" s="449" t="s">
        <v>61</v>
      </c>
      <c r="G183" s="449"/>
      <c r="H183" s="449"/>
      <c r="I183" s="449"/>
      <c r="J183" s="449"/>
      <c r="K183" s="449"/>
      <c r="L183" s="449"/>
      <c r="M183" s="449" t="s">
        <v>62</v>
      </c>
      <c r="N183" s="449"/>
      <c r="O183" s="449"/>
      <c r="P183" s="449"/>
      <c r="Q183" s="449"/>
      <c r="R183" s="449"/>
      <c r="S183" s="450"/>
    </row>
    <row r="184" spans="1:19" ht="20.100000000000001" customHeight="1">
      <c r="A184" s="723" t="s">
        <v>64</v>
      </c>
      <c r="B184" s="724"/>
      <c r="C184" s="448"/>
      <c r="D184" s="449"/>
      <c r="E184" s="449"/>
      <c r="F184" s="449" t="s">
        <v>61</v>
      </c>
      <c r="G184" s="449"/>
      <c r="H184" s="449"/>
      <c r="I184" s="449"/>
      <c r="J184" s="449"/>
      <c r="K184" s="449"/>
      <c r="L184" s="449"/>
      <c r="M184" s="449" t="s">
        <v>62</v>
      </c>
      <c r="N184" s="449"/>
      <c r="O184" s="449"/>
      <c r="P184" s="449"/>
      <c r="Q184" s="449"/>
      <c r="R184" s="449"/>
      <c r="S184" s="450"/>
    </row>
    <row r="185" spans="1:19" ht="20.100000000000001" customHeight="1">
      <c r="A185" s="723" t="s">
        <v>65</v>
      </c>
      <c r="B185" s="724"/>
      <c r="C185" s="448"/>
      <c r="D185" s="449"/>
      <c r="E185" s="449"/>
      <c r="F185" s="449" t="s">
        <v>61</v>
      </c>
      <c r="G185" s="449"/>
      <c r="H185" s="449"/>
      <c r="I185" s="449"/>
      <c r="J185" s="449"/>
      <c r="K185" s="449"/>
      <c r="L185" s="449"/>
      <c r="M185" s="449" t="s">
        <v>62</v>
      </c>
      <c r="N185" s="449"/>
      <c r="O185" s="449"/>
      <c r="P185" s="449"/>
      <c r="Q185" s="449"/>
      <c r="R185" s="449"/>
      <c r="S185" s="450"/>
    </row>
    <row r="186" spans="1:19" ht="20.100000000000001" customHeight="1">
      <c r="A186" s="723" t="s">
        <v>66</v>
      </c>
      <c r="B186" s="724"/>
      <c r="C186" s="449"/>
      <c r="D186" s="449"/>
      <c r="E186" s="449"/>
      <c r="F186" s="449" t="s">
        <v>61</v>
      </c>
      <c r="G186" s="449"/>
      <c r="H186" s="449"/>
      <c r="I186" s="449"/>
      <c r="J186" s="449"/>
      <c r="K186" s="449"/>
      <c r="L186" s="449"/>
      <c r="M186" s="449" t="s">
        <v>62</v>
      </c>
      <c r="N186" s="449"/>
      <c r="O186" s="449"/>
      <c r="P186" s="449"/>
      <c r="Q186" s="449"/>
      <c r="R186" s="449"/>
      <c r="S186" s="450"/>
    </row>
    <row r="187" spans="1:19" ht="19.5" customHeight="1" thickBot="1">
      <c r="A187" s="725" t="s">
        <v>67</v>
      </c>
      <c r="B187" s="726"/>
      <c r="C187" s="45"/>
      <c r="D187" s="45"/>
      <c r="E187" s="45"/>
      <c r="F187" s="45" t="s">
        <v>61</v>
      </c>
      <c r="G187" s="45"/>
      <c r="H187" s="45"/>
      <c r="I187" s="45"/>
      <c r="J187" s="45"/>
      <c r="K187" s="45"/>
      <c r="L187" s="45"/>
      <c r="M187" s="45" t="s">
        <v>62</v>
      </c>
      <c r="N187" s="45"/>
      <c r="O187" s="45"/>
      <c r="P187" s="45"/>
      <c r="Q187" s="45"/>
      <c r="R187" s="45"/>
      <c r="S187" s="46"/>
    </row>
    <row r="188" spans="1:19" ht="15" thickTop="1">
      <c r="A188" s="727" t="s">
        <v>68</v>
      </c>
      <c r="B188" s="728"/>
      <c r="C188" s="728"/>
      <c r="D188" s="728"/>
      <c r="E188" s="728"/>
      <c r="F188" s="728"/>
      <c r="G188" s="728"/>
      <c r="H188" s="728"/>
      <c r="I188" s="728"/>
      <c r="J188" s="728"/>
      <c r="K188" s="728"/>
      <c r="L188" s="728"/>
      <c r="M188" s="728"/>
      <c r="N188" s="728"/>
      <c r="O188" s="728"/>
      <c r="P188" s="728"/>
      <c r="Q188" s="728"/>
      <c r="R188" s="728"/>
      <c r="S188" s="729"/>
    </row>
    <row r="189" spans="1:19" ht="8.25" customHeight="1">
      <c r="A189" s="707"/>
      <c r="B189" s="708"/>
      <c r="C189" s="708"/>
      <c r="D189" s="708"/>
      <c r="E189" s="708"/>
      <c r="F189" s="708"/>
      <c r="G189" s="708"/>
      <c r="H189" s="708"/>
      <c r="I189" s="708"/>
      <c r="J189" s="708"/>
      <c r="K189" s="708"/>
      <c r="L189" s="708"/>
      <c r="M189" s="708"/>
      <c r="N189" s="708"/>
      <c r="O189" s="708"/>
      <c r="P189" s="708"/>
      <c r="Q189" s="708"/>
      <c r="R189" s="708"/>
      <c r="S189" s="709"/>
    </row>
    <row r="190" spans="1:19" ht="8.25" customHeight="1">
      <c r="A190" s="707"/>
      <c r="B190" s="708"/>
      <c r="C190" s="708"/>
      <c r="D190" s="708"/>
      <c r="E190" s="708"/>
      <c r="F190" s="708"/>
      <c r="G190" s="708"/>
      <c r="H190" s="708"/>
      <c r="I190" s="708"/>
      <c r="J190" s="708"/>
      <c r="K190" s="708"/>
      <c r="L190" s="708"/>
      <c r="M190" s="708"/>
      <c r="N190" s="708"/>
      <c r="O190" s="708"/>
      <c r="P190" s="708"/>
      <c r="Q190" s="708"/>
      <c r="R190" s="708"/>
      <c r="S190" s="709"/>
    </row>
    <row r="191" spans="1:19" ht="8.25" customHeight="1">
      <c r="A191" s="707"/>
      <c r="B191" s="708"/>
      <c r="C191" s="708"/>
      <c r="D191" s="708"/>
      <c r="E191" s="708"/>
      <c r="F191" s="708"/>
      <c r="G191" s="708"/>
      <c r="H191" s="708"/>
      <c r="I191" s="708"/>
      <c r="J191" s="708"/>
      <c r="K191" s="708"/>
      <c r="L191" s="708"/>
      <c r="M191" s="708"/>
      <c r="N191" s="708"/>
      <c r="O191" s="708"/>
      <c r="P191" s="708"/>
      <c r="Q191" s="708"/>
      <c r="R191" s="708"/>
      <c r="S191" s="709"/>
    </row>
    <row r="192" spans="1:19" ht="8.25" customHeight="1">
      <c r="A192" s="707"/>
      <c r="B192" s="708"/>
      <c r="C192" s="708"/>
      <c r="D192" s="708"/>
      <c r="E192" s="708"/>
      <c r="F192" s="708"/>
      <c r="G192" s="708"/>
      <c r="H192" s="708"/>
      <c r="I192" s="708"/>
      <c r="J192" s="708"/>
      <c r="K192" s="708"/>
      <c r="L192" s="708"/>
      <c r="M192" s="708"/>
      <c r="N192" s="708"/>
      <c r="O192" s="708"/>
      <c r="P192" s="708"/>
      <c r="Q192" s="708"/>
      <c r="R192" s="708"/>
      <c r="S192" s="709"/>
    </row>
    <row r="193" spans="1:19" ht="8.25" customHeight="1">
      <c r="A193" s="707"/>
      <c r="B193" s="708"/>
      <c r="C193" s="708"/>
      <c r="D193" s="708"/>
      <c r="E193" s="708"/>
      <c r="F193" s="708"/>
      <c r="G193" s="708"/>
      <c r="H193" s="708"/>
      <c r="I193" s="708"/>
      <c r="J193" s="708"/>
      <c r="K193" s="708"/>
      <c r="L193" s="708"/>
      <c r="M193" s="708"/>
      <c r="N193" s="708"/>
      <c r="O193" s="708"/>
      <c r="P193" s="708"/>
      <c r="Q193" s="708"/>
      <c r="R193" s="708"/>
      <c r="S193" s="709"/>
    </row>
    <row r="194" spans="1:19" ht="8.25" customHeight="1">
      <c r="A194" s="707"/>
      <c r="B194" s="708"/>
      <c r="C194" s="708"/>
      <c r="D194" s="708"/>
      <c r="E194" s="708"/>
      <c r="F194" s="708"/>
      <c r="G194" s="708"/>
      <c r="H194" s="708"/>
      <c r="I194" s="708"/>
      <c r="J194" s="708"/>
      <c r="K194" s="708"/>
      <c r="L194" s="708"/>
      <c r="M194" s="708"/>
      <c r="N194" s="708"/>
      <c r="O194" s="708"/>
      <c r="P194" s="708"/>
      <c r="Q194" s="708"/>
      <c r="R194" s="708"/>
      <c r="S194" s="709"/>
    </row>
    <row r="195" spans="1:19" ht="8.25" customHeight="1" thickBot="1">
      <c r="A195" s="710"/>
      <c r="B195" s="711"/>
      <c r="C195" s="711"/>
      <c r="D195" s="711"/>
      <c r="E195" s="711"/>
      <c r="F195" s="711"/>
      <c r="G195" s="711"/>
      <c r="H195" s="711"/>
      <c r="I195" s="711"/>
      <c r="J195" s="711"/>
      <c r="K195" s="711"/>
      <c r="L195" s="711"/>
      <c r="M195" s="711"/>
      <c r="N195" s="711"/>
      <c r="O195" s="711"/>
      <c r="P195" s="711"/>
      <c r="Q195" s="711"/>
      <c r="R195" s="711"/>
      <c r="S195" s="712"/>
    </row>
    <row r="196" spans="1:19" ht="20.100000000000001" customHeight="1" thickTop="1">
      <c r="A196" s="713" t="s">
        <v>69</v>
      </c>
      <c r="B196" s="714"/>
      <c r="C196" s="714"/>
      <c r="D196" s="714"/>
      <c r="E196" s="714"/>
      <c r="F196" s="714"/>
      <c r="G196" s="714"/>
      <c r="H196" s="714"/>
      <c r="I196" s="714"/>
      <c r="J196" s="714"/>
      <c r="K196" s="714"/>
      <c r="L196" s="714"/>
      <c r="M196" s="714"/>
      <c r="N196" s="714"/>
      <c r="O196" s="714"/>
      <c r="P196" s="714"/>
      <c r="Q196" s="714"/>
      <c r="R196" s="714"/>
      <c r="S196" s="715"/>
    </row>
    <row r="197" spans="1:19" ht="12" customHeight="1">
      <c r="A197" s="707"/>
      <c r="B197" s="708"/>
      <c r="C197" s="708"/>
      <c r="D197" s="708"/>
      <c r="E197" s="708"/>
      <c r="F197" s="708"/>
      <c r="G197" s="708"/>
      <c r="H197" s="708"/>
      <c r="I197" s="708"/>
      <c r="J197" s="708"/>
      <c r="K197" s="708"/>
      <c r="L197" s="708"/>
      <c r="M197" s="708"/>
      <c r="N197" s="708"/>
      <c r="O197" s="708"/>
      <c r="P197" s="708"/>
      <c r="Q197" s="708"/>
      <c r="R197" s="708"/>
      <c r="S197" s="709"/>
    </row>
    <row r="198" spans="1:19" ht="12" customHeight="1">
      <c r="A198" s="707"/>
      <c r="B198" s="708"/>
      <c r="C198" s="708"/>
      <c r="D198" s="708"/>
      <c r="E198" s="708"/>
      <c r="F198" s="708"/>
      <c r="G198" s="708"/>
      <c r="H198" s="708"/>
      <c r="I198" s="708"/>
      <c r="J198" s="708"/>
      <c r="K198" s="708"/>
      <c r="L198" s="708"/>
      <c r="M198" s="708"/>
      <c r="N198" s="708"/>
      <c r="O198" s="708"/>
      <c r="P198" s="708"/>
      <c r="Q198" s="708"/>
      <c r="R198" s="708"/>
      <c r="S198" s="709"/>
    </row>
    <row r="199" spans="1:19" ht="12" customHeight="1">
      <c r="A199" s="707"/>
      <c r="B199" s="708"/>
      <c r="C199" s="708"/>
      <c r="D199" s="708"/>
      <c r="E199" s="708"/>
      <c r="F199" s="708"/>
      <c r="G199" s="708"/>
      <c r="H199" s="708"/>
      <c r="I199" s="708"/>
      <c r="J199" s="708"/>
      <c r="K199" s="708"/>
      <c r="L199" s="708"/>
      <c r="M199" s="708"/>
      <c r="N199" s="708"/>
      <c r="O199" s="708"/>
      <c r="P199" s="708"/>
      <c r="Q199" s="708"/>
      <c r="R199" s="708"/>
      <c r="S199" s="709"/>
    </row>
    <row r="200" spans="1:19" ht="12" customHeight="1">
      <c r="A200" s="707"/>
      <c r="B200" s="708"/>
      <c r="C200" s="708"/>
      <c r="D200" s="708"/>
      <c r="E200" s="708"/>
      <c r="F200" s="708"/>
      <c r="G200" s="708"/>
      <c r="H200" s="708"/>
      <c r="I200" s="708"/>
      <c r="J200" s="708"/>
      <c r="K200" s="708"/>
      <c r="L200" s="708"/>
      <c r="M200" s="708"/>
      <c r="N200" s="708"/>
      <c r="O200" s="708"/>
      <c r="P200" s="708"/>
      <c r="Q200" s="708"/>
      <c r="R200" s="708"/>
      <c r="S200" s="709"/>
    </row>
    <row r="201" spans="1:19" ht="12" customHeight="1" thickBot="1">
      <c r="A201" s="716"/>
      <c r="B201" s="717"/>
      <c r="C201" s="717"/>
      <c r="D201" s="717"/>
      <c r="E201" s="717"/>
      <c r="F201" s="717"/>
      <c r="G201" s="717"/>
      <c r="H201" s="717"/>
      <c r="I201" s="717"/>
      <c r="J201" s="717"/>
      <c r="K201" s="717"/>
      <c r="L201" s="717"/>
      <c r="M201" s="717"/>
      <c r="N201" s="717"/>
      <c r="O201" s="717"/>
      <c r="P201" s="717"/>
      <c r="Q201" s="717"/>
      <c r="R201" s="717"/>
      <c r="S201" s="718"/>
    </row>
    <row r="202" spans="1:19" ht="19.5" customHeight="1">
      <c r="A202" s="719" t="s">
        <v>98</v>
      </c>
      <c r="B202" s="720"/>
      <c r="C202" s="720"/>
      <c r="D202" s="720"/>
      <c r="E202" s="720"/>
      <c r="F202" s="720"/>
      <c r="G202" s="720"/>
      <c r="H202" s="720"/>
      <c r="I202" s="720"/>
      <c r="J202" s="720"/>
      <c r="K202" s="720"/>
      <c r="L202" s="720"/>
      <c r="M202" s="720"/>
      <c r="N202" s="720"/>
      <c r="O202" s="720"/>
      <c r="P202" s="720"/>
      <c r="Q202" s="720"/>
      <c r="R202" s="720"/>
      <c r="S202" s="721"/>
    </row>
    <row r="203" spans="1:19" ht="19.5" customHeight="1" thickBot="1">
      <c r="A203" s="722">
        <f ca="1">TODAY()</f>
        <v>43839</v>
      </c>
      <c r="B203" s="717"/>
      <c r="C203" s="717"/>
      <c r="D203" s="717"/>
      <c r="E203" s="717"/>
      <c r="F203" s="717"/>
      <c r="G203" s="717"/>
      <c r="H203" s="717"/>
      <c r="I203" s="717"/>
      <c r="J203" s="717"/>
      <c r="K203" s="717"/>
      <c r="L203" s="717"/>
      <c r="M203" s="717"/>
      <c r="N203" s="717"/>
      <c r="O203" s="717"/>
      <c r="P203" s="717"/>
      <c r="Q203" s="717"/>
      <c r="R203" s="717"/>
      <c r="S203" s="718"/>
    </row>
    <row r="204" spans="1:19">
      <c r="I204" s="72" t="str">
        <f>"4/"&amp;IF(COUNTIF(辅助!K:K,"&gt;0")&lt;9,1,IF(COUNTIF(辅助!K:K,"&gt;0")&lt;17,2,IF(COUNTIF(辅助!K:K,"&gt;0")&lt;25,3,IF(COUNTIF(辅助!K:K,"&gt;0")&lt;33,4))))</f>
        <v>4/2</v>
      </c>
    </row>
  </sheetData>
  <mergeCells count="208">
    <mergeCell ref="A3:S3"/>
    <mergeCell ref="A5:B5"/>
    <mergeCell ref="C5:S5"/>
    <mergeCell ref="A6:B6"/>
    <mergeCell ref="C6:S6"/>
    <mergeCell ref="A7:B7"/>
    <mergeCell ref="C7:I7"/>
    <mergeCell ref="J7:L7"/>
    <mergeCell ref="M7:S7"/>
    <mergeCell ref="A8:B8"/>
    <mergeCell ref="C8:I8"/>
    <mergeCell ref="J8:L8"/>
    <mergeCell ref="M8:S8"/>
    <mergeCell ref="A9:B16"/>
    <mergeCell ref="C9:S9"/>
    <mergeCell ref="C10:S10"/>
    <mergeCell ref="C11:S11"/>
    <mergeCell ref="C12:S12"/>
    <mergeCell ref="C13:S13"/>
    <mergeCell ref="C23:S23"/>
    <mergeCell ref="C24:S24"/>
    <mergeCell ref="A25:B25"/>
    <mergeCell ref="C25:S25"/>
    <mergeCell ref="A26:B26"/>
    <mergeCell ref="C26:S26"/>
    <mergeCell ref="C14:S14"/>
    <mergeCell ref="C15:S15"/>
    <mergeCell ref="C16:S16"/>
    <mergeCell ref="A17:B24"/>
    <mergeCell ref="C17:S17"/>
    <mergeCell ref="C18:S18"/>
    <mergeCell ref="C19:S19"/>
    <mergeCell ref="C20:S20"/>
    <mergeCell ref="C21:S21"/>
    <mergeCell ref="C22:S22"/>
    <mergeCell ref="A31:B31"/>
    <mergeCell ref="A32:B32"/>
    <mergeCell ref="A33:B33"/>
    <mergeCell ref="A34:B34"/>
    <mergeCell ref="A35:B35"/>
    <mergeCell ref="A36:S36"/>
    <mergeCell ref="A27:B27"/>
    <mergeCell ref="C27:S27"/>
    <mergeCell ref="A28:B28"/>
    <mergeCell ref="C28:S28"/>
    <mergeCell ref="A29:S29"/>
    <mergeCell ref="A30:B30"/>
    <mergeCell ref="A56:B56"/>
    <mergeCell ref="C56:S56"/>
    <mergeCell ref="A57:B57"/>
    <mergeCell ref="C57:S57"/>
    <mergeCell ref="A58:B58"/>
    <mergeCell ref="C58:I58"/>
    <mergeCell ref="J58:L58"/>
    <mergeCell ref="M58:S58"/>
    <mergeCell ref="A37:S43"/>
    <mergeCell ref="A44:S44"/>
    <mergeCell ref="A45:S49"/>
    <mergeCell ref="A50:S50"/>
    <mergeCell ref="A51:S51"/>
    <mergeCell ref="A54:S54"/>
    <mergeCell ref="A59:B59"/>
    <mergeCell ref="C59:I59"/>
    <mergeCell ref="J59:L59"/>
    <mergeCell ref="M59:S59"/>
    <mergeCell ref="A60:B67"/>
    <mergeCell ref="C60:S60"/>
    <mergeCell ref="C61:S61"/>
    <mergeCell ref="C62:S62"/>
    <mergeCell ref="C63:S63"/>
    <mergeCell ref="C64:S64"/>
    <mergeCell ref="C74:S74"/>
    <mergeCell ref="C75:S75"/>
    <mergeCell ref="A76:B76"/>
    <mergeCell ref="C76:S76"/>
    <mergeCell ref="A77:B77"/>
    <mergeCell ref="C77:S77"/>
    <mergeCell ref="C65:S65"/>
    <mergeCell ref="C66:S66"/>
    <mergeCell ref="C67:S67"/>
    <mergeCell ref="A68:B75"/>
    <mergeCell ref="C68:S68"/>
    <mergeCell ref="C69:S69"/>
    <mergeCell ref="C70:S70"/>
    <mergeCell ref="C71:S71"/>
    <mergeCell ref="C72:S72"/>
    <mergeCell ref="C73:S73"/>
    <mergeCell ref="A82:B82"/>
    <mergeCell ref="A83:B83"/>
    <mergeCell ref="A84:B84"/>
    <mergeCell ref="A85:B85"/>
    <mergeCell ref="A86:B86"/>
    <mergeCell ref="A87:S87"/>
    <mergeCell ref="A78:B78"/>
    <mergeCell ref="C78:S78"/>
    <mergeCell ref="A79:B79"/>
    <mergeCell ref="C79:S79"/>
    <mergeCell ref="A80:S80"/>
    <mergeCell ref="A81:B81"/>
    <mergeCell ref="A107:B107"/>
    <mergeCell ref="C107:S107"/>
    <mergeCell ref="A108:B108"/>
    <mergeCell ref="C108:S108"/>
    <mergeCell ref="A109:B109"/>
    <mergeCell ref="C109:I109"/>
    <mergeCell ref="J109:L109"/>
    <mergeCell ref="M109:S109"/>
    <mergeCell ref="A88:S94"/>
    <mergeCell ref="A95:S95"/>
    <mergeCell ref="A96:S100"/>
    <mergeCell ref="A101:S101"/>
    <mergeCell ref="A102:S102"/>
    <mergeCell ref="A105:S105"/>
    <mergeCell ref="A110:B110"/>
    <mergeCell ref="C110:I110"/>
    <mergeCell ref="J110:L110"/>
    <mergeCell ref="M110:S110"/>
    <mergeCell ref="A111:B118"/>
    <mergeCell ref="C111:S111"/>
    <mergeCell ref="C112:S112"/>
    <mergeCell ref="C113:S113"/>
    <mergeCell ref="C114:S114"/>
    <mergeCell ref="C115:S115"/>
    <mergeCell ref="C125:S125"/>
    <mergeCell ref="C126:S126"/>
    <mergeCell ref="A127:B127"/>
    <mergeCell ref="C127:S127"/>
    <mergeCell ref="A128:B128"/>
    <mergeCell ref="C128:S128"/>
    <mergeCell ref="C116:S116"/>
    <mergeCell ref="C117:S117"/>
    <mergeCell ref="C118:S118"/>
    <mergeCell ref="A119:B126"/>
    <mergeCell ref="C119:S119"/>
    <mergeCell ref="C120:S120"/>
    <mergeCell ref="C121:S121"/>
    <mergeCell ref="C122:S122"/>
    <mergeCell ref="C123:S123"/>
    <mergeCell ref="C124:S124"/>
    <mergeCell ref="A133:B133"/>
    <mergeCell ref="A134:B134"/>
    <mergeCell ref="A135:B135"/>
    <mergeCell ref="A136:B136"/>
    <mergeCell ref="A137:B137"/>
    <mergeCell ref="A138:S138"/>
    <mergeCell ref="A129:B129"/>
    <mergeCell ref="C129:S129"/>
    <mergeCell ref="A130:B130"/>
    <mergeCell ref="C130:S130"/>
    <mergeCell ref="A131:S131"/>
    <mergeCell ref="A132:B132"/>
    <mergeCell ref="A157:B157"/>
    <mergeCell ref="C157:S157"/>
    <mergeCell ref="A158:B158"/>
    <mergeCell ref="C158:S158"/>
    <mergeCell ref="A159:B159"/>
    <mergeCell ref="C159:I159"/>
    <mergeCell ref="J159:L159"/>
    <mergeCell ref="M159:S159"/>
    <mergeCell ref="A139:S145"/>
    <mergeCell ref="A146:S146"/>
    <mergeCell ref="A147:S151"/>
    <mergeCell ref="A152:S152"/>
    <mergeCell ref="A153:S153"/>
    <mergeCell ref="A155:S155"/>
    <mergeCell ref="A160:B160"/>
    <mergeCell ref="C160:I160"/>
    <mergeCell ref="J160:L160"/>
    <mergeCell ref="M160:S160"/>
    <mergeCell ref="A161:B168"/>
    <mergeCell ref="C161:S161"/>
    <mergeCell ref="C162:S162"/>
    <mergeCell ref="C163:S163"/>
    <mergeCell ref="C164:S164"/>
    <mergeCell ref="C165:S165"/>
    <mergeCell ref="C166:S166"/>
    <mergeCell ref="C167:S167"/>
    <mergeCell ref="C168:S168"/>
    <mergeCell ref="A180:B180"/>
    <mergeCell ref="C180:S180"/>
    <mergeCell ref="A181:S181"/>
    <mergeCell ref="A182:B182"/>
    <mergeCell ref="C175:S175"/>
    <mergeCell ref="C176:S176"/>
    <mergeCell ref="A177:B177"/>
    <mergeCell ref="C177:S177"/>
    <mergeCell ref="A178:B178"/>
    <mergeCell ref="C178:S178"/>
    <mergeCell ref="A169:B176"/>
    <mergeCell ref="C169:S169"/>
    <mergeCell ref="C170:S170"/>
    <mergeCell ref="C171:S171"/>
    <mergeCell ref="C172:S172"/>
    <mergeCell ref="C173:S173"/>
    <mergeCell ref="C174:S174"/>
    <mergeCell ref="A179:B179"/>
    <mergeCell ref="C179:S179"/>
    <mergeCell ref="A189:S195"/>
    <mergeCell ref="A196:S196"/>
    <mergeCell ref="A197:S201"/>
    <mergeCell ref="A202:S202"/>
    <mergeCell ref="A203:S203"/>
    <mergeCell ref="A183:B183"/>
    <mergeCell ref="A184:B184"/>
    <mergeCell ref="A185:B185"/>
    <mergeCell ref="A186:B186"/>
    <mergeCell ref="A187:B187"/>
    <mergeCell ref="A188:S188"/>
  </mergeCells>
  <phoneticPr fontId="1" type="noConversion"/>
  <conditionalFormatting sqref="C9:S24">
    <cfRule type="cellIs" dxfId="36" priority="7" operator="equal">
      <formula>0</formula>
    </cfRule>
  </conditionalFormatting>
  <conditionalFormatting sqref="C68:S75">
    <cfRule type="cellIs" dxfId="35" priority="5" operator="equal">
      <formula>0</formula>
    </cfRule>
  </conditionalFormatting>
  <conditionalFormatting sqref="C60:S67">
    <cfRule type="cellIs" dxfId="34" priority="6" operator="equal">
      <formula>0</formula>
    </cfRule>
  </conditionalFormatting>
  <conditionalFormatting sqref="C111:S118">
    <cfRule type="cellIs" dxfId="33" priority="4" operator="equal">
      <formula>0</formula>
    </cfRule>
  </conditionalFormatting>
  <conditionalFormatting sqref="C119:S126">
    <cfRule type="cellIs" dxfId="32" priority="3" operator="equal">
      <formula>0</formula>
    </cfRule>
  </conditionalFormatting>
  <conditionalFormatting sqref="C161:S168">
    <cfRule type="cellIs" dxfId="31" priority="2" operator="equal">
      <formula>0</formula>
    </cfRule>
  </conditionalFormatting>
  <conditionalFormatting sqref="C169:S176">
    <cfRule type="cellIs" dxfId="30" priority="1" operator="equal">
      <formula>0</formula>
    </cfRule>
  </conditionalFormatting>
  <printOptions horizontalCentered="1"/>
  <pageMargins left="0.70866141732283472" right="0.70866141732283472" top="0.15748031496062992" bottom="0.74803149606299213" header="0.31496062992125984" footer="0.31496062992125984"/>
  <pageSetup paperSize="9" scale="96" fitToWidth="0" orientation="portrait"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S204"/>
  <sheetViews>
    <sheetView zoomScaleNormal="100" workbookViewId="0">
      <selection activeCell="W32" sqref="W32"/>
    </sheetView>
  </sheetViews>
  <sheetFormatPr defaultRowHeight="14.25"/>
  <cols>
    <col min="1" max="1" width="9" style="72"/>
    <col min="2" max="2" width="7.125" style="72" customWidth="1"/>
    <col min="3" max="19" width="3.625" style="72" customWidth="1"/>
    <col min="20" max="257" width="9" style="72"/>
    <col min="258" max="258" width="7.125" style="72" customWidth="1"/>
    <col min="259" max="275" width="3.625" style="72" customWidth="1"/>
    <col min="276" max="513" width="9" style="72"/>
    <col min="514" max="514" width="7.125" style="72" customWidth="1"/>
    <col min="515" max="531" width="3.625" style="72" customWidth="1"/>
    <col min="532" max="769" width="9" style="72"/>
    <col min="770" max="770" width="7.125" style="72" customWidth="1"/>
    <col min="771" max="787" width="3.625" style="72" customWidth="1"/>
    <col min="788" max="1025" width="9" style="72"/>
    <col min="1026" max="1026" width="7.125" style="72" customWidth="1"/>
    <col min="1027" max="1043" width="3.625" style="72" customWidth="1"/>
    <col min="1044" max="1281" width="9" style="72"/>
    <col min="1282" max="1282" width="7.125" style="72" customWidth="1"/>
    <col min="1283" max="1299" width="3.625" style="72" customWidth="1"/>
    <col min="1300" max="1537" width="9" style="72"/>
    <col min="1538" max="1538" width="7.125" style="72" customWidth="1"/>
    <col min="1539" max="1555" width="3.625" style="72" customWidth="1"/>
    <col min="1556" max="1793" width="9" style="72"/>
    <col min="1794" max="1794" width="7.125" style="72" customWidth="1"/>
    <col min="1795" max="1811" width="3.625" style="72" customWidth="1"/>
    <col min="1812" max="2049" width="9" style="72"/>
    <col min="2050" max="2050" width="7.125" style="72" customWidth="1"/>
    <col min="2051" max="2067" width="3.625" style="72" customWidth="1"/>
    <col min="2068" max="2305" width="9" style="72"/>
    <col min="2306" max="2306" width="7.125" style="72" customWidth="1"/>
    <col min="2307" max="2323" width="3.625" style="72" customWidth="1"/>
    <col min="2324" max="2561" width="9" style="72"/>
    <col min="2562" max="2562" width="7.125" style="72" customWidth="1"/>
    <col min="2563" max="2579" width="3.625" style="72" customWidth="1"/>
    <col min="2580" max="2817" width="9" style="72"/>
    <col min="2818" max="2818" width="7.125" style="72" customWidth="1"/>
    <col min="2819" max="2835" width="3.625" style="72" customWidth="1"/>
    <col min="2836" max="3073" width="9" style="72"/>
    <col min="3074" max="3074" width="7.125" style="72" customWidth="1"/>
    <col min="3075" max="3091" width="3.625" style="72" customWidth="1"/>
    <col min="3092" max="3329" width="9" style="72"/>
    <col min="3330" max="3330" width="7.125" style="72" customWidth="1"/>
    <col min="3331" max="3347" width="3.625" style="72" customWidth="1"/>
    <col min="3348" max="3585" width="9" style="72"/>
    <col min="3586" max="3586" width="7.125" style="72" customWidth="1"/>
    <col min="3587" max="3603" width="3.625" style="72" customWidth="1"/>
    <col min="3604" max="3841" width="9" style="72"/>
    <col min="3842" max="3842" width="7.125" style="72" customWidth="1"/>
    <col min="3843" max="3859" width="3.625" style="72" customWidth="1"/>
    <col min="3860" max="4097" width="9" style="72"/>
    <col min="4098" max="4098" width="7.125" style="72" customWidth="1"/>
    <col min="4099" max="4115" width="3.625" style="72" customWidth="1"/>
    <col min="4116" max="4353" width="9" style="72"/>
    <col min="4354" max="4354" width="7.125" style="72" customWidth="1"/>
    <col min="4355" max="4371" width="3.625" style="72" customWidth="1"/>
    <col min="4372" max="4609" width="9" style="72"/>
    <col min="4610" max="4610" width="7.125" style="72" customWidth="1"/>
    <col min="4611" max="4627" width="3.625" style="72" customWidth="1"/>
    <col min="4628" max="4865" width="9" style="72"/>
    <col min="4866" max="4866" width="7.125" style="72" customWidth="1"/>
    <col min="4867" max="4883" width="3.625" style="72" customWidth="1"/>
    <col min="4884" max="5121" width="9" style="72"/>
    <col min="5122" max="5122" width="7.125" style="72" customWidth="1"/>
    <col min="5123" max="5139" width="3.625" style="72" customWidth="1"/>
    <col min="5140" max="5377" width="9" style="72"/>
    <col min="5378" max="5378" width="7.125" style="72" customWidth="1"/>
    <col min="5379" max="5395" width="3.625" style="72" customWidth="1"/>
    <col min="5396" max="5633" width="9" style="72"/>
    <col min="5634" max="5634" width="7.125" style="72" customWidth="1"/>
    <col min="5635" max="5651" width="3.625" style="72" customWidth="1"/>
    <col min="5652" max="5889" width="9" style="72"/>
    <col min="5890" max="5890" width="7.125" style="72" customWidth="1"/>
    <col min="5891" max="5907" width="3.625" style="72" customWidth="1"/>
    <col min="5908" max="6145" width="9" style="72"/>
    <col min="6146" max="6146" width="7.125" style="72" customWidth="1"/>
    <col min="6147" max="6163" width="3.625" style="72" customWidth="1"/>
    <col min="6164" max="6401" width="9" style="72"/>
    <col min="6402" max="6402" width="7.125" style="72" customWidth="1"/>
    <col min="6403" max="6419" width="3.625" style="72" customWidth="1"/>
    <col min="6420" max="6657" width="9" style="72"/>
    <col min="6658" max="6658" width="7.125" style="72" customWidth="1"/>
    <col min="6659" max="6675" width="3.625" style="72" customWidth="1"/>
    <col min="6676" max="6913" width="9" style="72"/>
    <col min="6914" max="6914" width="7.125" style="72" customWidth="1"/>
    <col min="6915" max="6931" width="3.625" style="72" customWidth="1"/>
    <col min="6932" max="7169" width="9" style="72"/>
    <col min="7170" max="7170" width="7.125" style="72" customWidth="1"/>
    <col min="7171" max="7187" width="3.625" style="72" customWidth="1"/>
    <col min="7188" max="7425" width="9" style="72"/>
    <col min="7426" max="7426" width="7.125" style="72" customWidth="1"/>
    <col min="7427" max="7443" width="3.625" style="72" customWidth="1"/>
    <col min="7444" max="7681" width="9" style="72"/>
    <col min="7682" max="7682" width="7.125" style="72" customWidth="1"/>
    <col min="7683" max="7699" width="3.625" style="72" customWidth="1"/>
    <col min="7700" max="7937" width="9" style="72"/>
    <col min="7938" max="7938" width="7.125" style="72" customWidth="1"/>
    <col min="7939" max="7955" width="3.625" style="72" customWidth="1"/>
    <col min="7956" max="8193" width="9" style="72"/>
    <col min="8194" max="8194" width="7.125" style="72" customWidth="1"/>
    <col min="8195" max="8211" width="3.625" style="72" customWidth="1"/>
    <col min="8212" max="8449" width="9" style="72"/>
    <col min="8450" max="8450" width="7.125" style="72" customWidth="1"/>
    <col min="8451" max="8467" width="3.625" style="72" customWidth="1"/>
    <col min="8468" max="8705" width="9" style="72"/>
    <col min="8706" max="8706" width="7.125" style="72" customWidth="1"/>
    <col min="8707" max="8723" width="3.625" style="72" customWidth="1"/>
    <col min="8724" max="8961" width="9" style="72"/>
    <col min="8962" max="8962" width="7.125" style="72" customWidth="1"/>
    <col min="8963" max="8979" width="3.625" style="72" customWidth="1"/>
    <col min="8980" max="9217" width="9" style="72"/>
    <col min="9218" max="9218" width="7.125" style="72" customWidth="1"/>
    <col min="9219" max="9235" width="3.625" style="72" customWidth="1"/>
    <col min="9236" max="9473" width="9" style="72"/>
    <col min="9474" max="9474" width="7.125" style="72" customWidth="1"/>
    <col min="9475" max="9491" width="3.625" style="72" customWidth="1"/>
    <col min="9492" max="9729" width="9" style="72"/>
    <col min="9730" max="9730" width="7.125" style="72" customWidth="1"/>
    <col min="9731" max="9747" width="3.625" style="72" customWidth="1"/>
    <col min="9748" max="9985" width="9" style="72"/>
    <col min="9986" max="9986" width="7.125" style="72" customWidth="1"/>
    <col min="9987" max="10003" width="3.625" style="72" customWidth="1"/>
    <col min="10004" max="10241" width="9" style="72"/>
    <col min="10242" max="10242" width="7.125" style="72" customWidth="1"/>
    <col min="10243" max="10259" width="3.625" style="72" customWidth="1"/>
    <col min="10260" max="10497" width="9" style="72"/>
    <col min="10498" max="10498" width="7.125" style="72" customWidth="1"/>
    <col min="10499" max="10515" width="3.625" style="72" customWidth="1"/>
    <col min="10516" max="10753" width="9" style="72"/>
    <col min="10754" max="10754" width="7.125" style="72" customWidth="1"/>
    <col min="10755" max="10771" width="3.625" style="72" customWidth="1"/>
    <col min="10772" max="11009" width="9" style="72"/>
    <col min="11010" max="11010" width="7.125" style="72" customWidth="1"/>
    <col min="11011" max="11027" width="3.625" style="72" customWidth="1"/>
    <col min="11028" max="11265" width="9" style="72"/>
    <col min="11266" max="11266" width="7.125" style="72" customWidth="1"/>
    <col min="11267" max="11283" width="3.625" style="72" customWidth="1"/>
    <col min="11284" max="11521" width="9" style="72"/>
    <col min="11522" max="11522" width="7.125" style="72" customWidth="1"/>
    <col min="11523" max="11539" width="3.625" style="72" customWidth="1"/>
    <col min="11540" max="11777" width="9" style="72"/>
    <col min="11778" max="11778" width="7.125" style="72" customWidth="1"/>
    <col min="11779" max="11795" width="3.625" style="72" customWidth="1"/>
    <col min="11796" max="12033" width="9" style="72"/>
    <col min="12034" max="12034" width="7.125" style="72" customWidth="1"/>
    <col min="12035" max="12051" width="3.625" style="72" customWidth="1"/>
    <col min="12052" max="12289" width="9" style="72"/>
    <col min="12290" max="12290" width="7.125" style="72" customWidth="1"/>
    <col min="12291" max="12307" width="3.625" style="72" customWidth="1"/>
    <col min="12308" max="12545" width="9" style="72"/>
    <col min="12546" max="12546" width="7.125" style="72" customWidth="1"/>
    <col min="12547" max="12563" width="3.625" style="72" customWidth="1"/>
    <col min="12564" max="12801" width="9" style="72"/>
    <col min="12802" max="12802" width="7.125" style="72" customWidth="1"/>
    <col min="12803" max="12819" width="3.625" style="72" customWidth="1"/>
    <col min="12820" max="13057" width="9" style="72"/>
    <col min="13058" max="13058" width="7.125" style="72" customWidth="1"/>
    <col min="13059" max="13075" width="3.625" style="72" customWidth="1"/>
    <col min="13076" max="13313" width="9" style="72"/>
    <col min="13314" max="13314" width="7.125" style="72" customWidth="1"/>
    <col min="13315" max="13331" width="3.625" style="72" customWidth="1"/>
    <col min="13332" max="13569" width="9" style="72"/>
    <col min="13570" max="13570" width="7.125" style="72" customWidth="1"/>
    <col min="13571" max="13587" width="3.625" style="72" customWidth="1"/>
    <col min="13588" max="13825" width="9" style="72"/>
    <col min="13826" max="13826" width="7.125" style="72" customWidth="1"/>
    <col min="13827" max="13843" width="3.625" style="72" customWidth="1"/>
    <col min="13844" max="14081" width="9" style="72"/>
    <col min="14082" max="14082" width="7.125" style="72" customWidth="1"/>
    <col min="14083" max="14099" width="3.625" style="72" customWidth="1"/>
    <col min="14100" max="14337" width="9" style="72"/>
    <col min="14338" max="14338" width="7.125" style="72" customWidth="1"/>
    <col min="14339" max="14355" width="3.625" style="72" customWidth="1"/>
    <col min="14356" max="14593" width="9" style="72"/>
    <col min="14594" max="14594" width="7.125" style="72" customWidth="1"/>
    <col min="14595" max="14611" width="3.625" style="72" customWidth="1"/>
    <col min="14612" max="14849" width="9" style="72"/>
    <col min="14850" max="14850" width="7.125" style="72" customWidth="1"/>
    <col min="14851" max="14867" width="3.625" style="72" customWidth="1"/>
    <col min="14868" max="15105" width="9" style="72"/>
    <col min="15106" max="15106" width="7.125" style="72" customWidth="1"/>
    <col min="15107" max="15123" width="3.625" style="72" customWidth="1"/>
    <col min="15124" max="15361" width="9" style="72"/>
    <col min="15362" max="15362" width="7.125" style="72" customWidth="1"/>
    <col min="15363" max="15379" width="3.625" style="72" customWidth="1"/>
    <col min="15380" max="15617" width="9" style="72"/>
    <col min="15618" max="15618" width="7.125" style="72" customWidth="1"/>
    <col min="15619" max="15635" width="3.625" style="72" customWidth="1"/>
    <col min="15636" max="15873" width="9" style="72"/>
    <col min="15874" max="15874" width="7.125" style="72" customWidth="1"/>
    <col min="15875" max="15891" width="3.625" style="72" customWidth="1"/>
    <col min="15892" max="16129" width="9" style="72"/>
    <col min="16130" max="16130" width="7.125" style="72" customWidth="1"/>
    <col min="16131" max="16147" width="3.625" style="72" customWidth="1"/>
    <col min="16148" max="16384" width="9" style="72"/>
  </cols>
  <sheetData>
    <row r="2" spans="1:19" ht="12.75" customHeight="1"/>
    <row r="3" spans="1:19" ht="24">
      <c r="A3" s="747" t="s">
        <v>46</v>
      </c>
      <c r="B3" s="747"/>
      <c r="C3" s="747"/>
      <c r="D3" s="747"/>
      <c r="E3" s="747"/>
      <c r="F3" s="747"/>
      <c r="G3" s="747"/>
      <c r="H3" s="747"/>
      <c r="I3" s="747"/>
      <c r="J3" s="747"/>
      <c r="K3" s="747"/>
      <c r="L3" s="747"/>
      <c r="M3" s="747"/>
      <c r="N3" s="747"/>
      <c r="O3" s="747"/>
      <c r="P3" s="747"/>
      <c r="Q3" s="747"/>
      <c r="R3" s="747"/>
      <c r="S3" s="747"/>
    </row>
    <row r="4" spans="1:19" ht="9.75" customHeight="1" thickBot="1"/>
    <row r="5" spans="1:19" ht="20.100000000000001" customHeight="1">
      <c r="A5" s="744" t="s">
        <v>47</v>
      </c>
      <c r="B5" s="745"/>
      <c r="C5" s="745" t="s">
        <v>74</v>
      </c>
      <c r="D5" s="745"/>
      <c r="E5" s="745"/>
      <c r="F5" s="745"/>
      <c r="G5" s="745"/>
      <c r="H5" s="745"/>
      <c r="I5" s="745"/>
      <c r="J5" s="745"/>
      <c r="K5" s="745"/>
      <c r="L5" s="745"/>
      <c r="M5" s="745"/>
      <c r="N5" s="745"/>
      <c r="O5" s="745"/>
      <c r="P5" s="745"/>
      <c r="Q5" s="745"/>
      <c r="R5" s="745"/>
      <c r="S5" s="746"/>
    </row>
    <row r="6" spans="1:19" ht="20.100000000000001" customHeight="1">
      <c r="A6" s="723" t="s">
        <v>48</v>
      </c>
      <c r="B6" s="724"/>
      <c r="C6" s="724" t="s">
        <v>461</v>
      </c>
      <c r="D6" s="724"/>
      <c r="E6" s="724"/>
      <c r="F6" s="724"/>
      <c r="G6" s="724"/>
      <c r="H6" s="724"/>
      <c r="I6" s="724"/>
      <c r="J6" s="724"/>
      <c r="K6" s="724"/>
      <c r="L6" s="724"/>
      <c r="M6" s="724"/>
      <c r="N6" s="724"/>
      <c r="O6" s="724"/>
      <c r="P6" s="724"/>
      <c r="Q6" s="724"/>
      <c r="R6" s="724"/>
      <c r="S6" s="738"/>
    </row>
    <row r="7" spans="1:19" ht="20.100000000000001" customHeight="1">
      <c r="A7" s="723" t="s">
        <v>49</v>
      </c>
      <c r="B7" s="724"/>
      <c r="C7" s="724">
        <v>201209</v>
      </c>
      <c r="D7" s="724"/>
      <c r="E7" s="724"/>
      <c r="F7" s="724"/>
      <c r="G7" s="724"/>
      <c r="H7" s="724"/>
      <c r="I7" s="724"/>
      <c r="J7" s="734" t="s">
        <v>50</v>
      </c>
      <c r="K7" s="735"/>
      <c r="L7" s="742"/>
      <c r="M7" s="724"/>
      <c r="N7" s="724"/>
      <c r="O7" s="724"/>
      <c r="P7" s="724"/>
      <c r="Q7" s="724"/>
      <c r="R7" s="724"/>
      <c r="S7" s="738"/>
    </row>
    <row r="8" spans="1:19" ht="20.100000000000001" customHeight="1">
      <c r="A8" s="723" t="s">
        <v>51</v>
      </c>
      <c r="B8" s="724"/>
      <c r="C8" s="724" t="s">
        <v>117</v>
      </c>
      <c r="D8" s="724"/>
      <c r="E8" s="724"/>
      <c r="F8" s="724"/>
      <c r="G8" s="724"/>
      <c r="H8" s="724"/>
      <c r="I8" s="724"/>
      <c r="J8" s="734" t="s">
        <v>52</v>
      </c>
      <c r="K8" s="735"/>
      <c r="L8" s="742"/>
      <c r="M8" s="724"/>
      <c r="N8" s="724"/>
      <c r="O8" s="724"/>
      <c r="P8" s="724"/>
      <c r="Q8" s="724"/>
      <c r="R8" s="724"/>
      <c r="S8" s="738"/>
    </row>
    <row r="9" spans="1:19" ht="13.5" customHeight="1">
      <c r="A9" s="739" t="s">
        <v>99</v>
      </c>
      <c r="B9" s="743"/>
      <c r="C9" s="734">
        <f>辅助!R2</f>
        <v>2917190090</v>
      </c>
      <c r="D9" s="735"/>
      <c r="E9" s="735"/>
      <c r="F9" s="735"/>
      <c r="G9" s="735"/>
      <c r="H9" s="735"/>
      <c r="I9" s="735"/>
      <c r="J9" s="735"/>
      <c r="K9" s="735"/>
      <c r="L9" s="735"/>
      <c r="M9" s="735"/>
      <c r="N9" s="735"/>
      <c r="O9" s="735"/>
      <c r="P9" s="735"/>
      <c r="Q9" s="735"/>
      <c r="R9" s="735"/>
      <c r="S9" s="736"/>
    </row>
    <row r="10" spans="1:19" ht="13.5" customHeight="1">
      <c r="A10" s="707"/>
      <c r="B10" s="708"/>
      <c r="C10" s="734">
        <f>辅助!R3</f>
        <v>2917190090</v>
      </c>
      <c r="D10" s="735"/>
      <c r="E10" s="735"/>
      <c r="F10" s="735"/>
      <c r="G10" s="735"/>
      <c r="H10" s="735"/>
      <c r="I10" s="735"/>
      <c r="J10" s="735"/>
      <c r="K10" s="735"/>
      <c r="L10" s="735"/>
      <c r="M10" s="735"/>
      <c r="N10" s="735"/>
      <c r="O10" s="735"/>
      <c r="P10" s="735"/>
      <c r="Q10" s="735"/>
      <c r="R10" s="735"/>
      <c r="S10" s="736"/>
    </row>
    <row r="11" spans="1:19" ht="13.5" customHeight="1">
      <c r="A11" s="707"/>
      <c r="B11" s="708"/>
      <c r="C11" s="734">
        <f>辅助!R4</f>
        <v>2935900090</v>
      </c>
      <c r="D11" s="735"/>
      <c r="E11" s="735"/>
      <c r="F11" s="735"/>
      <c r="G11" s="735"/>
      <c r="H11" s="735"/>
      <c r="I11" s="735"/>
      <c r="J11" s="735"/>
      <c r="K11" s="735"/>
      <c r="L11" s="735"/>
      <c r="M11" s="735"/>
      <c r="N11" s="735"/>
      <c r="O11" s="735"/>
      <c r="P11" s="735"/>
      <c r="Q11" s="735"/>
      <c r="R11" s="735"/>
      <c r="S11" s="736"/>
    </row>
    <row r="12" spans="1:19" ht="13.5" customHeight="1">
      <c r="A12" s="707"/>
      <c r="B12" s="708"/>
      <c r="C12" s="734">
        <f>辅助!R5</f>
        <v>2932999099</v>
      </c>
      <c r="D12" s="735"/>
      <c r="E12" s="735"/>
      <c r="F12" s="735"/>
      <c r="G12" s="735"/>
      <c r="H12" s="735"/>
      <c r="I12" s="735"/>
      <c r="J12" s="735"/>
      <c r="K12" s="735"/>
      <c r="L12" s="735"/>
      <c r="M12" s="735"/>
      <c r="N12" s="735"/>
      <c r="O12" s="735"/>
      <c r="P12" s="735"/>
      <c r="Q12" s="735"/>
      <c r="R12" s="735"/>
      <c r="S12" s="736"/>
    </row>
    <row r="13" spans="1:19" ht="13.5" customHeight="1">
      <c r="A13" s="707"/>
      <c r="B13" s="708"/>
      <c r="C13" s="734">
        <f>辅助!R6</f>
        <v>2903399090</v>
      </c>
      <c r="D13" s="735"/>
      <c r="E13" s="735"/>
      <c r="F13" s="735"/>
      <c r="G13" s="735"/>
      <c r="H13" s="735"/>
      <c r="I13" s="735"/>
      <c r="J13" s="735"/>
      <c r="K13" s="735"/>
      <c r="L13" s="735"/>
      <c r="M13" s="735"/>
      <c r="N13" s="735"/>
      <c r="O13" s="735"/>
      <c r="P13" s="735"/>
      <c r="Q13" s="735"/>
      <c r="R13" s="735"/>
      <c r="S13" s="736"/>
    </row>
    <row r="14" spans="1:19" ht="13.5" customHeight="1">
      <c r="A14" s="707"/>
      <c r="B14" s="708"/>
      <c r="C14" s="734">
        <f>辅助!R7</f>
        <v>2903399090</v>
      </c>
      <c r="D14" s="735"/>
      <c r="E14" s="735"/>
      <c r="F14" s="735"/>
      <c r="G14" s="735"/>
      <c r="H14" s="735"/>
      <c r="I14" s="735"/>
      <c r="J14" s="735"/>
      <c r="K14" s="735"/>
      <c r="L14" s="735"/>
      <c r="M14" s="735"/>
      <c r="N14" s="735"/>
      <c r="O14" s="735"/>
      <c r="P14" s="735"/>
      <c r="Q14" s="735"/>
      <c r="R14" s="735"/>
      <c r="S14" s="736"/>
    </row>
    <row r="15" spans="1:19" ht="13.5" customHeight="1">
      <c r="A15" s="707"/>
      <c r="B15" s="708"/>
      <c r="C15" s="734">
        <f>辅助!R8</f>
        <v>2933990099</v>
      </c>
      <c r="D15" s="735"/>
      <c r="E15" s="735"/>
      <c r="F15" s="735"/>
      <c r="G15" s="735"/>
      <c r="H15" s="735"/>
      <c r="I15" s="735"/>
      <c r="J15" s="735"/>
      <c r="K15" s="735"/>
      <c r="L15" s="735"/>
      <c r="M15" s="735"/>
      <c r="N15" s="735"/>
      <c r="O15" s="735"/>
      <c r="P15" s="735"/>
      <c r="Q15" s="735"/>
      <c r="R15" s="735"/>
      <c r="S15" s="736"/>
    </row>
    <row r="16" spans="1:19" ht="13.5" customHeight="1">
      <c r="A16" s="707"/>
      <c r="B16" s="708"/>
      <c r="C16" s="734">
        <f>辅助!R9</f>
        <v>2933990099</v>
      </c>
      <c r="D16" s="735"/>
      <c r="E16" s="735"/>
      <c r="F16" s="735"/>
      <c r="G16" s="735"/>
      <c r="H16" s="735"/>
      <c r="I16" s="735"/>
      <c r="J16" s="735"/>
      <c r="K16" s="735"/>
      <c r="L16" s="735"/>
      <c r="M16" s="735"/>
      <c r="N16" s="735"/>
      <c r="O16" s="735"/>
      <c r="P16" s="735"/>
      <c r="Q16" s="735"/>
      <c r="R16" s="735"/>
      <c r="S16" s="736"/>
    </row>
    <row r="17" spans="1:19" ht="13.5" customHeight="1">
      <c r="A17" s="739" t="s">
        <v>53</v>
      </c>
      <c r="B17" s="740"/>
      <c r="C17" s="748" t="str">
        <f>辅助!L2</f>
        <v>十三烷二酸</v>
      </c>
      <c r="D17" s="748"/>
      <c r="E17" s="748"/>
      <c r="F17" s="748"/>
      <c r="G17" s="748"/>
      <c r="H17" s="748"/>
      <c r="I17" s="748"/>
      <c r="J17" s="748"/>
      <c r="K17" s="748"/>
      <c r="L17" s="748"/>
      <c r="M17" s="748"/>
      <c r="N17" s="748"/>
      <c r="O17" s="748"/>
      <c r="P17" s="748"/>
      <c r="Q17" s="748"/>
      <c r="R17" s="748"/>
      <c r="S17" s="749"/>
    </row>
    <row r="18" spans="1:19" ht="13.5" customHeight="1">
      <c r="A18" s="707"/>
      <c r="B18" s="741"/>
      <c r="C18" s="748" t="str">
        <f>辅助!L3</f>
        <v>辛二酸单甲酯</v>
      </c>
      <c r="D18" s="748"/>
      <c r="E18" s="748"/>
      <c r="F18" s="748"/>
      <c r="G18" s="748"/>
      <c r="H18" s="748"/>
      <c r="I18" s="748"/>
      <c r="J18" s="748"/>
      <c r="K18" s="748"/>
      <c r="L18" s="748"/>
      <c r="M18" s="748"/>
      <c r="N18" s="748"/>
      <c r="O18" s="748"/>
      <c r="P18" s="748"/>
      <c r="Q18" s="748"/>
      <c r="R18" s="748"/>
      <c r="S18" s="749"/>
    </row>
    <row r="19" spans="1:19" ht="13.5" customHeight="1">
      <c r="A19" s="707"/>
      <c r="B19" s="741"/>
      <c r="C19" s="748" t="str">
        <f>辅助!L4</f>
        <v>N-甲基对甲苯磺酰胺</v>
      </c>
      <c r="D19" s="748"/>
      <c r="E19" s="748"/>
      <c r="F19" s="748"/>
      <c r="G19" s="748"/>
      <c r="H19" s="748"/>
      <c r="I19" s="748"/>
      <c r="J19" s="748"/>
      <c r="K19" s="748"/>
      <c r="L19" s="748"/>
      <c r="M19" s="748"/>
      <c r="N19" s="748"/>
      <c r="O19" s="748"/>
      <c r="P19" s="748"/>
      <c r="Q19" s="748"/>
      <c r="R19" s="748"/>
      <c r="S19" s="749"/>
    </row>
    <row r="20" spans="1:19" ht="13.5" customHeight="1">
      <c r="A20" s="707"/>
      <c r="B20" s="741"/>
      <c r="C20" s="748" t="str">
        <f>辅助!L5</f>
        <v>异山梨醇</v>
      </c>
      <c r="D20" s="748"/>
      <c r="E20" s="748"/>
      <c r="F20" s="748"/>
      <c r="G20" s="748"/>
      <c r="H20" s="748"/>
      <c r="I20" s="748"/>
      <c r="J20" s="748"/>
      <c r="K20" s="748"/>
      <c r="L20" s="748"/>
      <c r="M20" s="748"/>
      <c r="N20" s="748"/>
      <c r="O20" s="748"/>
      <c r="P20" s="748"/>
      <c r="Q20" s="748"/>
      <c r="R20" s="748"/>
      <c r="S20" s="749"/>
    </row>
    <row r="21" spans="1:19" ht="13.5" customHeight="1">
      <c r="A21" s="707"/>
      <c r="B21" s="741"/>
      <c r="C21" s="748" t="str">
        <f>辅助!L6</f>
        <v>溴代十六烷</v>
      </c>
      <c r="D21" s="748"/>
      <c r="E21" s="748"/>
      <c r="F21" s="748"/>
      <c r="G21" s="748"/>
      <c r="H21" s="748"/>
      <c r="I21" s="748"/>
      <c r="J21" s="748"/>
      <c r="K21" s="748"/>
      <c r="L21" s="748"/>
      <c r="M21" s="748"/>
      <c r="N21" s="748"/>
      <c r="O21" s="748"/>
      <c r="P21" s="748"/>
      <c r="Q21" s="748"/>
      <c r="R21" s="748"/>
      <c r="S21" s="749"/>
    </row>
    <row r="22" spans="1:19" ht="13.5" customHeight="1">
      <c r="A22" s="707"/>
      <c r="B22" s="741"/>
      <c r="C22" s="748" t="str">
        <f>辅助!L7</f>
        <v>1,4-二碘代丁烷</v>
      </c>
      <c r="D22" s="748"/>
      <c r="E22" s="748"/>
      <c r="F22" s="748"/>
      <c r="G22" s="748"/>
      <c r="H22" s="748"/>
      <c r="I22" s="748"/>
      <c r="J22" s="748"/>
      <c r="K22" s="748"/>
      <c r="L22" s="748"/>
      <c r="M22" s="748"/>
      <c r="N22" s="748"/>
      <c r="O22" s="748"/>
      <c r="P22" s="748"/>
      <c r="Q22" s="748"/>
      <c r="R22" s="748"/>
      <c r="S22" s="749"/>
    </row>
    <row r="23" spans="1:19" ht="13.5" customHeight="1">
      <c r="A23" s="707"/>
      <c r="B23" s="741"/>
      <c r="C23" s="748" t="str">
        <f>辅助!L8</f>
        <v>5-甲氧基吲哚-2-甲酸乙酯</v>
      </c>
      <c r="D23" s="748"/>
      <c r="E23" s="748"/>
      <c r="F23" s="748"/>
      <c r="G23" s="748"/>
      <c r="H23" s="748"/>
      <c r="I23" s="748"/>
      <c r="J23" s="748"/>
      <c r="K23" s="748"/>
      <c r="L23" s="748"/>
      <c r="M23" s="748"/>
      <c r="N23" s="748"/>
      <c r="O23" s="748"/>
      <c r="P23" s="748"/>
      <c r="Q23" s="748"/>
      <c r="R23" s="748"/>
      <c r="S23" s="749"/>
    </row>
    <row r="24" spans="1:19" ht="13.5" customHeight="1">
      <c r="A24" s="707"/>
      <c r="B24" s="741"/>
      <c r="C24" s="748" t="str">
        <f>辅助!L9</f>
        <v>6-氯吡嗪-2-羧酸甲酯</v>
      </c>
      <c r="D24" s="748"/>
      <c r="E24" s="748"/>
      <c r="F24" s="748"/>
      <c r="G24" s="748"/>
      <c r="H24" s="748"/>
      <c r="I24" s="748"/>
      <c r="J24" s="748"/>
      <c r="K24" s="748"/>
      <c r="L24" s="748"/>
      <c r="M24" s="748"/>
      <c r="N24" s="748"/>
      <c r="O24" s="748"/>
      <c r="P24" s="748"/>
      <c r="Q24" s="748"/>
      <c r="R24" s="748"/>
      <c r="S24" s="749"/>
    </row>
    <row r="25" spans="1:19" ht="17.25" customHeight="1">
      <c r="A25" s="723" t="s">
        <v>54</v>
      </c>
      <c r="B25" s="724"/>
      <c r="C25" s="737">
        <v>0.99</v>
      </c>
      <c r="D25" s="724"/>
      <c r="E25" s="724"/>
      <c r="F25" s="724"/>
      <c r="G25" s="724"/>
      <c r="H25" s="724"/>
      <c r="I25" s="724"/>
      <c r="J25" s="724"/>
      <c r="K25" s="724"/>
      <c r="L25" s="724"/>
      <c r="M25" s="724"/>
      <c r="N25" s="724"/>
      <c r="O25" s="724"/>
      <c r="P25" s="724"/>
      <c r="Q25" s="724"/>
      <c r="R25" s="724"/>
      <c r="S25" s="738"/>
    </row>
    <row r="26" spans="1:19" ht="17.25" customHeight="1">
      <c r="A26" s="723" t="s">
        <v>55</v>
      </c>
      <c r="B26" s="724"/>
      <c r="C26" s="724"/>
      <c r="D26" s="724"/>
      <c r="E26" s="724"/>
      <c r="F26" s="724"/>
      <c r="G26" s="724"/>
      <c r="H26" s="724"/>
      <c r="I26" s="724"/>
      <c r="J26" s="724"/>
      <c r="K26" s="724"/>
      <c r="L26" s="724"/>
      <c r="M26" s="724"/>
      <c r="N26" s="724"/>
      <c r="O26" s="724"/>
      <c r="P26" s="724"/>
      <c r="Q26" s="724"/>
      <c r="R26" s="724"/>
      <c r="S26" s="738"/>
    </row>
    <row r="27" spans="1:19" ht="17.25" customHeight="1">
      <c r="A27" s="723" t="s">
        <v>56</v>
      </c>
      <c r="B27" s="724"/>
      <c r="C27" s="724"/>
      <c r="D27" s="724"/>
      <c r="E27" s="724"/>
      <c r="F27" s="724"/>
      <c r="G27" s="724"/>
      <c r="H27" s="724"/>
      <c r="I27" s="724"/>
      <c r="J27" s="724"/>
      <c r="K27" s="724"/>
      <c r="L27" s="724"/>
      <c r="M27" s="724"/>
      <c r="N27" s="724"/>
      <c r="O27" s="724"/>
      <c r="P27" s="724"/>
      <c r="Q27" s="724"/>
      <c r="R27" s="724"/>
      <c r="S27" s="738"/>
    </row>
    <row r="28" spans="1:19" ht="17.25" customHeight="1" thickBot="1">
      <c r="A28" s="725" t="s">
        <v>57</v>
      </c>
      <c r="B28" s="726"/>
      <c r="C28" s="726" t="s">
        <v>58</v>
      </c>
      <c r="D28" s="726"/>
      <c r="E28" s="726"/>
      <c r="F28" s="726"/>
      <c r="G28" s="726"/>
      <c r="H28" s="726"/>
      <c r="I28" s="726"/>
      <c r="J28" s="726"/>
      <c r="K28" s="726"/>
      <c r="L28" s="726"/>
      <c r="M28" s="726"/>
      <c r="N28" s="726"/>
      <c r="O28" s="726"/>
      <c r="P28" s="726"/>
      <c r="Q28" s="726"/>
      <c r="R28" s="726"/>
      <c r="S28" s="730"/>
    </row>
    <row r="29" spans="1:19" ht="20.100000000000001" customHeight="1" thickTop="1">
      <c r="A29" s="731" t="s">
        <v>59</v>
      </c>
      <c r="B29" s="732"/>
      <c r="C29" s="732"/>
      <c r="D29" s="732"/>
      <c r="E29" s="732"/>
      <c r="F29" s="732"/>
      <c r="G29" s="732"/>
      <c r="H29" s="732"/>
      <c r="I29" s="732"/>
      <c r="J29" s="732"/>
      <c r="K29" s="732"/>
      <c r="L29" s="732"/>
      <c r="M29" s="732"/>
      <c r="N29" s="732"/>
      <c r="O29" s="732"/>
      <c r="P29" s="732"/>
      <c r="Q29" s="732"/>
      <c r="R29" s="732"/>
      <c r="S29" s="733"/>
    </row>
    <row r="30" spans="1:19" ht="20.100000000000001" customHeight="1">
      <c r="A30" s="723" t="s">
        <v>60</v>
      </c>
      <c r="B30" s="724"/>
      <c r="C30" s="74"/>
      <c r="D30" s="75"/>
      <c r="E30" s="75"/>
      <c r="F30" s="75" t="s">
        <v>61</v>
      </c>
      <c r="G30" s="75"/>
      <c r="H30" s="75"/>
      <c r="I30" s="75"/>
      <c r="J30" s="75"/>
      <c r="K30" s="75"/>
      <c r="L30" s="75"/>
      <c r="M30" s="75" t="s">
        <v>62</v>
      </c>
      <c r="N30" s="75"/>
      <c r="O30" s="75"/>
      <c r="P30" s="75"/>
      <c r="Q30" s="75"/>
      <c r="R30" s="75"/>
      <c r="S30" s="76"/>
    </row>
    <row r="31" spans="1:19" ht="20.100000000000001" customHeight="1">
      <c r="A31" s="723" t="s">
        <v>63</v>
      </c>
      <c r="B31" s="724"/>
      <c r="C31" s="74"/>
      <c r="D31" s="75"/>
      <c r="E31" s="75"/>
      <c r="F31" s="75" t="s">
        <v>61</v>
      </c>
      <c r="G31" s="75"/>
      <c r="H31" s="75"/>
      <c r="I31" s="75"/>
      <c r="J31" s="75"/>
      <c r="K31" s="75"/>
      <c r="L31" s="75"/>
      <c r="M31" s="75" t="s">
        <v>62</v>
      </c>
      <c r="N31" s="75"/>
      <c r="O31" s="75"/>
      <c r="P31" s="75"/>
      <c r="Q31" s="75"/>
      <c r="R31" s="75"/>
      <c r="S31" s="76"/>
    </row>
    <row r="32" spans="1:19" ht="20.100000000000001" customHeight="1">
      <c r="A32" s="723" t="s">
        <v>64</v>
      </c>
      <c r="B32" s="724"/>
      <c r="C32" s="74"/>
      <c r="D32" s="75"/>
      <c r="E32" s="75"/>
      <c r="F32" s="75" t="s">
        <v>61</v>
      </c>
      <c r="G32" s="75"/>
      <c r="H32" s="75"/>
      <c r="I32" s="75"/>
      <c r="J32" s="75"/>
      <c r="K32" s="75"/>
      <c r="L32" s="75"/>
      <c r="M32" s="75" t="s">
        <v>62</v>
      </c>
      <c r="N32" s="75"/>
      <c r="O32" s="75"/>
      <c r="P32" s="75"/>
      <c r="Q32" s="75"/>
      <c r="R32" s="75"/>
      <c r="S32" s="76"/>
    </row>
    <row r="33" spans="1:19" ht="20.100000000000001" customHeight="1">
      <c r="A33" s="723" t="s">
        <v>65</v>
      </c>
      <c r="B33" s="724"/>
      <c r="C33" s="74"/>
      <c r="D33" s="75"/>
      <c r="E33" s="75"/>
      <c r="F33" s="75" t="s">
        <v>61</v>
      </c>
      <c r="G33" s="75"/>
      <c r="H33" s="75"/>
      <c r="I33" s="75"/>
      <c r="J33" s="75"/>
      <c r="K33" s="75"/>
      <c r="L33" s="75"/>
      <c r="M33" s="75" t="s">
        <v>62</v>
      </c>
      <c r="N33" s="75"/>
      <c r="O33" s="75"/>
      <c r="P33" s="75"/>
      <c r="Q33" s="75"/>
      <c r="R33" s="75"/>
      <c r="S33" s="76"/>
    </row>
    <row r="34" spans="1:19" ht="20.100000000000001" customHeight="1">
      <c r="A34" s="723" t="s">
        <v>66</v>
      </c>
      <c r="B34" s="724"/>
      <c r="C34" s="75"/>
      <c r="D34" s="75"/>
      <c r="E34" s="75"/>
      <c r="F34" s="75" t="s">
        <v>61</v>
      </c>
      <c r="G34" s="75"/>
      <c r="H34" s="75"/>
      <c r="I34" s="75"/>
      <c r="J34" s="75"/>
      <c r="K34" s="75"/>
      <c r="L34" s="75"/>
      <c r="M34" s="75" t="s">
        <v>62</v>
      </c>
      <c r="N34" s="75"/>
      <c r="O34" s="75"/>
      <c r="P34" s="75"/>
      <c r="Q34" s="75"/>
      <c r="R34" s="75"/>
      <c r="S34" s="76"/>
    </row>
    <row r="35" spans="1:19" ht="19.5" customHeight="1" thickBot="1">
      <c r="A35" s="725" t="s">
        <v>67</v>
      </c>
      <c r="B35" s="726"/>
      <c r="C35" s="45"/>
      <c r="D35" s="45"/>
      <c r="E35" s="45"/>
      <c r="F35" s="45" t="s">
        <v>61</v>
      </c>
      <c r="G35" s="45"/>
      <c r="H35" s="45"/>
      <c r="I35" s="45"/>
      <c r="J35" s="45"/>
      <c r="K35" s="45"/>
      <c r="L35" s="45"/>
      <c r="M35" s="45" t="s">
        <v>62</v>
      </c>
      <c r="N35" s="45"/>
      <c r="O35" s="45"/>
      <c r="P35" s="45"/>
      <c r="Q35" s="45"/>
      <c r="R35" s="45"/>
      <c r="S35" s="46"/>
    </row>
    <row r="36" spans="1:19" ht="15" thickTop="1">
      <c r="A36" s="727" t="s">
        <v>68</v>
      </c>
      <c r="B36" s="728"/>
      <c r="C36" s="728"/>
      <c r="D36" s="728"/>
      <c r="E36" s="728"/>
      <c r="F36" s="728"/>
      <c r="G36" s="728"/>
      <c r="H36" s="728"/>
      <c r="I36" s="728"/>
      <c r="J36" s="728"/>
      <c r="K36" s="728"/>
      <c r="L36" s="728"/>
      <c r="M36" s="728"/>
      <c r="N36" s="728"/>
      <c r="O36" s="728"/>
      <c r="P36" s="728"/>
      <c r="Q36" s="728"/>
      <c r="R36" s="728"/>
      <c r="S36" s="729"/>
    </row>
    <row r="37" spans="1:19" ht="8.25" customHeight="1">
      <c r="A37" s="707"/>
      <c r="B37" s="708"/>
      <c r="C37" s="708"/>
      <c r="D37" s="708"/>
      <c r="E37" s="708"/>
      <c r="F37" s="708"/>
      <c r="G37" s="708"/>
      <c r="H37" s="708"/>
      <c r="I37" s="708"/>
      <c r="J37" s="708"/>
      <c r="K37" s="708"/>
      <c r="L37" s="708"/>
      <c r="M37" s="708"/>
      <c r="N37" s="708"/>
      <c r="O37" s="708"/>
      <c r="P37" s="708"/>
      <c r="Q37" s="708"/>
      <c r="R37" s="708"/>
      <c r="S37" s="709"/>
    </row>
    <row r="38" spans="1:19" ht="8.25" customHeight="1">
      <c r="A38" s="707"/>
      <c r="B38" s="708"/>
      <c r="C38" s="708"/>
      <c r="D38" s="708"/>
      <c r="E38" s="708"/>
      <c r="F38" s="708"/>
      <c r="G38" s="708"/>
      <c r="H38" s="708"/>
      <c r="I38" s="708"/>
      <c r="J38" s="708"/>
      <c r="K38" s="708"/>
      <c r="L38" s="708"/>
      <c r="M38" s="708"/>
      <c r="N38" s="708"/>
      <c r="O38" s="708"/>
      <c r="P38" s="708"/>
      <c r="Q38" s="708"/>
      <c r="R38" s="708"/>
      <c r="S38" s="709"/>
    </row>
    <row r="39" spans="1:19" ht="8.25" customHeight="1">
      <c r="A39" s="707"/>
      <c r="B39" s="708"/>
      <c r="C39" s="708"/>
      <c r="D39" s="708"/>
      <c r="E39" s="708"/>
      <c r="F39" s="708"/>
      <c r="G39" s="708"/>
      <c r="H39" s="708"/>
      <c r="I39" s="708"/>
      <c r="J39" s="708"/>
      <c r="K39" s="708"/>
      <c r="L39" s="708"/>
      <c r="M39" s="708"/>
      <c r="N39" s="708"/>
      <c r="O39" s="708"/>
      <c r="P39" s="708"/>
      <c r="Q39" s="708"/>
      <c r="R39" s="708"/>
      <c r="S39" s="709"/>
    </row>
    <row r="40" spans="1:19" ht="8.25" customHeight="1">
      <c r="A40" s="707"/>
      <c r="B40" s="708"/>
      <c r="C40" s="708"/>
      <c r="D40" s="708"/>
      <c r="E40" s="708"/>
      <c r="F40" s="708"/>
      <c r="G40" s="708"/>
      <c r="H40" s="708"/>
      <c r="I40" s="708"/>
      <c r="J40" s="708"/>
      <c r="K40" s="708"/>
      <c r="L40" s="708"/>
      <c r="M40" s="708"/>
      <c r="N40" s="708"/>
      <c r="O40" s="708"/>
      <c r="P40" s="708"/>
      <c r="Q40" s="708"/>
      <c r="R40" s="708"/>
      <c r="S40" s="709"/>
    </row>
    <row r="41" spans="1:19" ht="8.25" customHeight="1">
      <c r="A41" s="707"/>
      <c r="B41" s="708"/>
      <c r="C41" s="708"/>
      <c r="D41" s="708"/>
      <c r="E41" s="708"/>
      <c r="F41" s="708"/>
      <c r="G41" s="708"/>
      <c r="H41" s="708"/>
      <c r="I41" s="708"/>
      <c r="J41" s="708"/>
      <c r="K41" s="708"/>
      <c r="L41" s="708"/>
      <c r="M41" s="708"/>
      <c r="N41" s="708"/>
      <c r="O41" s="708"/>
      <c r="P41" s="708"/>
      <c r="Q41" s="708"/>
      <c r="R41" s="708"/>
      <c r="S41" s="709"/>
    </row>
    <row r="42" spans="1:19" ht="8.25" customHeight="1">
      <c r="A42" s="707"/>
      <c r="B42" s="708"/>
      <c r="C42" s="708"/>
      <c r="D42" s="708"/>
      <c r="E42" s="708"/>
      <c r="F42" s="708"/>
      <c r="G42" s="708"/>
      <c r="H42" s="708"/>
      <c r="I42" s="708"/>
      <c r="J42" s="708"/>
      <c r="K42" s="708"/>
      <c r="L42" s="708"/>
      <c r="M42" s="708"/>
      <c r="N42" s="708"/>
      <c r="O42" s="708"/>
      <c r="P42" s="708"/>
      <c r="Q42" s="708"/>
      <c r="R42" s="708"/>
      <c r="S42" s="709"/>
    </row>
    <row r="43" spans="1:19" ht="8.25" customHeight="1" thickBot="1">
      <c r="A43" s="710"/>
      <c r="B43" s="711"/>
      <c r="C43" s="711"/>
      <c r="D43" s="711"/>
      <c r="E43" s="711"/>
      <c r="F43" s="711"/>
      <c r="G43" s="711"/>
      <c r="H43" s="711"/>
      <c r="I43" s="711"/>
      <c r="J43" s="711"/>
      <c r="K43" s="711"/>
      <c r="L43" s="711"/>
      <c r="M43" s="711"/>
      <c r="N43" s="711"/>
      <c r="O43" s="711"/>
      <c r="P43" s="711"/>
      <c r="Q43" s="711"/>
      <c r="R43" s="711"/>
      <c r="S43" s="712"/>
    </row>
    <row r="44" spans="1:19" ht="20.100000000000001" customHeight="1" thickTop="1">
      <c r="A44" s="713" t="s">
        <v>69</v>
      </c>
      <c r="B44" s="714"/>
      <c r="C44" s="714"/>
      <c r="D44" s="714"/>
      <c r="E44" s="714"/>
      <c r="F44" s="714"/>
      <c r="G44" s="714"/>
      <c r="H44" s="714"/>
      <c r="I44" s="714"/>
      <c r="J44" s="714"/>
      <c r="K44" s="714"/>
      <c r="L44" s="714"/>
      <c r="M44" s="714"/>
      <c r="N44" s="714"/>
      <c r="O44" s="714"/>
      <c r="P44" s="714"/>
      <c r="Q44" s="714"/>
      <c r="R44" s="714"/>
      <c r="S44" s="715"/>
    </row>
    <row r="45" spans="1:19" ht="7.5" customHeight="1">
      <c r="A45" s="707"/>
      <c r="B45" s="708"/>
      <c r="C45" s="708"/>
      <c r="D45" s="708"/>
      <c r="E45" s="708"/>
      <c r="F45" s="708"/>
      <c r="G45" s="708"/>
      <c r="H45" s="708"/>
      <c r="I45" s="708"/>
      <c r="J45" s="708"/>
      <c r="K45" s="708"/>
      <c r="L45" s="708"/>
      <c r="M45" s="708"/>
      <c r="N45" s="708"/>
      <c r="O45" s="708"/>
      <c r="P45" s="708"/>
      <c r="Q45" s="708"/>
      <c r="R45" s="708"/>
      <c r="S45" s="709"/>
    </row>
    <row r="46" spans="1:19" ht="11.25" customHeight="1">
      <c r="A46" s="707"/>
      <c r="B46" s="708"/>
      <c r="C46" s="708"/>
      <c r="D46" s="708"/>
      <c r="E46" s="708"/>
      <c r="F46" s="708"/>
      <c r="G46" s="708"/>
      <c r="H46" s="708"/>
      <c r="I46" s="708"/>
      <c r="J46" s="708"/>
      <c r="K46" s="708"/>
      <c r="L46" s="708"/>
      <c r="M46" s="708"/>
      <c r="N46" s="708"/>
      <c r="O46" s="708"/>
      <c r="P46" s="708"/>
      <c r="Q46" s="708"/>
      <c r="R46" s="708"/>
      <c r="S46" s="709"/>
    </row>
    <row r="47" spans="1:19" ht="9" customHeight="1">
      <c r="A47" s="707"/>
      <c r="B47" s="708"/>
      <c r="C47" s="708"/>
      <c r="D47" s="708"/>
      <c r="E47" s="708"/>
      <c r="F47" s="708"/>
      <c r="G47" s="708"/>
      <c r="H47" s="708"/>
      <c r="I47" s="708"/>
      <c r="J47" s="708"/>
      <c r="K47" s="708"/>
      <c r="L47" s="708"/>
      <c r="M47" s="708"/>
      <c r="N47" s="708"/>
      <c r="O47" s="708"/>
      <c r="P47" s="708"/>
      <c r="Q47" s="708"/>
      <c r="R47" s="708"/>
      <c r="S47" s="709"/>
    </row>
    <row r="48" spans="1:19" ht="12" customHeight="1">
      <c r="A48" s="707"/>
      <c r="B48" s="708"/>
      <c r="C48" s="708"/>
      <c r="D48" s="708"/>
      <c r="E48" s="708"/>
      <c r="F48" s="708"/>
      <c r="G48" s="708"/>
      <c r="H48" s="708"/>
      <c r="I48" s="708"/>
      <c r="J48" s="708"/>
      <c r="K48" s="708"/>
      <c r="L48" s="708"/>
      <c r="M48" s="708"/>
      <c r="N48" s="708"/>
      <c r="O48" s="708"/>
      <c r="P48" s="708"/>
      <c r="Q48" s="708"/>
      <c r="R48" s="708"/>
      <c r="S48" s="709"/>
    </row>
    <row r="49" spans="1:19" ht="12" customHeight="1" thickBot="1">
      <c r="A49" s="716"/>
      <c r="B49" s="717"/>
      <c r="C49" s="717"/>
      <c r="D49" s="717"/>
      <c r="E49" s="717"/>
      <c r="F49" s="717"/>
      <c r="G49" s="717"/>
      <c r="H49" s="717"/>
      <c r="I49" s="717"/>
      <c r="J49" s="717"/>
      <c r="K49" s="717"/>
      <c r="L49" s="717"/>
      <c r="M49" s="717"/>
      <c r="N49" s="717"/>
      <c r="O49" s="717"/>
      <c r="P49" s="717"/>
      <c r="Q49" s="717"/>
      <c r="R49" s="717"/>
      <c r="S49" s="718"/>
    </row>
    <row r="50" spans="1:19" ht="19.5" customHeight="1">
      <c r="A50" s="719" t="s">
        <v>98</v>
      </c>
      <c r="B50" s="720"/>
      <c r="C50" s="720"/>
      <c r="D50" s="720"/>
      <c r="E50" s="720"/>
      <c r="F50" s="720"/>
      <c r="G50" s="720"/>
      <c r="H50" s="720"/>
      <c r="I50" s="720"/>
      <c r="J50" s="720"/>
      <c r="K50" s="720"/>
      <c r="L50" s="720"/>
      <c r="M50" s="720"/>
      <c r="N50" s="720"/>
      <c r="O50" s="720"/>
      <c r="P50" s="720"/>
      <c r="Q50" s="720"/>
      <c r="R50" s="720"/>
      <c r="S50" s="721"/>
    </row>
    <row r="51" spans="1:19" ht="19.5" customHeight="1" thickBot="1">
      <c r="A51" s="722">
        <f ca="1">TODAY()</f>
        <v>43839</v>
      </c>
      <c r="B51" s="717"/>
      <c r="C51" s="717"/>
      <c r="D51" s="717"/>
      <c r="E51" s="717"/>
      <c r="F51" s="717"/>
      <c r="G51" s="717"/>
      <c r="H51" s="717"/>
      <c r="I51" s="717"/>
      <c r="J51" s="717"/>
      <c r="K51" s="717"/>
      <c r="L51" s="717"/>
      <c r="M51" s="717"/>
      <c r="N51" s="717"/>
      <c r="O51" s="717"/>
      <c r="P51" s="717"/>
      <c r="Q51" s="717"/>
      <c r="R51" s="717"/>
      <c r="S51" s="718"/>
    </row>
    <row r="52" spans="1:19">
      <c r="H52" s="72" t="str">
        <f>"1/"&amp;IF(COUNTIF(辅助!K:K,"&gt;0")&lt;9,1,IF(COUNTIF(辅助!K:K,"&gt;0")&lt;17,2,IF(COUNTIF(辅助!K:K,"&gt;0")&lt;25,3,IF(COUNTIF(辅助!K:K,"&gt;0")&lt;33,4))))</f>
        <v>1/2</v>
      </c>
    </row>
    <row r="53" spans="1:19" ht="12.75" customHeight="1"/>
    <row r="54" spans="1:19" ht="24">
      <c r="A54" s="747" t="s">
        <v>46</v>
      </c>
      <c r="B54" s="747"/>
      <c r="C54" s="747"/>
      <c r="D54" s="747"/>
      <c r="E54" s="747"/>
      <c r="F54" s="747"/>
      <c r="G54" s="747"/>
      <c r="H54" s="747"/>
      <c r="I54" s="747"/>
      <c r="J54" s="747"/>
      <c r="K54" s="747"/>
      <c r="L54" s="747"/>
      <c r="M54" s="747"/>
      <c r="N54" s="747"/>
      <c r="O54" s="747"/>
      <c r="P54" s="747"/>
      <c r="Q54" s="747"/>
      <c r="R54" s="747"/>
      <c r="S54" s="747"/>
    </row>
    <row r="55" spans="1:19" ht="9.75" customHeight="1" thickBot="1"/>
    <row r="56" spans="1:19" ht="20.100000000000001" customHeight="1">
      <c r="A56" s="744" t="s">
        <v>47</v>
      </c>
      <c r="B56" s="745"/>
      <c r="C56" s="745" t="s">
        <v>74</v>
      </c>
      <c r="D56" s="745"/>
      <c r="E56" s="745"/>
      <c r="F56" s="745"/>
      <c r="G56" s="745"/>
      <c r="H56" s="745"/>
      <c r="I56" s="745"/>
      <c r="J56" s="745"/>
      <c r="K56" s="745"/>
      <c r="L56" s="745"/>
      <c r="M56" s="745"/>
      <c r="N56" s="745"/>
      <c r="O56" s="745"/>
      <c r="P56" s="745"/>
      <c r="Q56" s="745"/>
      <c r="R56" s="745"/>
      <c r="S56" s="746"/>
    </row>
    <row r="57" spans="1:19" ht="20.100000000000001" customHeight="1">
      <c r="A57" s="723" t="s">
        <v>48</v>
      </c>
      <c r="B57" s="724"/>
      <c r="C57" s="724" t="s">
        <v>461</v>
      </c>
      <c r="D57" s="724"/>
      <c r="E57" s="724"/>
      <c r="F57" s="724"/>
      <c r="G57" s="724"/>
      <c r="H57" s="724"/>
      <c r="I57" s="724"/>
      <c r="J57" s="724"/>
      <c r="K57" s="724"/>
      <c r="L57" s="724"/>
      <c r="M57" s="724"/>
      <c r="N57" s="724"/>
      <c r="O57" s="724"/>
      <c r="P57" s="724"/>
      <c r="Q57" s="724"/>
      <c r="R57" s="724"/>
      <c r="S57" s="738"/>
    </row>
    <row r="58" spans="1:19" ht="20.100000000000001" customHeight="1">
      <c r="A58" s="723" t="s">
        <v>49</v>
      </c>
      <c r="B58" s="724"/>
      <c r="C58" s="724">
        <v>201209</v>
      </c>
      <c r="D58" s="724"/>
      <c r="E58" s="724"/>
      <c r="F58" s="724"/>
      <c r="G58" s="724"/>
      <c r="H58" s="724"/>
      <c r="I58" s="724"/>
      <c r="J58" s="734" t="s">
        <v>50</v>
      </c>
      <c r="K58" s="735"/>
      <c r="L58" s="742"/>
      <c r="M58" s="724"/>
      <c r="N58" s="724"/>
      <c r="O58" s="724"/>
      <c r="P58" s="724"/>
      <c r="Q58" s="724"/>
      <c r="R58" s="724"/>
      <c r="S58" s="738"/>
    </row>
    <row r="59" spans="1:19" ht="20.100000000000001" customHeight="1">
      <c r="A59" s="723" t="s">
        <v>51</v>
      </c>
      <c r="B59" s="724"/>
      <c r="C59" s="724" t="s">
        <v>117</v>
      </c>
      <c r="D59" s="724"/>
      <c r="E59" s="724"/>
      <c r="F59" s="724"/>
      <c r="G59" s="724"/>
      <c r="H59" s="724"/>
      <c r="I59" s="724"/>
      <c r="J59" s="734" t="s">
        <v>52</v>
      </c>
      <c r="K59" s="735"/>
      <c r="L59" s="742"/>
      <c r="M59" s="724"/>
      <c r="N59" s="724"/>
      <c r="O59" s="724"/>
      <c r="P59" s="724"/>
      <c r="Q59" s="724"/>
      <c r="R59" s="724"/>
      <c r="S59" s="738"/>
    </row>
    <row r="60" spans="1:19" ht="13.5" customHeight="1">
      <c r="A60" s="739" t="s">
        <v>99</v>
      </c>
      <c r="B60" s="743"/>
      <c r="C60" s="734">
        <f>辅助!R10</f>
        <v>2903999090</v>
      </c>
      <c r="D60" s="735"/>
      <c r="E60" s="735"/>
      <c r="F60" s="735"/>
      <c r="G60" s="735"/>
      <c r="H60" s="735"/>
      <c r="I60" s="735"/>
      <c r="J60" s="735"/>
      <c r="K60" s="735"/>
      <c r="L60" s="735"/>
      <c r="M60" s="735"/>
      <c r="N60" s="735"/>
      <c r="O60" s="735"/>
      <c r="P60" s="735"/>
      <c r="Q60" s="735"/>
      <c r="R60" s="735"/>
      <c r="S60" s="736"/>
    </row>
    <row r="61" spans="1:19" ht="13.5" customHeight="1">
      <c r="A61" s="707"/>
      <c r="B61" s="708"/>
      <c r="C61" s="734">
        <f>辅助!R11</f>
        <v>2916399090</v>
      </c>
      <c r="D61" s="735"/>
      <c r="E61" s="735"/>
      <c r="F61" s="735"/>
      <c r="G61" s="735"/>
      <c r="H61" s="735"/>
      <c r="I61" s="735"/>
      <c r="J61" s="735"/>
      <c r="K61" s="735"/>
      <c r="L61" s="735"/>
      <c r="M61" s="735"/>
      <c r="N61" s="735"/>
      <c r="O61" s="735"/>
      <c r="P61" s="735"/>
      <c r="Q61" s="735"/>
      <c r="R61" s="735"/>
      <c r="S61" s="736"/>
    </row>
    <row r="62" spans="1:19" ht="13.5" customHeight="1">
      <c r="A62" s="707"/>
      <c r="B62" s="708"/>
      <c r="C62" s="734" t="str">
        <f>辅助!R12</f>
        <v/>
      </c>
      <c r="D62" s="735"/>
      <c r="E62" s="735"/>
      <c r="F62" s="735"/>
      <c r="G62" s="735"/>
      <c r="H62" s="735"/>
      <c r="I62" s="735"/>
      <c r="J62" s="735"/>
      <c r="K62" s="735"/>
      <c r="L62" s="735"/>
      <c r="M62" s="735"/>
      <c r="N62" s="735"/>
      <c r="O62" s="735"/>
      <c r="P62" s="735"/>
      <c r="Q62" s="735"/>
      <c r="R62" s="735"/>
      <c r="S62" s="736"/>
    </row>
    <row r="63" spans="1:19" ht="13.5" customHeight="1">
      <c r="A63" s="707"/>
      <c r="B63" s="708"/>
      <c r="C63" s="734" t="str">
        <f>辅助!R13</f>
        <v/>
      </c>
      <c r="D63" s="735"/>
      <c r="E63" s="735"/>
      <c r="F63" s="735"/>
      <c r="G63" s="735"/>
      <c r="H63" s="735"/>
      <c r="I63" s="735"/>
      <c r="J63" s="735"/>
      <c r="K63" s="735"/>
      <c r="L63" s="735"/>
      <c r="M63" s="735"/>
      <c r="N63" s="735"/>
      <c r="O63" s="735"/>
      <c r="P63" s="735"/>
      <c r="Q63" s="735"/>
      <c r="R63" s="735"/>
      <c r="S63" s="736"/>
    </row>
    <row r="64" spans="1:19" ht="13.5" customHeight="1">
      <c r="A64" s="707"/>
      <c r="B64" s="708"/>
      <c r="C64" s="734" t="str">
        <f>辅助!R14</f>
        <v/>
      </c>
      <c r="D64" s="735"/>
      <c r="E64" s="735"/>
      <c r="F64" s="735"/>
      <c r="G64" s="735"/>
      <c r="H64" s="735"/>
      <c r="I64" s="735"/>
      <c r="J64" s="735"/>
      <c r="K64" s="735"/>
      <c r="L64" s="735"/>
      <c r="M64" s="735"/>
      <c r="N64" s="735"/>
      <c r="O64" s="735"/>
      <c r="P64" s="735"/>
      <c r="Q64" s="735"/>
      <c r="R64" s="735"/>
      <c r="S64" s="736"/>
    </row>
    <row r="65" spans="1:19" ht="13.5" customHeight="1">
      <c r="A65" s="707"/>
      <c r="B65" s="708"/>
      <c r="C65" s="734" t="str">
        <f>辅助!R15</f>
        <v/>
      </c>
      <c r="D65" s="735"/>
      <c r="E65" s="735"/>
      <c r="F65" s="735"/>
      <c r="G65" s="735"/>
      <c r="H65" s="735"/>
      <c r="I65" s="735"/>
      <c r="J65" s="735"/>
      <c r="K65" s="735"/>
      <c r="L65" s="735"/>
      <c r="M65" s="735"/>
      <c r="N65" s="735"/>
      <c r="O65" s="735"/>
      <c r="P65" s="735"/>
      <c r="Q65" s="735"/>
      <c r="R65" s="735"/>
      <c r="S65" s="736"/>
    </row>
    <row r="66" spans="1:19" ht="13.5" customHeight="1">
      <c r="A66" s="707"/>
      <c r="B66" s="708"/>
      <c r="C66" s="734" t="str">
        <f>辅助!R16</f>
        <v/>
      </c>
      <c r="D66" s="735"/>
      <c r="E66" s="735"/>
      <c r="F66" s="735"/>
      <c r="G66" s="735"/>
      <c r="H66" s="735"/>
      <c r="I66" s="735"/>
      <c r="J66" s="735"/>
      <c r="K66" s="735"/>
      <c r="L66" s="735"/>
      <c r="M66" s="735"/>
      <c r="N66" s="735"/>
      <c r="O66" s="735"/>
      <c r="P66" s="735"/>
      <c r="Q66" s="735"/>
      <c r="R66" s="735"/>
      <c r="S66" s="736"/>
    </row>
    <row r="67" spans="1:19" ht="13.5" customHeight="1">
      <c r="A67" s="707"/>
      <c r="B67" s="708"/>
      <c r="C67" s="734" t="str">
        <f>辅助!R17</f>
        <v/>
      </c>
      <c r="D67" s="735"/>
      <c r="E67" s="735"/>
      <c r="F67" s="735"/>
      <c r="G67" s="735"/>
      <c r="H67" s="735"/>
      <c r="I67" s="735"/>
      <c r="J67" s="735"/>
      <c r="K67" s="735"/>
      <c r="L67" s="735"/>
      <c r="M67" s="735"/>
      <c r="N67" s="735"/>
      <c r="O67" s="735"/>
      <c r="P67" s="735"/>
      <c r="Q67" s="735"/>
      <c r="R67" s="735"/>
      <c r="S67" s="736"/>
    </row>
    <row r="68" spans="1:19" ht="13.5" customHeight="1">
      <c r="A68" s="739" t="s">
        <v>53</v>
      </c>
      <c r="B68" s="740"/>
      <c r="C68" s="748" t="str">
        <f>辅助!L10</f>
        <v>2-氟-5-碘硝基苯</v>
      </c>
      <c r="D68" s="748"/>
      <c r="E68" s="748"/>
      <c r="F68" s="748"/>
      <c r="G68" s="748"/>
      <c r="H68" s="748"/>
      <c r="I68" s="748"/>
      <c r="J68" s="748"/>
      <c r="K68" s="748"/>
      <c r="L68" s="748"/>
      <c r="M68" s="748"/>
      <c r="N68" s="748"/>
      <c r="O68" s="748"/>
      <c r="P68" s="748"/>
      <c r="Q68" s="748"/>
      <c r="R68" s="748"/>
      <c r="S68" s="749"/>
    </row>
    <row r="69" spans="1:19" ht="13.5" customHeight="1">
      <c r="A69" s="707"/>
      <c r="B69" s="741"/>
      <c r="C69" s="748" t="str">
        <f>辅助!L11</f>
        <v>2,4-双(三氟甲基)苯乙酸</v>
      </c>
      <c r="D69" s="748"/>
      <c r="E69" s="748"/>
      <c r="F69" s="748"/>
      <c r="G69" s="748"/>
      <c r="H69" s="748"/>
      <c r="I69" s="748"/>
      <c r="J69" s="748"/>
      <c r="K69" s="748"/>
      <c r="L69" s="748"/>
      <c r="M69" s="748"/>
      <c r="N69" s="748"/>
      <c r="O69" s="748"/>
      <c r="P69" s="748"/>
      <c r="Q69" s="748"/>
      <c r="R69" s="748"/>
      <c r="S69" s="749"/>
    </row>
    <row r="70" spans="1:19" ht="13.5" customHeight="1">
      <c r="A70" s="707"/>
      <c r="B70" s="741"/>
      <c r="C70" s="748" t="str">
        <f>辅助!L12</f>
        <v/>
      </c>
      <c r="D70" s="748"/>
      <c r="E70" s="748"/>
      <c r="F70" s="748"/>
      <c r="G70" s="748"/>
      <c r="H70" s="748"/>
      <c r="I70" s="748"/>
      <c r="J70" s="748"/>
      <c r="K70" s="748"/>
      <c r="L70" s="748"/>
      <c r="M70" s="748"/>
      <c r="N70" s="748"/>
      <c r="O70" s="748"/>
      <c r="P70" s="748"/>
      <c r="Q70" s="748"/>
      <c r="R70" s="748"/>
      <c r="S70" s="749"/>
    </row>
    <row r="71" spans="1:19" ht="13.5" customHeight="1">
      <c r="A71" s="707"/>
      <c r="B71" s="741"/>
      <c r="C71" s="748" t="str">
        <f>辅助!L13</f>
        <v/>
      </c>
      <c r="D71" s="748"/>
      <c r="E71" s="748"/>
      <c r="F71" s="748"/>
      <c r="G71" s="748"/>
      <c r="H71" s="748"/>
      <c r="I71" s="748"/>
      <c r="J71" s="748"/>
      <c r="K71" s="748"/>
      <c r="L71" s="748"/>
      <c r="M71" s="748"/>
      <c r="N71" s="748"/>
      <c r="O71" s="748"/>
      <c r="P71" s="748"/>
      <c r="Q71" s="748"/>
      <c r="R71" s="748"/>
      <c r="S71" s="749"/>
    </row>
    <row r="72" spans="1:19" ht="13.5" customHeight="1">
      <c r="A72" s="707"/>
      <c r="B72" s="741"/>
      <c r="C72" s="748" t="str">
        <f>辅助!L14</f>
        <v/>
      </c>
      <c r="D72" s="748"/>
      <c r="E72" s="748"/>
      <c r="F72" s="748"/>
      <c r="G72" s="748"/>
      <c r="H72" s="748"/>
      <c r="I72" s="748"/>
      <c r="J72" s="748"/>
      <c r="K72" s="748"/>
      <c r="L72" s="748"/>
      <c r="M72" s="748"/>
      <c r="N72" s="748"/>
      <c r="O72" s="748"/>
      <c r="P72" s="748"/>
      <c r="Q72" s="748"/>
      <c r="R72" s="748"/>
      <c r="S72" s="749"/>
    </row>
    <row r="73" spans="1:19" ht="13.5" customHeight="1">
      <c r="A73" s="707"/>
      <c r="B73" s="741"/>
      <c r="C73" s="748" t="str">
        <f>辅助!L15</f>
        <v/>
      </c>
      <c r="D73" s="748"/>
      <c r="E73" s="748"/>
      <c r="F73" s="748"/>
      <c r="G73" s="748"/>
      <c r="H73" s="748"/>
      <c r="I73" s="748"/>
      <c r="J73" s="748"/>
      <c r="K73" s="748"/>
      <c r="L73" s="748"/>
      <c r="M73" s="748"/>
      <c r="N73" s="748"/>
      <c r="O73" s="748"/>
      <c r="P73" s="748"/>
      <c r="Q73" s="748"/>
      <c r="R73" s="748"/>
      <c r="S73" s="749"/>
    </row>
    <row r="74" spans="1:19" ht="13.5" customHeight="1">
      <c r="A74" s="707"/>
      <c r="B74" s="741"/>
      <c r="C74" s="748" t="str">
        <f>辅助!L16</f>
        <v/>
      </c>
      <c r="D74" s="748"/>
      <c r="E74" s="748"/>
      <c r="F74" s="748"/>
      <c r="G74" s="748"/>
      <c r="H74" s="748"/>
      <c r="I74" s="748"/>
      <c r="J74" s="748"/>
      <c r="K74" s="748"/>
      <c r="L74" s="748"/>
      <c r="M74" s="748"/>
      <c r="N74" s="748"/>
      <c r="O74" s="748"/>
      <c r="P74" s="748"/>
      <c r="Q74" s="748"/>
      <c r="R74" s="748"/>
      <c r="S74" s="749"/>
    </row>
    <row r="75" spans="1:19" ht="13.5" customHeight="1">
      <c r="A75" s="707"/>
      <c r="B75" s="741"/>
      <c r="C75" s="748" t="str">
        <f>辅助!L17</f>
        <v/>
      </c>
      <c r="D75" s="748"/>
      <c r="E75" s="748"/>
      <c r="F75" s="748"/>
      <c r="G75" s="748"/>
      <c r="H75" s="748"/>
      <c r="I75" s="748"/>
      <c r="J75" s="748"/>
      <c r="K75" s="748"/>
      <c r="L75" s="748"/>
      <c r="M75" s="748"/>
      <c r="N75" s="748"/>
      <c r="O75" s="748"/>
      <c r="P75" s="748"/>
      <c r="Q75" s="748"/>
      <c r="R75" s="748"/>
      <c r="S75" s="749"/>
    </row>
    <row r="76" spans="1:19" ht="17.25" customHeight="1">
      <c r="A76" s="723" t="s">
        <v>54</v>
      </c>
      <c r="B76" s="724"/>
      <c r="C76" s="737">
        <v>0.99</v>
      </c>
      <c r="D76" s="724"/>
      <c r="E76" s="724"/>
      <c r="F76" s="724"/>
      <c r="G76" s="724"/>
      <c r="H76" s="724"/>
      <c r="I76" s="724"/>
      <c r="J76" s="724"/>
      <c r="K76" s="724"/>
      <c r="L76" s="724"/>
      <c r="M76" s="724"/>
      <c r="N76" s="724"/>
      <c r="O76" s="724"/>
      <c r="P76" s="724"/>
      <c r="Q76" s="724"/>
      <c r="R76" s="724"/>
      <c r="S76" s="738"/>
    </row>
    <row r="77" spans="1:19" ht="17.25" customHeight="1">
      <c r="A77" s="723" t="s">
        <v>55</v>
      </c>
      <c r="B77" s="724"/>
      <c r="C77" s="724"/>
      <c r="D77" s="724"/>
      <c r="E77" s="724"/>
      <c r="F77" s="724"/>
      <c r="G77" s="724"/>
      <c r="H77" s="724"/>
      <c r="I77" s="724"/>
      <c r="J77" s="724"/>
      <c r="K77" s="724"/>
      <c r="L77" s="724"/>
      <c r="M77" s="724"/>
      <c r="N77" s="724"/>
      <c r="O77" s="724"/>
      <c r="P77" s="724"/>
      <c r="Q77" s="724"/>
      <c r="R77" s="724"/>
      <c r="S77" s="738"/>
    </row>
    <row r="78" spans="1:19" ht="17.25" customHeight="1">
      <c r="A78" s="723" t="s">
        <v>56</v>
      </c>
      <c r="B78" s="724"/>
      <c r="C78" s="724"/>
      <c r="D78" s="724"/>
      <c r="E78" s="724"/>
      <c r="F78" s="724"/>
      <c r="G78" s="724"/>
      <c r="H78" s="724"/>
      <c r="I78" s="724"/>
      <c r="J78" s="724"/>
      <c r="K78" s="724"/>
      <c r="L78" s="724"/>
      <c r="M78" s="724"/>
      <c r="N78" s="724"/>
      <c r="O78" s="724"/>
      <c r="P78" s="724"/>
      <c r="Q78" s="724"/>
      <c r="R78" s="724"/>
      <c r="S78" s="738"/>
    </row>
    <row r="79" spans="1:19" ht="17.25" customHeight="1" thickBot="1">
      <c r="A79" s="725" t="s">
        <v>57</v>
      </c>
      <c r="B79" s="726"/>
      <c r="C79" s="726" t="s">
        <v>58</v>
      </c>
      <c r="D79" s="726"/>
      <c r="E79" s="726"/>
      <c r="F79" s="726"/>
      <c r="G79" s="726"/>
      <c r="H79" s="726"/>
      <c r="I79" s="726"/>
      <c r="J79" s="726"/>
      <c r="K79" s="726"/>
      <c r="L79" s="726"/>
      <c r="M79" s="726"/>
      <c r="N79" s="726"/>
      <c r="O79" s="726"/>
      <c r="P79" s="726"/>
      <c r="Q79" s="726"/>
      <c r="R79" s="726"/>
      <c r="S79" s="730"/>
    </row>
    <row r="80" spans="1:19" ht="20.100000000000001" customHeight="1" thickTop="1">
      <c r="A80" s="731" t="s">
        <v>59</v>
      </c>
      <c r="B80" s="732"/>
      <c r="C80" s="732"/>
      <c r="D80" s="732"/>
      <c r="E80" s="732"/>
      <c r="F80" s="732"/>
      <c r="G80" s="732"/>
      <c r="H80" s="732"/>
      <c r="I80" s="732"/>
      <c r="J80" s="732"/>
      <c r="K80" s="732"/>
      <c r="L80" s="732"/>
      <c r="M80" s="732"/>
      <c r="N80" s="732"/>
      <c r="O80" s="732"/>
      <c r="P80" s="732"/>
      <c r="Q80" s="732"/>
      <c r="R80" s="732"/>
      <c r="S80" s="733"/>
    </row>
    <row r="81" spans="1:19" ht="20.100000000000001" customHeight="1">
      <c r="A81" s="723" t="s">
        <v>60</v>
      </c>
      <c r="B81" s="724"/>
      <c r="C81" s="188"/>
      <c r="D81" s="189"/>
      <c r="E81" s="189"/>
      <c r="F81" s="189" t="s">
        <v>61</v>
      </c>
      <c r="G81" s="189"/>
      <c r="H81" s="189"/>
      <c r="I81" s="189"/>
      <c r="J81" s="189"/>
      <c r="K81" s="189"/>
      <c r="L81" s="189"/>
      <c r="M81" s="189" t="s">
        <v>62</v>
      </c>
      <c r="N81" s="189"/>
      <c r="O81" s="189"/>
      <c r="P81" s="189"/>
      <c r="Q81" s="189"/>
      <c r="R81" s="189"/>
      <c r="S81" s="190"/>
    </row>
    <row r="82" spans="1:19" ht="20.100000000000001" customHeight="1">
      <c r="A82" s="723" t="s">
        <v>63</v>
      </c>
      <c r="B82" s="724"/>
      <c r="C82" s="188"/>
      <c r="D82" s="189"/>
      <c r="E82" s="189"/>
      <c r="F82" s="189" t="s">
        <v>61</v>
      </c>
      <c r="G82" s="189"/>
      <c r="H82" s="189"/>
      <c r="I82" s="189"/>
      <c r="J82" s="189"/>
      <c r="K82" s="189"/>
      <c r="L82" s="189"/>
      <c r="M82" s="189" t="s">
        <v>62</v>
      </c>
      <c r="N82" s="189"/>
      <c r="O82" s="189"/>
      <c r="P82" s="189"/>
      <c r="Q82" s="189"/>
      <c r="R82" s="189"/>
      <c r="S82" s="190"/>
    </row>
    <row r="83" spans="1:19" ht="20.100000000000001" customHeight="1">
      <c r="A83" s="723" t="s">
        <v>64</v>
      </c>
      <c r="B83" s="724"/>
      <c r="C83" s="188"/>
      <c r="D83" s="189"/>
      <c r="E83" s="189"/>
      <c r="F83" s="189" t="s">
        <v>61</v>
      </c>
      <c r="G83" s="189"/>
      <c r="H83" s="189"/>
      <c r="I83" s="189"/>
      <c r="J83" s="189"/>
      <c r="K83" s="189"/>
      <c r="L83" s="189"/>
      <c r="M83" s="189" t="s">
        <v>62</v>
      </c>
      <c r="N83" s="189"/>
      <c r="O83" s="189"/>
      <c r="P83" s="189"/>
      <c r="Q83" s="189"/>
      <c r="R83" s="189"/>
      <c r="S83" s="190"/>
    </row>
    <row r="84" spans="1:19" ht="20.100000000000001" customHeight="1">
      <c r="A84" s="723" t="s">
        <v>65</v>
      </c>
      <c r="B84" s="724"/>
      <c r="C84" s="188"/>
      <c r="D84" s="189"/>
      <c r="E84" s="189"/>
      <c r="F84" s="189" t="s">
        <v>61</v>
      </c>
      <c r="G84" s="189"/>
      <c r="H84" s="189"/>
      <c r="I84" s="189"/>
      <c r="J84" s="189"/>
      <c r="K84" s="189"/>
      <c r="L84" s="189"/>
      <c r="M84" s="189" t="s">
        <v>62</v>
      </c>
      <c r="N84" s="189"/>
      <c r="O84" s="189"/>
      <c r="P84" s="189"/>
      <c r="Q84" s="189"/>
      <c r="R84" s="189"/>
      <c r="S84" s="190"/>
    </row>
    <row r="85" spans="1:19" ht="20.100000000000001" customHeight="1">
      <c r="A85" s="723" t="s">
        <v>66</v>
      </c>
      <c r="B85" s="724"/>
      <c r="C85" s="189"/>
      <c r="D85" s="189"/>
      <c r="E85" s="189"/>
      <c r="F85" s="189" t="s">
        <v>61</v>
      </c>
      <c r="G85" s="189"/>
      <c r="H85" s="189"/>
      <c r="I85" s="189"/>
      <c r="J85" s="189"/>
      <c r="K85" s="189"/>
      <c r="L85" s="189"/>
      <c r="M85" s="189" t="s">
        <v>62</v>
      </c>
      <c r="N85" s="189"/>
      <c r="O85" s="189"/>
      <c r="P85" s="189"/>
      <c r="Q85" s="189"/>
      <c r="R85" s="189"/>
      <c r="S85" s="190"/>
    </row>
    <row r="86" spans="1:19" ht="19.5" customHeight="1" thickBot="1">
      <c r="A86" s="725" t="s">
        <v>67</v>
      </c>
      <c r="B86" s="726"/>
      <c r="C86" s="45"/>
      <c r="D86" s="45"/>
      <c r="E86" s="45"/>
      <c r="F86" s="45" t="s">
        <v>61</v>
      </c>
      <c r="G86" s="45"/>
      <c r="H86" s="45"/>
      <c r="I86" s="45"/>
      <c r="J86" s="45"/>
      <c r="K86" s="45"/>
      <c r="L86" s="45"/>
      <c r="M86" s="45" t="s">
        <v>62</v>
      </c>
      <c r="N86" s="45"/>
      <c r="O86" s="45"/>
      <c r="P86" s="45"/>
      <c r="Q86" s="45"/>
      <c r="R86" s="45"/>
      <c r="S86" s="46"/>
    </row>
    <row r="87" spans="1:19" ht="15" thickTop="1">
      <c r="A87" s="727" t="s">
        <v>68</v>
      </c>
      <c r="B87" s="728"/>
      <c r="C87" s="728"/>
      <c r="D87" s="728"/>
      <c r="E87" s="728"/>
      <c r="F87" s="728"/>
      <c r="G87" s="728"/>
      <c r="H87" s="728"/>
      <c r="I87" s="728"/>
      <c r="J87" s="728"/>
      <c r="K87" s="728"/>
      <c r="L87" s="728"/>
      <c r="M87" s="728"/>
      <c r="N87" s="728"/>
      <c r="O87" s="728"/>
      <c r="P87" s="728"/>
      <c r="Q87" s="728"/>
      <c r="R87" s="728"/>
      <c r="S87" s="729"/>
    </row>
    <row r="88" spans="1:19" ht="8.25" customHeight="1">
      <c r="A88" s="707"/>
      <c r="B88" s="708"/>
      <c r="C88" s="708"/>
      <c r="D88" s="708"/>
      <c r="E88" s="708"/>
      <c r="F88" s="708"/>
      <c r="G88" s="708"/>
      <c r="H88" s="708"/>
      <c r="I88" s="708"/>
      <c r="J88" s="708"/>
      <c r="K88" s="708"/>
      <c r="L88" s="708"/>
      <c r="M88" s="708"/>
      <c r="N88" s="708"/>
      <c r="O88" s="708"/>
      <c r="P88" s="708"/>
      <c r="Q88" s="708"/>
      <c r="R88" s="708"/>
      <c r="S88" s="709"/>
    </row>
    <row r="89" spans="1:19" ht="8.25" customHeight="1">
      <c r="A89" s="707"/>
      <c r="B89" s="708"/>
      <c r="C89" s="708"/>
      <c r="D89" s="708"/>
      <c r="E89" s="708"/>
      <c r="F89" s="708"/>
      <c r="G89" s="708"/>
      <c r="H89" s="708"/>
      <c r="I89" s="708"/>
      <c r="J89" s="708"/>
      <c r="K89" s="708"/>
      <c r="L89" s="708"/>
      <c r="M89" s="708"/>
      <c r="N89" s="708"/>
      <c r="O89" s="708"/>
      <c r="P89" s="708"/>
      <c r="Q89" s="708"/>
      <c r="R89" s="708"/>
      <c r="S89" s="709"/>
    </row>
    <row r="90" spans="1:19" ht="8.25" customHeight="1">
      <c r="A90" s="707"/>
      <c r="B90" s="708"/>
      <c r="C90" s="708"/>
      <c r="D90" s="708"/>
      <c r="E90" s="708"/>
      <c r="F90" s="708"/>
      <c r="G90" s="708"/>
      <c r="H90" s="708"/>
      <c r="I90" s="708"/>
      <c r="J90" s="708"/>
      <c r="K90" s="708"/>
      <c r="L90" s="708"/>
      <c r="M90" s="708"/>
      <c r="N90" s="708"/>
      <c r="O90" s="708"/>
      <c r="P90" s="708"/>
      <c r="Q90" s="708"/>
      <c r="R90" s="708"/>
      <c r="S90" s="709"/>
    </row>
    <row r="91" spans="1:19" ht="8.25" customHeight="1">
      <c r="A91" s="707"/>
      <c r="B91" s="708"/>
      <c r="C91" s="708"/>
      <c r="D91" s="708"/>
      <c r="E91" s="708"/>
      <c r="F91" s="708"/>
      <c r="G91" s="708"/>
      <c r="H91" s="708"/>
      <c r="I91" s="708"/>
      <c r="J91" s="708"/>
      <c r="K91" s="708"/>
      <c r="L91" s="708"/>
      <c r="M91" s="708"/>
      <c r="N91" s="708"/>
      <c r="O91" s="708"/>
      <c r="P91" s="708"/>
      <c r="Q91" s="708"/>
      <c r="R91" s="708"/>
      <c r="S91" s="709"/>
    </row>
    <row r="92" spans="1:19" ht="8.25" customHeight="1">
      <c r="A92" s="707"/>
      <c r="B92" s="708"/>
      <c r="C92" s="708"/>
      <c r="D92" s="708"/>
      <c r="E92" s="708"/>
      <c r="F92" s="708"/>
      <c r="G92" s="708"/>
      <c r="H92" s="708"/>
      <c r="I92" s="708"/>
      <c r="J92" s="708"/>
      <c r="K92" s="708"/>
      <c r="L92" s="708"/>
      <c r="M92" s="708"/>
      <c r="N92" s="708"/>
      <c r="O92" s="708"/>
      <c r="P92" s="708"/>
      <c r="Q92" s="708"/>
      <c r="R92" s="708"/>
      <c r="S92" s="709"/>
    </row>
    <row r="93" spans="1:19" ht="8.25" customHeight="1">
      <c r="A93" s="707"/>
      <c r="B93" s="708"/>
      <c r="C93" s="708"/>
      <c r="D93" s="708"/>
      <c r="E93" s="708"/>
      <c r="F93" s="708"/>
      <c r="G93" s="708"/>
      <c r="H93" s="708"/>
      <c r="I93" s="708"/>
      <c r="J93" s="708"/>
      <c r="K93" s="708"/>
      <c r="L93" s="708"/>
      <c r="M93" s="708"/>
      <c r="N93" s="708"/>
      <c r="O93" s="708"/>
      <c r="P93" s="708"/>
      <c r="Q93" s="708"/>
      <c r="R93" s="708"/>
      <c r="S93" s="709"/>
    </row>
    <row r="94" spans="1:19" ht="8.25" customHeight="1" thickBot="1">
      <c r="A94" s="710"/>
      <c r="B94" s="711"/>
      <c r="C94" s="711"/>
      <c r="D94" s="711"/>
      <c r="E94" s="711"/>
      <c r="F94" s="711"/>
      <c r="G94" s="711"/>
      <c r="H94" s="711"/>
      <c r="I94" s="711"/>
      <c r="J94" s="711"/>
      <c r="K94" s="711"/>
      <c r="L94" s="711"/>
      <c r="M94" s="711"/>
      <c r="N94" s="711"/>
      <c r="O94" s="711"/>
      <c r="P94" s="711"/>
      <c r="Q94" s="711"/>
      <c r="R94" s="711"/>
      <c r="S94" s="712"/>
    </row>
    <row r="95" spans="1:19" ht="20.100000000000001" customHeight="1" thickTop="1">
      <c r="A95" s="713" t="s">
        <v>69</v>
      </c>
      <c r="B95" s="714"/>
      <c r="C95" s="714"/>
      <c r="D95" s="714"/>
      <c r="E95" s="714"/>
      <c r="F95" s="714"/>
      <c r="G95" s="714"/>
      <c r="H95" s="714"/>
      <c r="I95" s="714"/>
      <c r="J95" s="714"/>
      <c r="K95" s="714"/>
      <c r="L95" s="714"/>
      <c r="M95" s="714"/>
      <c r="N95" s="714"/>
      <c r="O95" s="714"/>
      <c r="P95" s="714"/>
      <c r="Q95" s="714"/>
      <c r="R95" s="714"/>
      <c r="S95" s="715"/>
    </row>
    <row r="96" spans="1:19" ht="12" customHeight="1">
      <c r="A96" s="707"/>
      <c r="B96" s="708"/>
      <c r="C96" s="708"/>
      <c r="D96" s="708"/>
      <c r="E96" s="708"/>
      <c r="F96" s="708"/>
      <c r="G96" s="708"/>
      <c r="H96" s="708"/>
      <c r="I96" s="708"/>
      <c r="J96" s="708"/>
      <c r="K96" s="708"/>
      <c r="L96" s="708"/>
      <c r="M96" s="708"/>
      <c r="N96" s="708"/>
      <c r="O96" s="708"/>
      <c r="P96" s="708"/>
      <c r="Q96" s="708"/>
      <c r="R96" s="708"/>
      <c r="S96" s="709"/>
    </row>
    <row r="97" spans="1:19" ht="20.25" customHeight="1">
      <c r="A97" s="707"/>
      <c r="B97" s="708"/>
      <c r="C97" s="708"/>
      <c r="D97" s="708"/>
      <c r="E97" s="708"/>
      <c r="F97" s="708"/>
      <c r="G97" s="708"/>
      <c r="H97" s="708"/>
      <c r="I97" s="708"/>
      <c r="J97" s="708"/>
      <c r="K97" s="708"/>
      <c r="L97" s="708"/>
      <c r="M97" s="708"/>
      <c r="N97" s="708"/>
      <c r="O97" s="708"/>
      <c r="P97" s="708"/>
      <c r="Q97" s="708"/>
      <c r="R97" s="708"/>
      <c r="S97" s="709"/>
    </row>
    <row r="98" spans="1:19" ht="18.75" customHeight="1">
      <c r="A98" s="707"/>
      <c r="B98" s="708"/>
      <c r="C98" s="708"/>
      <c r="D98" s="708"/>
      <c r="E98" s="708"/>
      <c r="F98" s="708"/>
      <c r="G98" s="708"/>
      <c r="H98" s="708"/>
      <c r="I98" s="708"/>
      <c r="J98" s="708"/>
      <c r="K98" s="708"/>
      <c r="L98" s="708"/>
      <c r="M98" s="708"/>
      <c r="N98" s="708"/>
      <c r="O98" s="708"/>
      <c r="P98" s="708"/>
      <c r="Q98" s="708"/>
      <c r="R98" s="708"/>
      <c r="S98" s="709"/>
    </row>
    <row r="99" spans="1:19" ht="12" customHeight="1">
      <c r="A99" s="707"/>
      <c r="B99" s="708"/>
      <c r="C99" s="708"/>
      <c r="D99" s="708"/>
      <c r="E99" s="708"/>
      <c r="F99" s="708"/>
      <c r="G99" s="708"/>
      <c r="H99" s="708"/>
      <c r="I99" s="708"/>
      <c r="J99" s="708"/>
      <c r="K99" s="708"/>
      <c r="L99" s="708"/>
      <c r="M99" s="708"/>
      <c r="N99" s="708"/>
      <c r="O99" s="708"/>
      <c r="P99" s="708"/>
      <c r="Q99" s="708"/>
      <c r="R99" s="708"/>
      <c r="S99" s="709"/>
    </row>
    <row r="100" spans="1:19" ht="12" customHeight="1" thickBot="1">
      <c r="A100" s="716"/>
      <c r="B100" s="717"/>
      <c r="C100" s="717"/>
      <c r="D100" s="717"/>
      <c r="E100" s="717"/>
      <c r="F100" s="717"/>
      <c r="G100" s="717"/>
      <c r="H100" s="717"/>
      <c r="I100" s="717"/>
      <c r="J100" s="717"/>
      <c r="K100" s="717"/>
      <c r="L100" s="717"/>
      <c r="M100" s="717"/>
      <c r="N100" s="717"/>
      <c r="O100" s="717"/>
      <c r="P100" s="717"/>
      <c r="Q100" s="717"/>
      <c r="R100" s="717"/>
      <c r="S100" s="718"/>
    </row>
    <row r="101" spans="1:19" ht="19.5" customHeight="1">
      <c r="A101" s="719" t="s">
        <v>98</v>
      </c>
      <c r="B101" s="720"/>
      <c r="C101" s="720"/>
      <c r="D101" s="720"/>
      <c r="E101" s="720"/>
      <c r="F101" s="720"/>
      <c r="G101" s="720"/>
      <c r="H101" s="720"/>
      <c r="I101" s="720"/>
      <c r="J101" s="720"/>
      <c r="K101" s="720"/>
      <c r="L101" s="720"/>
      <c r="M101" s="720"/>
      <c r="N101" s="720"/>
      <c r="O101" s="720"/>
      <c r="P101" s="720"/>
      <c r="Q101" s="720"/>
      <c r="R101" s="720"/>
      <c r="S101" s="721"/>
    </row>
    <row r="102" spans="1:19" ht="19.5" customHeight="1" thickBot="1">
      <c r="A102" s="722">
        <f ca="1">TODAY()</f>
        <v>43839</v>
      </c>
      <c r="B102" s="717"/>
      <c r="C102" s="717"/>
      <c r="D102" s="717"/>
      <c r="E102" s="717"/>
      <c r="F102" s="717"/>
      <c r="G102" s="717"/>
      <c r="H102" s="717"/>
      <c r="I102" s="717"/>
      <c r="J102" s="717"/>
      <c r="K102" s="717"/>
      <c r="L102" s="717"/>
      <c r="M102" s="717"/>
      <c r="N102" s="717"/>
      <c r="O102" s="717"/>
      <c r="P102" s="717"/>
      <c r="Q102" s="717"/>
      <c r="R102" s="717"/>
      <c r="S102" s="718"/>
    </row>
    <row r="103" spans="1:19">
      <c r="H103" s="72" t="str">
        <f>"2/"&amp;IF(COUNTIF(辅助!K:K,"&gt;0")&lt;9,1,IF(COUNTIF(辅助!K:K,"&gt;0")&lt;17,2,IF(COUNTIF(辅助!K:K,"&gt;0")&lt;25,3,IF(COUNTIF(辅助!K:K,"&gt;0")&lt;33,4))))</f>
        <v>2/2</v>
      </c>
    </row>
    <row r="104" spans="1:19" ht="12.75" customHeight="1"/>
    <row r="105" spans="1:19" ht="24">
      <c r="A105" s="747" t="s">
        <v>46</v>
      </c>
      <c r="B105" s="747"/>
      <c r="C105" s="747"/>
      <c r="D105" s="747"/>
      <c r="E105" s="747"/>
      <c r="F105" s="747"/>
      <c r="G105" s="747"/>
      <c r="H105" s="747"/>
      <c r="I105" s="747"/>
      <c r="J105" s="747"/>
      <c r="K105" s="747"/>
      <c r="L105" s="747"/>
      <c r="M105" s="747"/>
      <c r="N105" s="747"/>
      <c r="O105" s="747"/>
      <c r="P105" s="747"/>
      <c r="Q105" s="747"/>
      <c r="R105" s="747"/>
      <c r="S105" s="747"/>
    </row>
    <row r="106" spans="1:19" ht="9.75" customHeight="1" thickBot="1"/>
    <row r="107" spans="1:19" ht="20.100000000000001" customHeight="1">
      <c r="A107" s="744" t="s">
        <v>47</v>
      </c>
      <c r="B107" s="745"/>
      <c r="C107" s="745" t="s">
        <v>74</v>
      </c>
      <c r="D107" s="745"/>
      <c r="E107" s="745"/>
      <c r="F107" s="745"/>
      <c r="G107" s="745"/>
      <c r="H107" s="745"/>
      <c r="I107" s="745"/>
      <c r="J107" s="745"/>
      <c r="K107" s="745"/>
      <c r="L107" s="745"/>
      <c r="M107" s="745"/>
      <c r="N107" s="745"/>
      <c r="O107" s="745"/>
      <c r="P107" s="745"/>
      <c r="Q107" s="745"/>
      <c r="R107" s="745"/>
      <c r="S107" s="746"/>
    </row>
    <row r="108" spans="1:19" ht="20.100000000000001" customHeight="1">
      <c r="A108" s="723" t="s">
        <v>48</v>
      </c>
      <c r="B108" s="724"/>
      <c r="C108" s="724" t="s">
        <v>461</v>
      </c>
      <c r="D108" s="724"/>
      <c r="E108" s="724"/>
      <c r="F108" s="724"/>
      <c r="G108" s="724"/>
      <c r="H108" s="724"/>
      <c r="I108" s="724"/>
      <c r="J108" s="724"/>
      <c r="K108" s="724"/>
      <c r="L108" s="724"/>
      <c r="M108" s="724"/>
      <c r="N108" s="724"/>
      <c r="O108" s="724"/>
      <c r="P108" s="724"/>
      <c r="Q108" s="724"/>
      <c r="R108" s="724"/>
      <c r="S108" s="738"/>
    </row>
    <row r="109" spans="1:19" ht="20.100000000000001" customHeight="1">
      <c r="A109" s="723" t="s">
        <v>49</v>
      </c>
      <c r="B109" s="724"/>
      <c r="C109" s="724">
        <v>201209</v>
      </c>
      <c r="D109" s="724"/>
      <c r="E109" s="724"/>
      <c r="F109" s="724"/>
      <c r="G109" s="724"/>
      <c r="H109" s="724"/>
      <c r="I109" s="724"/>
      <c r="J109" s="734" t="s">
        <v>50</v>
      </c>
      <c r="K109" s="735"/>
      <c r="L109" s="742"/>
      <c r="M109" s="724"/>
      <c r="N109" s="724"/>
      <c r="O109" s="724"/>
      <c r="P109" s="724"/>
      <c r="Q109" s="724"/>
      <c r="R109" s="724"/>
      <c r="S109" s="738"/>
    </row>
    <row r="110" spans="1:19" ht="20.100000000000001" customHeight="1">
      <c r="A110" s="723" t="s">
        <v>51</v>
      </c>
      <c r="B110" s="724"/>
      <c r="C110" s="724" t="s">
        <v>117</v>
      </c>
      <c r="D110" s="724"/>
      <c r="E110" s="724"/>
      <c r="F110" s="724"/>
      <c r="G110" s="724"/>
      <c r="H110" s="724"/>
      <c r="I110" s="724"/>
      <c r="J110" s="734" t="s">
        <v>52</v>
      </c>
      <c r="K110" s="735"/>
      <c r="L110" s="742"/>
      <c r="M110" s="724"/>
      <c r="N110" s="724"/>
      <c r="O110" s="724"/>
      <c r="P110" s="724"/>
      <c r="Q110" s="724"/>
      <c r="R110" s="724"/>
      <c r="S110" s="738"/>
    </row>
    <row r="111" spans="1:19" ht="13.5" customHeight="1">
      <c r="A111" s="739" t="s">
        <v>99</v>
      </c>
      <c r="B111" s="743"/>
      <c r="C111" s="734" t="str">
        <f>辅助!R18</f>
        <v/>
      </c>
      <c r="D111" s="735"/>
      <c r="E111" s="735"/>
      <c r="F111" s="735"/>
      <c r="G111" s="735"/>
      <c r="H111" s="735"/>
      <c r="I111" s="735"/>
      <c r="J111" s="735"/>
      <c r="K111" s="735"/>
      <c r="L111" s="735"/>
      <c r="M111" s="735"/>
      <c r="N111" s="735"/>
      <c r="O111" s="735"/>
      <c r="P111" s="735"/>
      <c r="Q111" s="735"/>
      <c r="R111" s="735"/>
      <c r="S111" s="736"/>
    </row>
    <row r="112" spans="1:19" ht="13.5" customHeight="1">
      <c r="A112" s="707"/>
      <c r="B112" s="708"/>
      <c r="C112" s="734" t="str">
        <f>辅助!R19</f>
        <v/>
      </c>
      <c r="D112" s="735"/>
      <c r="E112" s="735"/>
      <c r="F112" s="735"/>
      <c r="G112" s="735"/>
      <c r="H112" s="735"/>
      <c r="I112" s="735"/>
      <c r="J112" s="735"/>
      <c r="K112" s="735"/>
      <c r="L112" s="735"/>
      <c r="M112" s="735"/>
      <c r="N112" s="735"/>
      <c r="O112" s="735"/>
      <c r="P112" s="735"/>
      <c r="Q112" s="735"/>
      <c r="R112" s="735"/>
      <c r="S112" s="736"/>
    </row>
    <row r="113" spans="1:19" ht="13.5" customHeight="1">
      <c r="A113" s="707"/>
      <c r="B113" s="708"/>
      <c r="C113" s="734" t="str">
        <f>辅助!R20</f>
        <v/>
      </c>
      <c r="D113" s="735"/>
      <c r="E113" s="735"/>
      <c r="F113" s="735"/>
      <c r="G113" s="735"/>
      <c r="H113" s="735"/>
      <c r="I113" s="735"/>
      <c r="J113" s="735"/>
      <c r="K113" s="735"/>
      <c r="L113" s="735"/>
      <c r="M113" s="735"/>
      <c r="N113" s="735"/>
      <c r="O113" s="735"/>
      <c r="P113" s="735"/>
      <c r="Q113" s="735"/>
      <c r="R113" s="735"/>
      <c r="S113" s="736"/>
    </row>
    <row r="114" spans="1:19" ht="13.5" customHeight="1">
      <c r="A114" s="707"/>
      <c r="B114" s="708"/>
      <c r="C114" s="734" t="str">
        <f>辅助!R21</f>
        <v/>
      </c>
      <c r="D114" s="735"/>
      <c r="E114" s="735"/>
      <c r="F114" s="735"/>
      <c r="G114" s="735"/>
      <c r="H114" s="735"/>
      <c r="I114" s="735"/>
      <c r="J114" s="735"/>
      <c r="K114" s="735"/>
      <c r="L114" s="735"/>
      <c r="M114" s="735"/>
      <c r="N114" s="735"/>
      <c r="O114" s="735"/>
      <c r="P114" s="735"/>
      <c r="Q114" s="735"/>
      <c r="R114" s="735"/>
      <c r="S114" s="736"/>
    </row>
    <row r="115" spans="1:19" ht="13.5" customHeight="1">
      <c r="A115" s="707"/>
      <c r="B115" s="708"/>
      <c r="C115" s="734" t="str">
        <f>辅助!R22</f>
        <v/>
      </c>
      <c r="D115" s="735"/>
      <c r="E115" s="735"/>
      <c r="F115" s="735"/>
      <c r="G115" s="735"/>
      <c r="H115" s="735"/>
      <c r="I115" s="735"/>
      <c r="J115" s="735"/>
      <c r="K115" s="735"/>
      <c r="L115" s="735"/>
      <c r="M115" s="735"/>
      <c r="N115" s="735"/>
      <c r="O115" s="735"/>
      <c r="P115" s="735"/>
      <c r="Q115" s="735"/>
      <c r="R115" s="735"/>
      <c r="S115" s="736"/>
    </row>
    <row r="116" spans="1:19" ht="13.5" customHeight="1">
      <c r="A116" s="707"/>
      <c r="B116" s="708"/>
      <c r="C116" s="734" t="str">
        <f>辅助!R23</f>
        <v/>
      </c>
      <c r="D116" s="735"/>
      <c r="E116" s="735"/>
      <c r="F116" s="735"/>
      <c r="G116" s="735"/>
      <c r="H116" s="735"/>
      <c r="I116" s="735"/>
      <c r="J116" s="735"/>
      <c r="K116" s="735"/>
      <c r="L116" s="735"/>
      <c r="M116" s="735"/>
      <c r="N116" s="735"/>
      <c r="O116" s="735"/>
      <c r="P116" s="735"/>
      <c r="Q116" s="735"/>
      <c r="R116" s="735"/>
      <c r="S116" s="736"/>
    </row>
    <row r="117" spans="1:19" ht="13.5" customHeight="1">
      <c r="A117" s="707"/>
      <c r="B117" s="708"/>
      <c r="C117" s="734" t="str">
        <f>辅助!R24</f>
        <v/>
      </c>
      <c r="D117" s="735"/>
      <c r="E117" s="735"/>
      <c r="F117" s="735"/>
      <c r="G117" s="735"/>
      <c r="H117" s="735"/>
      <c r="I117" s="735"/>
      <c r="J117" s="735"/>
      <c r="K117" s="735"/>
      <c r="L117" s="735"/>
      <c r="M117" s="735"/>
      <c r="N117" s="735"/>
      <c r="O117" s="735"/>
      <c r="P117" s="735"/>
      <c r="Q117" s="735"/>
      <c r="R117" s="735"/>
      <c r="S117" s="736"/>
    </row>
    <row r="118" spans="1:19" ht="13.5" customHeight="1">
      <c r="A118" s="707"/>
      <c r="B118" s="708"/>
      <c r="C118" s="734" t="str">
        <f>辅助!R25</f>
        <v/>
      </c>
      <c r="D118" s="735"/>
      <c r="E118" s="735"/>
      <c r="F118" s="735"/>
      <c r="G118" s="735"/>
      <c r="H118" s="735"/>
      <c r="I118" s="735"/>
      <c r="J118" s="735"/>
      <c r="K118" s="735"/>
      <c r="L118" s="735"/>
      <c r="M118" s="735"/>
      <c r="N118" s="735"/>
      <c r="O118" s="735"/>
      <c r="P118" s="735"/>
      <c r="Q118" s="735"/>
      <c r="R118" s="735"/>
      <c r="S118" s="736"/>
    </row>
    <row r="119" spans="1:19" ht="13.5" customHeight="1">
      <c r="A119" s="739" t="s">
        <v>53</v>
      </c>
      <c r="B119" s="740"/>
      <c r="C119" s="748" t="str">
        <f>辅助!L18</f>
        <v/>
      </c>
      <c r="D119" s="748"/>
      <c r="E119" s="748"/>
      <c r="F119" s="748"/>
      <c r="G119" s="748"/>
      <c r="H119" s="748"/>
      <c r="I119" s="748"/>
      <c r="J119" s="748"/>
      <c r="K119" s="748"/>
      <c r="L119" s="748"/>
      <c r="M119" s="748"/>
      <c r="N119" s="748"/>
      <c r="O119" s="748"/>
      <c r="P119" s="748"/>
      <c r="Q119" s="748"/>
      <c r="R119" s="748"/>
      <c r="S119" s="749"/>
    </row>
    <row r="120" spans="1:19" ht="13.5" customHeight="1">
      <c r="A120" s="707"/>
      <c r="B120" s="741"/>
      <c r="C120" s="748" t="str">
        <f>辅助!L19</f>
        <v/>
      </c>
      <c r="D120" s="748"/>
      <c r="E120" s="748"/>
      <c r="F120" s="748"/>
      <c r="G120" s="748"/>
      <c r="H120" s="748"/>
      <c r="I120" s="748"/>
      <c r="J120" s="748"/>
      <c r="K120" s="748"/>
      <c r="L120" s="748"/>
      <c r="M120" s="748"/>
      <c r="N120" s="748"/>
      <c r="O120" s="748"/>
      <c r="P120" s="748"/>
      <c r="Q120" s="748"/>
      <c r="R120" s="748"/>
      <c r="S120" s="749"/>
    </row>
    <row r="121" spans="1:19" ht="13.5" customHeight="1">
      <c r="A121" s="707"/>
      <c r="B121" s="741"/>
      <c r="C121" s="748" t="str">
        <f>辅助!L20</f>
        <v/>
      </c>
      <c r="D121" s="748"/>
      <c r="E121" s="748"/>
      <c r="F121" s="748"/>
      <c r="G121" s="748"/>
      <c r="H121" s="748"/>
      <c r="I121" s="748"/>
      <c r="J121" s="748"/>
      <c r="K121" s="748"/>
      <c r="L121" s="748"/>
      <c r="M121" s="748"/>
      <c r="N121" s="748"/>
      <c r="O121" s="748"/>
      <c r="P121" s="748"/>
      <c r="Q121" s="748"/>
      <c r="R121" s="748"/>
      <c r="S121" s="749"/>
    </row>
    <row r="122" spans="1:19" ht="13.5" customHeight="1">
      <c r="A122" s="707"/>
      <c r="B122" s="741"/>
      <c r="C122" s="748" t="str">
        <f>辅助!L21</f>
        <v/>
      </c>
      <c r="D122" s="748"/>
      <c r="E122" s="748"/>
      <c r="F122" s="748"/>
      <c r="G122" s="748"/>
      <c r="H122" s="748"/>
      <c r="I122" s="748"/>
      <c r="J122" s="748"/>
      <c r="K122" s="748"/>
      <c r="L122" s="748"/>
      <c r="M122" s="748"/>
      <c r="N122" s="748"/>
      <c r="O122" s="748"/>
      <c r="P122" s="748"/>
      <c r="Q122" s="748"/>
      <c r="R122" s="748"/>
      <c r="S122" s="749"/>
    </row>
    <row r="123" spans="1:19" ht="13.5" customHeight="1">
      <c r="A123" s="707"/>
      <c r="B123" s="741"/>
      <c r="C123" s="748" t="str">
        <f>辅助!L22</f>
        <v/>
      </c>
      <c r="D123" s="748"/>
      <c r="E123" s="748"/>
      <c r="F123" s="748"/>
      <c r="G123" s="748"/>
      <c r="H123" s="748"/>
      <c r="I123" s="748"/>
      <c r="J123" s="748"/>
      <c r="K123" s="748"/>
      <c r="L123" s="748"/>
      <c r="M123" s="748"/>
      <c r="N123" s="748"/>
      <c r="O123" s="748"/>
      <c r="P123" s="748"/>
      <c r="Q123" s="748"/>
      <c r="R123" s="748"/>
      <c r="S123" s="749"/>
    </row>
    <row r="124" spans="1:19" ht="13.5" customHeight="1">
      <c r="A124" s="707"/>
      <c r="B124" s="741"/>
      <c r="C124" s="748" t="str">
        <f>辅助!L23</f>
        <v/>
      </c>
      <c r="D124" s="748"/>
      <c r="E124" s="748"/>
      <c r="F124" s="748"/>
      <c r="G124" s="748"/>
      <c r="H124" s="748"/>
      <c r="I124" s="748"/>
      <c r="J124" s="748"/>
      <c r="K124" s="748"/>
      <c r="L124" s="748"/>
      <c r="M124" s="748"/>
      <c r="N124" s="748"/>
      <c r="O124" s="748"/>
      <c r="P124" s="748"/>
      <c r="Q124" s="748"/>
      <c r="R124" s="748"/>
      <c r="S124" s="749"/>
    </row>
    <row r="125" spans="1:19" ht="13.5" customHeight="1">
      <c r="A125" s="707"/>
      <c r="B125" s="741"/>
      <c r="C125" s="748" t="str">
        <f>辅助!L24</f>
        <v/>
      </c>
      <c r="D125" s="748"/>
      <c r="E125" s="748"/>
      <c r="F125" s="748"/>
      <c r="G125" s="748"/>
      <c r="H125" s="748"/>
      <c r="I125" s="748"/>
      <c r="J125" s="748"/>
      <c r="K125" s="748"/>
      <c r="L125" s="748"/>
      <c r="M125" s="748"/>
      <c r="N125" s="748"/>
      <c r="O125" s="748"/>
      <c r="P125" s="748"/>
      <c r="Q125" s="748"/>
      <c r="R125" s="748"/>
      <c r="S125" s="749"/>
    </row>
    <row r="126" spans="1:19" ht="13.5" customHeight="1">
      <c r="A126" s="707"/>
      <c r="B126" s="741"/>
      <c r="C126" s="748" t="str">
        <f>辅助!L25</f>
        <v/>
      </c>
      <c r="D126" s="748"/>
      <c r="E126" s="748"/>
      <c r="F126" s="748"/>
      <c r="G126" s="748"/>
      <c r="H126" s="748"/>
      <c r="I126" s="748"/>
      <c r="J126" s="748"/>
      <c r="K126" s="748"/>
      <c r="L126" s="748"/>
      <c r="M126" s="748"/>
      <c r="N126" s="748"/>
      <c r="O126" s="748"/>
      <c r="P126" s="748"/>
      <c r="Q126" s="748"/>
      <c r="R126" s="748"/>
      <c r="S126" s="749"/>
    </row>
    <row r="127" spans="1:19" ht="17.25" customHeight="1">
      <c r="A127" s="723" t="s">
        <v>54</v>
      </c>
      <c r="B127" s="724"/>
      <c r="C127" s="737">
        <v>0.99</v>
      </c>
      <c r="D127" s="724"/>
      <c r="E127" s="724"/>
      <c r="F127" s="724"/>
      <c r="G127" s="724"/>
      <c r="H127" s="724"/>
      <c r="I127" s="724"/>
      <c r="J127" s="724"/>
      <c r="K127" s="724"/>
      <c r="L127" s="724"/>
      <c r="M127" s="724"/>
      <c r="N127" s="724"/>
      <c r="O127" s="724"/>
      <c r="P127" s="724"/>
      <c r="Q127" s="724"/>
      <c r="R127" s="724"/>
      <c r="S127" s="738"/>
    </row>
    <row r="128" spans="1:19" ht="17.25" customHeight="1">
      <c r="A128" s="723" t="s">
        <v>55</v>
      </c>
      <c r="B128" s="724"/>
      <c r="C128" s="724"/>
      <c r="D128" s="724"/>
      <c r="E128" s="724"/>
      <c r="F128" s="724"/>
      <c r="G128" s="724"/>
      <c r="H128" s="724"/>
      <c r="I128" s="724"/>
      <c r="J128" s="724"/>
      <c r="K128" s="724"/>
      <c r="L128" s="724"/>
      <c r="M128" s="724"/>
      <c r="N128" s="724"/>
      <c r="O128" s="724"/>
      <c r="P128" s="724"/>
      <c r="Q128" s="724"/>
      <c r="R128" s="724"/>
      <c r="S128" s="738"/>
    </row>
    <row r="129" spans="1:19" ht="17.25" customHeight="1">
      <c r="A129" s="723" t="s">
        <v>56</v>
      </c>
      <c r="B129" s="724"/>
      <c r="C129" s="724"/>
      <c r="D129" s="724"/>
      <c r="E129" s="724"/>
      <c r="F129" s="724"/>
      <c r="G129" s="724"/>
      <c r="H129" s="724"/>
      <c r="I129" s="724"/>
      <c r="J129" s="724"/>
      <c r="K129" s="724"/>
      <c r="L129" s="724"/>
      <c r="M129" s="724"/>
      <c r="N129" s="724"/>
      <c r="O129" s="724"/>
      <c r="P129" s="724"/>
      <c r="Q129" s="724"/>
      <c r="R129" s="724"/>
      <c r="S129" s="738"/>
    </row>
    <row r="130" spans="1:19" ht="17.25" customHeight="1" thickBot="1">
      <c r="A130" s="725" t="s">
        <v>57</v>
      </c>
      <c r="B130" s="726"/>
      <c r="C130" s="726" t="s">
        <v>58</v>
      </c>
      <c r="D130" s="726"/>
      <c r="E130" s="726"/>
      <c r="F130" s="726"/>
      <c r="G130" s="726"/>
      <c r="H130" s="726"/>
      <c r="I130" s="726"/>
      <c r="J130" s="726"/>
      <c r="K130" s="726"/>
      <c r="L130" s="726"/>
      <c r="M130" s="726"/>
      <c r="N130" s="726"/>
      <c r="O130" s="726"/>
      <c r="P130" s="726"/>
      <c r="Q130" s="726"/>
      <c r="R130" s="726"/>
      <c r="S130" s="730"/>
    </row>
    <row r="131" spans="1:19" ht="20.100000000000001" customHeight="1" thickTop="1">
      <c r="A131" s="731" t="s">
        <v>59</v>
      </c>
      <c r="B131" s="732"/>
      <c r="C131" s="732"/>
      <c r="D131" s="732"/>
      <c r="E131" s="732"/>
      <c r="F131" s="732"/>
      <c r="G131" s="732"/>
      <c r="H131" s="732"/>
      <c r="I131" s="732"/>
      <c r="J131" s="732"/>
      <c r="K131" s="732"/>
      <c r="L131" s="732"/>
      <c r="M131" s="732"/>
      <c r="N131" s="732"/>
      <c r="O131" s="732"/>
      <c r="P131" s="732"/>
      <c r="Q131" s="732"/>
      <c r="R131" s="732"/>
      <c r="S131" s="733"/>
    </row>
    <row r="132" spans="1:19" ht="20.100000000000001" customHeight="1">
      <c r="A132" s="723" t="s">
        <v>60</v>
      </c>
      <c r="B132" s="724"/>
      <c r="C132" s="188"/>
      <c r="D132" s="189"/>
      <c r="E132" s="189"/>
      <c r="F132" s="189" t="s">
        <v>61</v>
      </c>
      <c r="G132" s="189"/>
      <c r="H132" s="189"/>
      <c r="I132" s="189"/>
      <c r="J132" s="189"/>
      <c r="K132" s="189"/>
      <c r="L132" s="189"/>
      <c r="M132" s="189" t="s">
        <v>62</v>
      </c>
      <c r="N132" s="189"/>
      <c r="O132" s="189"/>
      <c r="P132" s="189"/>
      <c r="Q132" s="189"/>
      <c r="R132" s="189"/>
      <c r="S132" s="190"/>
    </row>
    <row r="133" spans="1:19" ht="20.100000000000001" customHeight="1">
      <c r="A133" s="723" t="s">
        <v>63</v>
      </c>
      <c r="B133" s="724"/>
      <c r="C133" s="188"/>
      <c r="D133" s="189"/>
      <c r="E133" s="189"/>
      <c r="F133" s="189" t="s">
        <v>61</v>
      </c>
      <c r="G133" s="189"/>
      <c r="H133" s="189"/>
      <c r="I133" s="189"/>
      <c r="J133" s="189"/>
      <c r="K133" s="189"/>
      <c r="L133" s="189"/>
      <c r="M133" s="189" t="s">
        <v>62</v>
      </c>
      <c r="N133" s="189"/>
      <c r="O133" s="189"/>
      <c r="P133" s="189"/>
      <c r="Q133" s="189"/>
      <c r="R133" s="189"/>
      <c r="S133" s="190"/>
    </row>
    <row r="134" spans="1:19" ht="20.100000000000001" customHeight="1">
      <c r="A134" s="723" t="s">
        <v>64</v>
      </c>
      <c r="B134" s="724"/>
      <c r="C134" s="188"/>
      <c r="D134" s="189"/>
      <c r="E134" s="189"/>
      <c r="F134" s="189" t="s">
        <v>61</v>
      </c>
      <c r="G134" s="189"/>
      <c r="H134" s="189"/>
      <c r="I134" s="189"/>
      <c r="J134" s="189"/>
      <c r="K134" s="189"/>
      <c r="L134" s="189"/>
      <c r="M134" s="189" t="s">
        <v>62</v>
      </c>
      <c r="N134" s="189"/>
      <c r="O134" s="189"/>
      <c r="P134" s="189"/>
      <c r="Q134" s="189"/>
      <c r="R134" s="189"/>
      <c r="S134" s="190"/>
    </row>
    <row r="135" spans="1:19" ht="20.100000000000001" customHeight="1">
      <c r="A135" s="723" t="s">
        <v>65</v>
      </c>
      <c r="B135" s="724"/>
      <c r="C135" s="188"/>
      <c r="D135" s="189"/>
      <c r="E135" s="189"/>
      <c r="F135" s="189" t="s">
        <v>61</v>
      </c>
      <c r="G135" s="189"/>
      <c r="H135" s="189"/>
      <c r="I135" s="189"/>
      <c r="J135" s="189"/>
      <c r="K135" s="189"/>
      <c r="L135" s="189"/>
      <c r="M135" s="189" t="s">
        <v>62</v>
      </c>
      <c r="N135" s="189"/>
      <c r="O135" s="189"/>
      <c r="P135" s="189"/>
      <c r="Q135" s="189"/>
      <c r="R135" s="189"/>
      <c r="S135" s="190"/>
    </row>
    <row r="136" spans="1:19" ht="20.100000000000001" customHeight="1">
      <c r="A136" s="723" t="s">
        <v>66</v>
      </c>
      <c r="B136" s="724"/>
      <c r="C136" s="189"/>
      <c r="D136" s="189"/>
      <c r="E136" s="189"/>
      <c r="F136" s="189" t="s">
        <v>61</v>
      </c>
      <c r="G136" s="189"/>
      <c r="H136" s="189"/>
      <c r="I136" s="189"/>
      <c r="J136" s="189"/>
      <c r="K136" s="189"/>
      <c r="L136" s="189"/>
      <c r="M136" s="189" t="s">
        <v>62</v>
      </c>
      <c r="N136" s="189"/>
      <c r="O136" s="189"/>
      <c r="P136" s="189"/>
      <c r="Q136" s="189"/>
      <c r="R136" s="189"/>
      <c r="S136" s="190"/>
    </row>
    <row r="137" spans="1:19" ht="19.5" customHeight="1" thickBot="1">
      <c r="A137" s="725" t="s">
        <v>67</v>
      </c>
      <c r="B137" s="726"/>
      <c r="C137" s="45"/>
      <c r="D137" s="45"/>
      <c r="E137" s="45"/>
      <c r="F137" s="45" t="s">
        <v>61</v>
      </c>
      <c r="G137" s="45"/>
      <c r="H137" s="45"/>
      <c r="I137" s="45"/>
      <c r="J137" s="45"/>
      <c r="K137" s="45"/>
      <c r="L137" s="45"/>
      <c r="M137" s="45" t="s">
        <v>62</v>
      </c>
      <c r="N137" s="45"/>
      <c r="O137" s="45"/>
      <c r="P137" s="45"/>
      <c r="Q137" s="45"/>
      <c r="R137" s="45"/>
      <c r="S137" s="46"/>
    </row>
    <row r="138" spans="1:19" ht="15" thickTop="1">
      <c r="A138" s="727" t="s">
        <v>68</v>
      </c>
      <c r="B138" s="728"/>
      <c r="C138" s="728"/>
      <c r="D138" s="728"/>
      <c r="E138" s="728"/>
      <c r="F138" s="728"/>
      <c r="G138" s="728"/>
      <c r="H138" s="728"/>
      <c r="I138" s="728"/>
      <c r="J138" s="728"/>
      <c r="K138" s="728"/>
      <c r="L138" s="728"/>
      <c r="M138" s="728"/>
      <c r="N138" s="728"/>
      <c r="O138" s="728"/>
      <c r="P138" s="728"/>
      <c r="Q138" s="728"/>
      <c r="R138" s="728"/>
      <c r="S138" s="729"/>
    </row>
    <row r="139" spans="1:19" ht="8.25" customHeight="1">
      <c r="A139" s="707"/>
      <c r="B139" s="708"/>
      <c r="C139" s="708"/>
      <c r="D139" s="708"/>
      <c r="E139" s="708"/>
      <c r="F139" s="708"/>
      <c r="G139" s="708"/>
      <c r="H139" s="708"/>
      <c r="I139" s="708"/>
      <c r="J139" s="708"/>
      <c r="K139" s="708"/>
      <c r="L139" s="708"/>
      <c r="M139" s="708"/>
      <c r="N139" s="708"/>
      <c r="O139" s="708"/>
      <c r="P139" s="708"/>
      <c r="Q139" s="708"/>
      <c r="R139" s="708"/>
      <c r="S139" s="709"/>
    </row>
    <row r="140" spans="1:19" ht="8.25" customHeight="1">
      <c r="A140" s="707"/>
      <c r="B140" s="708"/>
      <c r="C140" s="708"/>
      <c r="D140" s="708"/>
      <c r="E140" s="708"/>
      <c r="F140" s="708"/>
      <c r="G140" s="708"/>
      <c r="H140" s="708"/>
      <c r="I140" s="708"/>
      <c r="J140" s="708"/>
      <c r="K140" s="708"/>
      <c r="L140" s="708"/>
      <c r="M140" s="708"/>
      <c r="N140" s="708"/>
      <c r="O140" s="708"/>
      <c r="P140" s="708"/>
      <c r="Q140" s="708"/>
      <c r="R140" s="708"/>
      <c r="S140" s="709"/>
    </row>
    <row r="141" spans="1:19" ht="15.75" customHeight="1">
      <c r="A141" s="707"/>
      <c r="B141" s="708"/>
      <c r="C141" s="708"/>
      <c r="D141" s="708"/>
      <c r="E141" s="708"/>
      <c r="F141" s="708"/>
      <c r="G141" s="708"/>
      <c r="H141" s="708"/>
      <c r="I141" s="708"/>
      <c r="J141" s="708"/>
      <c r="K141" s="708"/>
      <c r="L141" s="708"/>
      <c r="M141" s="708"/>
      <c r="N141" s="708"/>
      <c r="O141" s="708"/>
      <c r="P141" s="708"/>
      <c r="Q141" s="708"/>
      <c r="R141" s="708"/>
      <c r="S141" s="709"/>
    </row>
    <row r="142" spans="1:19" ht="8.25" customHeight="1">
      <c r="A142" s="707"/>
      <c r="B142" s="708"/>
      <c r="C142" s="708"/>
      <c r="D142" s="708"/>
      <c r="E142" s="708"/>
      <c r="F142" s="708"/>
      <c r="G142" s="708"/>
      <c r="H142" s="708"/>
      <c r="I142" s="708"/>
      <c r="J142" s="708"/>
      <c r="K142" s="708"/>
      <c r="L142" s="708"/>
      <c r="M142" s="708"/>
      <c r="N142" s="708"/>
      <c r="O142" s="708"/>
      <c r="P142" s="708"/>
      <c r="Q142" s="708"/>
      <c r="R142" s="708"/>
      <c r="S142" s="709"/>
    </row>
    <row r="143" spans="1:19" ht="13.5" customHeight="1">
      <c r="A143" s="707"/>
      <c r="B143" s="708"/>
      <c r="C143" s="708"/>
      <c r="D143" s="708"/>
      <c r="E143" s="708"/>
      <c r="F143" s="708"/>
      <c r="G143" s="708"/>
      <c r="H143" s="708"/>
      <c r="I143" s="708"/>
      <c r="J143" s="708"/>
      <c r="K143" s="708"/>
      <c r="L143" s="708"/>
      <c r="M143" s="708"/>
      <c r="N143" s="708"/>
      <c r="O143" s="708"/>
      <c r="P143" s="708"/>
      <c r="Q143" s="708"/>
      <c r="R143" s="708"/>
      <c r="S143" s="709"/>
    </row>
    <row r="144" spans="1:19" ht="8.25" customHeight="1">
      <c r="A144" s="707"/>
      <c r="B144" s="708"/>
      <c r="C144" s="708"/>
      <c r="D144" s="708"/>
      <c r="E144" s="708"/>
      <c r="F144" s="708"/>
      <c r="G144" s="708"/>
      <c r="H144" s="708"/>
      <c r="I144" s="708"/>
      <c r="J144" s="708"/>
      <c r="K144" s="708"/>
      <c r="L144" s="708"/>
      <c r="M144" s="708"/>
      <c r="N144" s="708"/>
      <c r="O144" s="708"/>
      <c r="P144" s="708"/>
      <c r="Q144" s="708"/>
      <c r="R144" s="708"/>
      <c r="S144" s="709"/>
    </row>
    <row r="145" spans="1:19" ht="8.25" customHeight="1" thickBot="1">
      <c r="A145" s="710"/>
      <c r="B145" s="711"/>
      <c r="C145" s="711"/>
      <c r="D145" s="711"/>
      <c r="E145" s="711"/>
      <c r="F145" s="711"/>
      <c r="G145" s="711"/>
      <c r="H145" s="711"/>
      <c r="I145" s="711"/>
      <c r="J145" s="711"/>
      <c r="K145" s="711"/>
      <c r="L145" s="711"/>
      <c r="M145" s="711"/>
      <c r="N145" s="711"/>
      <c r="O145" s="711"/>
      <c r="P145" s="711"/>
      <c r="Q145" s="711"/>
      <c r="R145" s="711"/>
      <c r="S145" s="712"/>
    </row>
    <row r="146" spans="1:19" ht="20.100000000000001" customHeight="1" thickTop="1">
      <c r="A146" s="713" t="s">
        <v>69</v>
      </c>
      <c r="B146" s="714"/>
      <c r="C146" s="714"/>
      <c r="D146" s="714"/>
      <c r="E146" s="714"/>
      <c r="F146" s="714"/>
      <c r="G146" s="714"/>
      <c r="H146" s="714"/>
      <c r="I146" s="714"/>
      <c r="J146" s="714"/>
      <c r="K146" s="714"/>
      <c r="L146" s="714"/>
      <c r="M146" s="714"/>
      <c r="N146" s="714"/>
      <c r="O146" s="714"/>
      <c r="P146" s="714"/>
      <c r="Q146" s="714"/>
      <c r="R146" s="714"/>
      <c r="S146" s="715"/>
    </row>
    <row r="147" spans="1:19" ht="12" customHeight="1">
      <c r="A147" s="707"/>
      <c r="B147" s="708"/>
      <c r="C147" s="708"/>
      <c r="D147" s="708"/>
      <c r="E147" s="708"/>
      <c r="F147" s="708"/>
      <c r="G147" s="708"/>
      <c r="H147" s="708"/>
      <c r="I147" s="708"/>
      <c r="J147" s="708"/>
      <c r="K147" s="708"/>
      <c r="L147" s="708"/>
      <c r="M147" s="708"/>
      <c r="N147" s="708"/>
      <c r="O147" s="708"/>
      <c r="P147" s="708"/>
      <c r="Q147" s="708"/>
      <c r="R147" s="708"/>
      <c r="S147" s="709"/>
    </row>
    <row r="148" spans="1:19" ht="12" customHeight="1">
      <c r="A148" s="707"/>
      <c r="B148" s="708"/>
      <c r="C148" s="708"/>
      <c r="D148" s="708"/>
      <c r="E148" s="708"/>
      <c r="F148" s="708"/>
      <c r="G148" s="708"/>
      <c r="H148" s="708"/>
      <c r="I148" s="708"/>
      <c r="J148" s="708"/>
      <c r="K148" s="708"/>
      <c r="L148" s="708"/>
      <c r="M148" s="708"/>
      <c r="N148" s="708"/>
      <c r="O148" s="708"/>
      <c r="P148" s="708"/>
      <c r="Q148" s="708"/>
      <c r="R148" s="708"/>
      <c r="S148" s="709"/>
    </row>
    <row r="149" spans="1:19" ht="12" customHeight="1">
      <c r="A149" s="707"/>
      <c r="B149" s="708"/>
      <c r="C149" s="708"/>
      <c r="D149" s="708"/>
      <c r="E149" s="708"/>
      <c r="F149" s="708"/>
      <c r="G149" s="708"/>
      <c r="H149" s="708"/>
      <c r="I149" s="708"/>
      <c r="J149" s="708"/>
      <c r="K149" s="708"/>
      <c r="L149" s="708"/>
      <c r="M149" s="708"/>
      <c r="N149" s="708"/>
      <c r="O149" s="708"/>
      <c r="P149" s="708"/>
      <c r="Q149" s="708"/>
      <c r="R149" s="708"/>
      <c r="S149" s="709"/>
    </row>
    <row r="150" spans="1:19" ht="17.25" customHeight="1">
      <c r="A150" s="707"/>
      <c r="B150" s="708"/>
      <c r="C150" s="708"/>
      <c r="D150" s="708"/>
      <c r="E150" s="708"/>
      <c r="F150" s="708"/>
      <c r="G150" s="708"/>
      <c r="H150" s="708"/>
      <c r="I150" s="708"/>
      <c r="J150" s="708"/>
      <c r="K150" s="708"/>
      <c r="L150" s="708"/>
      <c r="M150" s="708"/>
      <c r="N150" s="708"/>
      <c r="O150" s="708"/>
      <c r="P150" s="708"/>
      <c r="Q150" s="708"/>
      <c r="R150" s="708"/>
      <c r="S150" s="709"/>
    </row>
    <row r="151" spans="1:19" ht="12" customHeight="1" thickBot="1">
      <c r="A151" s="716"/>
      <c r="B151" s="717"/>
      <c r="C151" s="717"/>
      <c r="D151" s="717"/>
      <c r="E151" s="717"/>
      <c r="F151" s="717"/>
      <c r="G151" s="717"/>
      <c r="H151" s="717"/>
      <c r="I151" s="717"/>
      <c r="J151" s="717"/>
      <c r="K151" s="717"/>
      <c r="L151" s="717"/>
      <c r="M151" s="717"/>
      <c r="N151" s="717"/>
      <c r="O151" s="717"/>
      <c r="P151" s="717"/>
      <c r="Q151" s="717"/>
      <c r="R151" s="717"/>
      <c r="S151" s="718"/>
    </row>
    <row r="152" spans="1:19" ht="19.5" customHeight="1">
      <c r="A152" s="719" t="s">
        <v>98</v>
      </c>
      <c r="B152" s="720"/>
      <c r="C152" s="720"/>
      <c r="D152" s="720"/>
      <c r="E152" s="720"/>
      <c r="F152" s="720"/>
      <c r="G152" s="720"/>
      <c r="H152" s="720"/>
      <c r="I152" s="720"/>
      <c r="J152" s="720"/>
      <c r="K152" s="720"/>
      <c r="L152" s="720"/>
      <c r="M152" s="720"/>
      <c r="N152" s="720"/>
      <c r="O152" s="720"/>
      <c r="P152" s="720"/>
      <c r="Q152" s="720"/>
      <c r="R152" s="720"/>
      <c r="S152" s="721"/>
    </row>
    <row r="153" spans="1:19" ht="19.5" customHeight="1" thickBot="1">
      <c r="A153" s="722">
        <f ca="1">TODAY()</f>
        <v>43839</v>
      </c>
      <c r="B153" s="717"/>
      <c r="C153" s="717"/>
      <c r="D153" s="717"/>
      <c r="E153" s="717"/>
      <c r="F153" s="717"/>
      <c r="G153" s="717"/>
      <c r="H153" s="717"/>
      <c r="I153" s="717"/>
      <c r="J153" s="717"/>
      <c r="K153" s="717"/>
      <c r="L153" s="717"/>
      <c r="M153" s="717"/>
      <c r="N153" s="717"/>
      <c r="O153" s="717"/>
      <c r="P153" s="717"/>
      <c r="Q153" s="717"/>
      <c r="R153" s="717"/>
      <c r="S153" s="718"/>
    </row>
    <row r="154" spans="1:19" ht="27.75" customHeight="1">
      <c r="I154" s="72" t="str">
        <f>"3/"&amp;IF(COUNTIF(辅助!K:K,"&gt;0")&lt;9,1,IF(COUNTIF(辅助!K:K,"&gt;0")&lt;17,2,IF(COUNTIF(辅助!K:K,"&gt;0")&lt;25,3,IF(COUNTIF(辅助!K:K,"&gt;0")&lt;33,4))))</f>
        <v>3/2</v>
      </c>
    </row>
    <row r="155" spans="1:19" ht="24">
      <c r="A155" s="747" t="s">
        <v>46</v>
      </c>
      <c r="B155" s="747"/>
      <c r="C155" s="747"/>
      <c r="D155" s="747"/>
      <c r="E155" s="747"/>
      <c r="F155" s="747"/>
      <c r="G155" s="747"/>
      <c r="H155" s="747"/>
      <c r="I155" s="747"/>
      <c r="J155" s="747"/>
      <c r="K155" s="747"/>
      <c r="L155" s="747"/>
      <c r="M155" s="747"/>
      <c r="N155" s="747"/>
      <c r="O155" s="747"/>
      <c r="P155" s="747"/>
      <c r="Q155" s="747"/>
      <c r="R155" s="747"/>
      <c r="S155" s="747"/>
    </row>
    <row r="156" spans="1:19" ht="9.75" customHeight="1" thickBot="1"/>
    <row r="157" spans="1:19" ht="20.100000000000001" customHeight="1">
      <c r="A157" s="744" t="s">
        <v>47</v>
      </c>
      <c r="B157" s="745"/>
      <c r="C157" s="745" t="s">
        <v>74</v>
      </c>
      <c r="D157" s="745"/>
      <c r="E157" s="745"/>
      <c r="F157" s="745"/>
      <c r="G157" s="745"/>
      <c r="H157" s="745"/>
      <c r="I157" s="745"/>
      <c r="J157" s="745"/>
      <c r="K157" s="745"/>
      <c r="L157" s="745"/>
      <c r="M157" s="745"/>
      <c r="N157" s="745"/>
      <c r="O157" s="745"/>
      <c r="P157" s="745"/>
      <c r="Q157" s="745"/>
      <c r="R157" s="745"/>
      <c r="S157" s="746"/>
    </row>
    <row r="158" spans="1:19" ht="20.100000000000001" customHeight="1">
      <c r="A158" s="723" t="s">
        <v>48</v>
      </c>
      <c r="B158" s="724"/>
      <c r="C158" s="724" t="s">
        <v>461</v>
      </c>
      <c r="D158" s="724"/>
      <c r="E158" s="724"/>
      <c r="F158" s="724"/>
      <c r="G158" s="724"/>
      <c r="H158" s="724"/>
      <c r="I158" s="724"/>
      <c r="J158" s="724"/>
      <c r="K158" s="724"/>
      <c r="L158" s="724"/>
      <c r="M158" s="724"/>
      <c r="N158" s="724"/>
      <c r="O158" s="724"/>
      <c r="P158" s="724"/>
      <c r="Q158" s="724"/>
      <c r="R158" s="724"/>
      <c r="S158" s="738"/>
    </row>
    <row r="159" spans="1:19" ht="20.100000000000001" customHeight="1">
      <c r="A159" s="723" t="s">
        <v>49</v>
      </c>
      <c r="B159" s="724"/>
      <c r="C159" s="724">
        <v>201209</v>
      </c>
      <c r="D159" s="724"/>
      <c r="E159" s="724"/>
      <c r="F159" s="724"/>
      <c r="G159" s="724"/>
      <c r="H159" s="724"/>
      <c r="I159" s="724"/>
      <c r="J159" s="734" t="s">
        <v>50</v>
      </c>
      <c r="K159" s="735"/>
      <c r="L159" s="742"/>
      <c r="M159" s="724"/>
      <c r="N159" s="724"/>
      <c r="O159" s="724"/>
      <c r="P159" s="724"/>
      <c r="Q159" s="724"/>
      <c r="R159" s="724"/>
      <c r="S159" s="738"/>
    </row>
    <row r="160" spans="1:19" ht="20.100000000000001" customHeight="1">
      <c r="A160" s="723" t="s">
        <v>51</v>
      </c>
      <c r="B160" s="724"/>
      <c r="C160" s="724" t="s">
        <v>117</v>
      </c>
      <c r="D160" s="724"/>
      <c r="E160" s="724"/>
      <c r="F160" s="724"/>
      <c r="G160" s="724"/>
      <c r="H160" s="724"/>
      <c r="I160" s="724"/>
      <c r="J160" s="734" t="s">
        <v>52</v>
      </c>
      <c r="K160" s="735"/>
      <c r="L160" s="742"/>
      <c r="M160" s="724"/>
      <c r="N160" s="724"/>
      <c r="O160" s="724"/>
      <c r="P160" s="724"/>
      <c r="Q160" s="724"/>
      <c r="R160" s="724"/>
      <c r="S160" s="738"/>
    </row>
    <row r="161" spans="1:19" ht="13.5" customHeight="1">
      <c r="A161" s="739" t="s">
        <v>99</v>
      </c>
      <c r="B161" s="743"/>
      <c r="C161" s="734" t="str">
        <f>辅助!R26</f>
        <v/>
      </c>
      <c r="D161" s="735"/>
      <c r="E161" s="735"/>
      <c r="F161" s="735"/>
      <c r="G161" s="735"/>
      <c r="H161" s="735"/>
      <c r="I161" s="735"/>
      <c r="J161" s="735"/>
      <c r="K161" s="735"/>
      <c r="L161" s="735"/>
      <c r="M161" s="735"/>
      <c r="N161" s="735"/>
      <c r="O161" s="735"/>
      <c r="P161" s="735"/>
      <c r="Q161" s="735"/>
      <c r="R161" s="735"/>
      <c r="S161" s="736"/>
    </row>
    <row r="162" spans="1:19" ht="13.5" customHeight="1">
      <c r="A162" s="707"/>
      <c r="B162" s="708"/>
      <c r="C162" s="734" t="str">
        <f>辅助!R27</f>
        <v/>
      </c>
      <c r="D162" s="735"/>
      <c r="E162" s="735"/>
      <c r="F162" s="735"/>
      <c r="G162" s="735"/>
      <c r="H162" s="735"/>
      <c r="I162" s="735"/>
      <c r="J162" s="735"/>
      <c r="K162" s="735"/>
      <c r="L162" s="735"/>
      <c r="M162" s="735"/>
      <c r="N162" s="735"/>
      <c r="O162" s="735"/>
      <c r="P162" s="735"/>
      <c r="Q162" s="735"/>
      <c r="R162" s="735"/>
      <c r="S162" s="736"/>
    </row>
    <row r="163" spans="1:19" ht="13.5" customHeight="1">
      <c r="A163" s="707"/>
      <c r="B163" s="708"/>
      <c r="C163" s="734" t="str">
        <f>辅助!R28</f>
        <v/>
      </c>
      <c r="D163" s="735"/>
      <c r="E163" s="735"/>
      <c r="F163" s="735"/>
      <c r="G163" s="735"/>
      <c r="H163" s="735"/>
      <c r="I163" s="735"/>
      <c r="J163" s="735"/>
      <c r="K163" s="735"/>
      <c r="L163" s="735"/>
      <c r="M163" s="735"/>
      <c r="N163" s="735"/>
      <c r="O163" s="735"/>
      <c r="P163" s="735"/>
      <c r="Q163" s="735"/>
      <c r="R163" s="735"/>
      <c r="S163" s="736"/>
    </row>
    <row r="164" spans="1:19" ht="13.5" customHeight="1">
      <c r="A164" s="707"/>
      <c r="B164" s="708"/>
      <c r="C164" s="734" t="str">
        <f>辅助!R29</f>
        <v/>
      </c>
      <c r="D164" s="735"/>
      <c r="E164" s="735"/>
      <c r="F164" s="735"/>
      <c r="G164" s="735"/>
      <c r="H164" s="735"/>
      <c r="I164" s="735"/>
      <c r="J164" s="735"/>
      <c r="K164" s="735"/>
      <c r="L164" s="735"/>
      <c r="M164" s="735"/>
      <c r="N164" s="735"/>
      <c r="O164" s="735"/>
      <c r="P164" s="735"/>
      <c r="Q164" s="735"/>
      <c r="R164" s="735"/>
      <c r="S164" s="736"/>
    </row>
    <row r="165" spans="1:19" ht="13.5" customHeight="1">
      <c r="A165" s="707"/>
      <c r="B165" s="708"/>
      <c r="C165" s="734" t="str">
        <f>辅助!R30</f>
        <v/>
      </c>
      <c r="D165" s="735"/>
      <c r="E165" s="735"/>
      <c r="F165" s="735"/>
      <c r="G165" s="735"/>
      <c r="H165" s="735"/>
      <c r="I165" s="735"/>
      <c r="J165" s="735"/>
      <c r="K165" s="735"/>
      <c r="L165" s="735"/>
      <c r="M165" s="735"/>
      <c r="N165" s="735"/>
      <c r="O165" s="735"/>
      <c r="P165" s="735"/>
      <c r="Q165" s="735"/>
      <c r="R165" s="735"/>
      <c r="S165" s="736"/>
    </row>
    <row r="166" spans="1:19" ht="13.5" customHeight="1">
      <c r="A166" s="707"/>
      <c r="B166" s="708"/>
      <c r="C166" s="734" t="str">
        <f>辅助!R31</f>
        <v/>
      </c>
      <c r="D166" s="735"/>
      <c r="E166" s="735"/>
      <c r="F166" s="735"/>
      <c r="G166" s="735"/>
      <c r="H166" s="735"/>
      <c r="I166" s="735"/>
      <c r="J166" s="735"/>
      <c r="K166" s="735"/>
      <c r="L166" s="735"/>
      <c r="M166" s="735"/>
      <c r="N166" s="735"/>
      <c r="O166" s="735"/>
      <c r="P166" s="735"/>
      <c r="Q166" s="735"/>
      <c r="R166" s="735"/>
      <c r="S166" s="736"/>
    </row>
    <row r="167" spans="1:19" ht="13.5" customHeight="1">
      <c r="A167" s="707"/>
      <c r="B167" s="708"/>
      <c r="C167" s="734" t="str">
        <f>辅助!R32</f>
        <v/>
      </c>
      <c r="D167" s="735"/>
      <c r="E167" s="735"/>
      <c r="F167" s="735"/>
      <c r="G167" s="735"/>
      <c r="H167" s="735"/>
      <c r="I167" s="735"/>
      <c r="J167" s="735"/>
      <c r="K167" s="735"/>
      <c r="L167" s="735"/>
      <c r="M167" s="735"/>
      <c r="N167" s="735"/>
      <c r="O167" s="735"/>
      <c r="P167" s="735"/>
      <c r="Q167" s="735"/>
      <c r="R167" s="735"/>
      <c r="S167" s="736"/>
    </row>
    <row r="168" spans="1:19" ht="13.5" customHeight="1">
      <c r="A168" s="707"/>
      <c r="B168" s="708"/>
      <c r="C168" s="734" t="str">
        <f>辅助!R33</f>
        <v/>
      </c>
      <c r="D168" s="735"/>
      <c r="E168" s="735"/>
      <c r="F168" s="735"/>
      <c r="G168" s="735"/>
      <c r="H168" s="735"/>
      <c r="I168" s="735"/>
      <c r="J168" s="735"/>
      <c r="K168" s="735"/>
      <c r="L168" s="735"/>
      <c r="M168" s="735"/>
      <c r="N168" s="735"/>
      <c r="O168" s="735"/>
      <c r="P168" s="735"/>
      <c r="Q168" s="735"/>
      <c r="R168" s="735"/>
      <c r="S168" s="736"/>
    </row>
    <row r="169" spans="1:19" ht="13.5" customHeight="1">
      <c r="A169" s="739" t="s">
        <v>53</v>
      </c>
      <c r="B169" s="740"/>
      <c r="C169" s="734" t="str">
        <f>辅助!L26</f>
        <v/>
      </c>
      <c r="D169" s="735"/>
      <c r="E169" s="735"/>
      <c r="F169" s="735"/>
      <c r="G169" s="735"/>
      <c r="H169" s="735"/>
      <c r="I169" s="735"/>
      <c r="J169" s="735"/>
      <c r="K169" s="735"/>
      <c r="L169" s="735"/>
      <c r="M169" s="735"/>
      <c r="N169" s="735"/>
      <c r="O169" s="735"/>
      <c r="P169" s="735"/>
      <c r="Q169" s="735"/>
      <c r="R169" s="735"/>
      <c r="S169" s="736"/>
    </row>
    <row r="170" spans="1:19" ht="13.5" customHeight="1">
      <c r="A170" s="707"/>
      <c r="B170" s="741"/>
      <c r="C170" s="734" t="str">
        <f>辅助!L27</f>
        <v/>
      </c>
      <c r="D170" s="735"/>
      <c r="E170" s="735"/>
      <c r="F170" s="735"/>
      <c r="G170" s="735"/>
      <c r="H170" s="735"/>
      <c r="I170" s="735"/>
      <c r="J170" s="735"/>
      <c r="K170" s="735"/>
      <c r="L170" s="735"/>
      <c r="M170" s="735"/>
      <c r="N170" s="735"/>
      <c r="O170" s="735"/>
      <c r="P170" s="735"/>
      <c r="Q170" s="735"/>
      <c r="R170" s="735"/>
      <c r="S170" s="736"/>
    </row>
    <row r="171" spans="1:19" ht="13.5" customHeight="1">
      <c r="A171" s="707"/>
      <c r="B171" s="741"/>
      <c r="C171" s="734" t="str">
        <f>辅助!L28</f>
        <v/>
      </c>
      <c r="D171" s="735"/>
      <c r="E171" s="735"/>
      <c r="F171" s="735"/>
      <c r="G171" s="735"/>
      <c r="H171" s="735"/>
      <c r="I171" s="735"/>
      <c r="J171" s="735"/>
      <c r="K171" s="735"/>
      <c r="L171" s="735"/>
      <c r="M171" s="735"/>
      <c r="N171" s="735"/>
      <c r="O171" s="735"/>
      <c r="P171" s="735"/>
      <c r="Q171" s="735"/>
      <c r="R171" s="735"/>
      <c r="S171" s="736"/>
    </row>
    <row r="172" spans="1:19" ht="13.5" customHeight="1">
      <c r="A172" s="707"/>
      <c r="B172" s="741"/>
      <c r="C172" s="734" t="str">
        <f>辅助!L29</f>
        <v/>
      </c>
      <c r="D172" s="735"/>
      <c r="E172" s="735"/>
      <c r="F172" s="735"/>
      <c r="G172" s="735"/>
      <c r="H172" s="735"/>
      <c r="I172" s="735"/>
      <c r="J172" s="735"/>
      <c r="K172" s="735"/>
      <c r="L172" s="735"/>
      <c r="M172" s="735"/>
      <c r="N172" s="735"/>
      <c r="O172" s="735"/>
      <c r="P172" s="735"/>
      <c r="Q172" s="735"/>
      <c r="R172" s="735"/>
      <c r="S172" s="736"/>
    </row>
    <row r="173" spans="1:19" ht="13.5" customHeight="1">
      <c r="A173" s="707"/>
      <c r="B173" s="741"/>
      <c r="C173" s="734" t="str">
        <f>辅助!L30</f>
        <v/>
      </c>
      <c r="D173" s="735"/>
      <c r="E173" s="735"/>
      <c r="F173" s="735"/>
      <c r="G173" s="735"/>
      <c r="H173" s="735"/>
      <c r="I173" s="735"/>
      <c r="J173" s="735"/>
      <c r="K173" s="735"/>
      <c r="L173" s="735"/>
      <c r="M173" s="735"/>
      <c r="N173" s="735"/>
      <c r="O173" s="735"/>
      <c r="P173" s="735"/>
      <c r="Q173" s="735"/>
      <c r="R173" s="735"/>
      <c r="S173" s="736"/>
    </row>
    <row r="174" spans="1:19" ht="13.5" customHeight="1">
      <c r="A174" s="707"/>
      <c r="B174" s="741"/>
      <c r="C174" s="734" t="str">
        <f>辅助!L31</f>
        <v/>
      </c>
      <c r="D174" s="735"/>
      <c r="E174" s="735"/>
      <c r="F174" s="735"/>
      <c r="G174" s="735"/>
      <c r="H174" s="735"/>
      <c r="I174" s="735"/>
      <c r="J174" s="735"/>
      <c r="K174" s="735"/>
      <c r="L174" s="735"/>
      <c r="M174" s="735"/>
      <c r="N174" s="735"/>
      <c r="O174" s="735"/>
      <c r="P174" s="735"/>
      <c r="Q174" s="735"/>
      <c r="R174" s="735"/>
      <c r="S174" s="736"/>
    </row>
    <row r="175" spans="1:19" ht="13.5" customHeight="1">
      <c r="A175" s="707"/>
      <c r="B175" s="741"/>
      <c r="C175" s="734" t="str">
        <f>辅助!L32</f>
        <v/>
      </c>
      <c r="D175" s="735"/>
      <c r="E175" s="735"/>
      <c r="F175" s="735"/>
      <c r="G175" s="735"/>
      <c r="H175" s="735"/>
      <c r="I175" s="735"/>
      <c r="J175" s="735"/>
      <c r="K175" s="735"/>
      <c r="L175" s="735"/>
      <c r="M175" s="735"/>
      <c r="N175" s="735"/>
      <c r="O175" s="735"/>
      <c r="P175" s="735"/>
      <c r="Q175" s="735"/>
      <c r="R175" s="735"/>
      <c r="S175" s="736"/>
    </row>
    <row r="176" spans="1:19" ht="13.5" customHeight="1">
      <c r="A176" s="707"/>
      <c r="B176" s="741"/>
      <c r="C176" s="734" t="str">
        <f>辅助!L33</f>
        <v/>
      </c>
      <c r="D176" s="735"/>
      <c r="E176" s="735"/>
      <c r="F176" s="735"/>
      <c r="G176" s="735"/>
      <c r="H176" s="735"/>
      <c r="I176" s="735"/>
      <c r="J176" s="735"/>
      <c r="K176" s="735"/>
      <c r="L176" s="735"/>
      <c r="M176" s="735"/>
      <c r="N176" s="735"/>
      <c r="O176" s="735"/>
      <c r="P176" s="735"/>
      <c r="Q176" s="735"/>
      <c r="R176" s="735"/>
      <c r="S176" s="736"/>
    </row>
    <row r="177" spans="1:19" ht="17.25" customHeight="1">
      <c r="A177" s="723" t="s">
        <v>54</v>
      </c>
      <c r="B177" s="724"/>
      <c r="C177" s="737">
        <v>0.99</v>
      </c>
      <c r="D177" s="724"/>
      <c r="E177" s="724"/>
      <c r="F177" s="724"/>
      <c r="G177" s="724"/>
      <c r="H177" s="724"/>
      <c r="I177" s="724"/>
      <c r="J177" s="724"/>
      <c r="K177" s="724"/>
      <c r="L177" s="724"/>
      <c r="M177" s="724"/>
      <c r="N177" s="724"/>
      <c r="O177" s="724"/>
      <c r="P177" s="724"/>
      <c r="Q177" s="724"/>
      <c r="R177" s="724"/>
      <c r="S177" s="738"/>
    </row>
    <row r="178" spans="1:19" ht="17.25" customHeight="1">
      <c r="A178" s="723" t="s">
        <v>55</v>
      </c>
      <c r="B178" s="724"/>
      <c r="C178" s="724"/>
      <c r="D178" s="724"/>
      <c r="E178" s="724"/>
      <c r="F178" s="724"/>
      <c r="G178" s="724"/>
      <c r="H178" s="724"/>
      <c r="I178" s="724"/>
      <c r="J178" s="724"/>
      <c r="K178" s="724"/>
      <c r="L178" s="724"/>
      <c r="M178" s="724"/>
      <c r="N178" s="724"/>
      <c r="O178" s="724"/>
      <c r="P178" s="724"/>
      <c r="Q178" s="724"/>
      <c r="R178" s="724"/>
      <c r="S178" s="738"/>
    </row>
    <row r="179" spans="1:19" ht="17.25" customHeight="1">
      <c r="A179" s="723" t="s">
        <v>56</v>
      </c>
      <c r="B179" s="724"/>
      <c r="C179" s="724"/>
      <c r="D179" s="724"/>
      <c r="E179" s="724"/>
      <c r="F179" s="724"/>
      <c r="G179" s="724"/>
      <c r="H179" s="724"/>
      <c r="I179" s="724"/>
      <c r="J179" s="724"/>
      <c r="K179" s="724"/>
      <c r="L179" s="724"/>
      <c r="M179" s="724"/>
      <c r="N179" s="724"/>
      <c r="O179" s="724"/>
      <c r="P179" s="724"/>
      <c r="Q179" s="724"/>
      <c r="R179" s="724"/>
      <c r="S179" s="738"/>
    </row>
    <row r="180" spans="1:19" ht="17.25" customHeight="1" thickBot="1">
      <c r="A180" s="725" t="s">
        <v>57</v>
      </c>
      <c r="B180" s="726"/>
      <c r="C180" s="726" t="s">
        <v>58</v>
      </c>
      <c r="D180" s="726"/>
      <c r="E180" s="726"/>
      <c r="F180" s="726"/>
      <c r="G180" s="726"/>
      <c r="H180" s="726"/>
      <c r="I180" s="726"/>
      <c r="J180" s="726"/>
      <c r="K180" s="726"/>
      <c r="L180" s="726"/>
      <c r="M180" s="726"/>
      <c r="N180" s="726"/>
      <c r="O180" s="726"/>
      <c r="P180" s="726"/>
      <c r="Q180" s="726"/>
      <c r="R180" s="726"/>
      <c r="S180" s="730"/>
    </row>
    <row r="181" spans="1:19" ht="20.100000000000001" customHeight="1" thickTop="1">
      <c r="A181" s="731" t="s">
        <v>59</v>
      </c>
      <c r="B181" s="732"/>
      <c r="C181" s="732"/>
      <c r="D181" s="732"/>
      <c r="E181" s="732"/>
      <c r="F181" s="732"/>
      <c r="G181" s="732"/>
      <c r="H181" s="732"/>
      <c r="I181" s="732"/>
      <c r="J181" s="732"/>
      <c r="K181" s="732"/>
      <c r="L181" s="732"/>
      <c r="M181" s="732"/>
      <c r="N181" s="732"/>
      <c r="O181" s="732"/>
      <c r="P181" s="732"/>
      <c r="Q181" s="732"/>
      <c r="R181" s="732"/>
      <c r="S181" s="733"/>
    </row>
    <row r="182" spans="1:19" ht="20.100000000000001" customHeight="1">
      <c r="A182" s="723" t="s">
        <v>60</v>
      </c>
      <c r="B182" s="724"/>
      <c r="C182" s="306"/>
      <c r="D182" s="307"/>
      <c r="E182" s="307"/>
      <c r="F182" s="307" t="s">
        <v>61</v>
      </c>
      <c r="G182" s="307"/>
      <c r="H182" s="307"/>
      <c r="I182" s="307"/>
      <c r="J182" s="307"/>
      <c r="K182" s="307"/>
      <c r="L182" s="307"/>
      <c r="M182" s="307" t="s">
        <v>62</v>
      </c>
      <c r="N182" s="307"/>
      <c r="O182" s="307"/>
      <c r="P182" s="307"/>
      <c r="Q182" s="307"/>
      <c r="R182" s="307"/>
      <c r="S182" s="308"/>
    </row>
    <row r="183" spans="1:19" ht="20.100000000000001" customHeight="1">
      <c r="A183" s="723" t="s">
        <v>63</v>
      </c>
      <c r="B183" s="724"/>
      <c r="C183" s="306"/>
      <c r="D183" s="307"/>
      <c r="E183" s="307"/>
      <c r="F183" s="307" t="s">
        <v>61</v>
      </c>
      <c r="G183" s="307"/>
      <c r="H183" s="307"/>
      <c r="I183" s="307"/>
      <c r="J183" s="307"/>
      <c r="K183" s="307"/>
      <c r="L183" s="307"/>
      <c r="M183" s="307" t="s">
        <v>62</v>
      </c>
      <c r="N183" s="307"/>
      <c r="O183" s="307"/>
      <c r="P183" s="307"/>
      <c r="Q183" s="307"/>
      <c r="R183" s="307"/>
      <c r="S183" s="308"/>
    </row>
    <row r="184" spans="1:19" ht="20.100000000000001" customHeight="1">
      <c r="A184" s="723" t="s">
        <v>64</v>
      </c>
      <c r="B184" s="724"/>
      <c r="C184" s="306"/>
      <c r="D184" s="307"/>
      <c r="E184" s="307"/>
      <c r="F184" s="307" t="s">
        <v>61</v>
      </c>
      <c r="G184" s="307"/>
      <c r="H184" s="307"/>
      <c r="I184" s="307"/>
      <c r="J184" s="307"/>
      <c r="K184" s="307"/>
      <c r="L184" s="307"/>
      <c r="M184" s="307" t="s">
        <v>62</v>
      </c>
      <c r="N184" s="307"/>
      <c r="O184" s="307"/>
      <c r="P184" s="307"/>
      <c r="Q184" s="307"/>
      <c r="R184" s="307"/>
      <c r="S184" s="308"/>
    </row>
    <row r="185" spans="1:19" ht="20.100000000000001" customHeight="1">
      <c r="A185" s="723" t="s">
        <v>65</v>
      </c>
      <c r="B185" s="724"/>
      <c r="C185" s="306"/>
      <c r="D185" s="307"/>
      <c r="E185" s="307"/>
      <c r="F185" s="307" t="s">
        <v>61</v>
      </c>
      <c r="G185" s="307"/>
      <c r="H185" s="307"/>
      <c r="I185" s="307"/>
      <c r="J185" s="307"/>
      <c r="K185" s="307"/>
      <c r="L185" s="307"/>
      <c r="M185" s="307" t="s">
        <v>62</v>
      </c>
      <c r="N185" s="307"/>
      <c r="O185" s="307"/>
      <c r="P185" s="307"/>
      <c r="Q185" s="307"/>
      <c r="R185" s="307"/>
      <c r="S185" s="308"/>
    </row>
    <row r="186" spans="1:19" ht="20.100000000000001" customHeight="1">
      <c r="A186" s="723" t="s">
        <v>66</v>
      </c>
      <c r="B186" s="724"/>
      <c r="C186" s="307"/>
      <c r="D186" s="307"/>
      <c r="E186" s="307"/>
      <c r="F186" s="307" t="s">
        <v>61</v>
      </c>
      <c r="G186" s="307"/>
      <c r="H186" s="307"/>
      <c r="I186" s="307"/>
      <c r="J186" s="307"/>
      <c r="K186" s="307"/>
      <c r="L186" s="307"/>
      <c r="M186" s="307" t="s">
        <v>62</v>
      </c>
      <c r="N186" s="307"/>
      <c r="O186" s="307"/>
      <c r="P186" s="307"/>
      <c r="Q186" s="307"/>
      <c r="R186" s="307"/>
      <c r="S186" s="308"/>
    </row>
    <row r="187" spans="1:19" ht="19.5" customHeight="1" thickBot="1">
      <c r="A187" s="725" t="s">
        <v>67</v>
      </c>
      <c r="B187" s="726"/>
      <c r="C187" s="45"/>
      <c r="D187" s="45"/>
      <c r="E187" s="45"/>
      <c r="F187" s="45" t="s">
        <v>61</v>
      </c>
      <c r="G187" s="45"/>
      <c r="H187" s="45"/>
      <c r="I187" s="45"/>
      <c r="J187" s="45"/>
      <c r="K187" s="45"/>
      <c r="L187" s="45"/>
      <c r="M187" s="45" t="s">
        <v>62</v>
      </c>
      <c r="N187" s="45"/>
      <c r="O187" s="45"/>
      <c r="P187" s="45"/>
      <c r="Q187" s="45"/>
      <c r="R187" s="45"/>
      <c r="S187" s="46"/>
    </row>
    <row r="188" spans="1:19" ht="15" thickTop="1">
      <c r="A188" s="727" t="s">
        <v>68</v>
      </c>
      <c r="B188" s="728"/>
      <c r="C188" s="728"/>
      <c r="D188" s="728"/>
      <c r="E188" s="728"/>
      <c r="F188" s="728"/>
      <c r="G188" s="728"/>
      <c r="H188" s="728"/>
      <c r="I188" s="728"/>
      <c r="J188" s="728"/>
      <c r="K188" s="728"/>
      <c r="L188" s="728"/>
      <c r="M188" s="728"/>
      <c r="N188" s="728"/>
      <c r="O188" s="728"/>
      <c r="P188" s="728"/>
      <c r="Q188" s="728"/>
      <c r="R188" s="728"/>
      <c r="S188" s="729"/>
    </row>
    <row r="189" spans="1:19" ht="8.25" customHeight="1">
      <c r="A189" s="707"/>
      <c r="B189" s="708"/>
      <c r="C189" s="708"/>
      <c r="D189" s="708"/>
      <c r="E189" s="708"/>
      <c r="F189" s="708"/>
      <c r="G189" s="708"/>
      <c r="H189" s="708"/>
      <c r="I189" s="708"/>
      <c r="J189" s="708"/>
      <c r="K189" s="708"/>
      <c r="L189" s="708"/>
      <c r="M189" s="708"/>
      <c r="N189" s="708"/>
      <c r="O189" s="708"/>
      <c r="P189" s="708"/>
      <c r="Q189" s="708"/>
      <c r="R189" s="708"/>
      <c r="S189" s="709"/>
    </row>
    <row r="190" spans="1:19" ht="8.25" customHeight="1">
      <c r="A190" s="707"/>
      <c r="B190" s="708"/>
      <c r="C190" s="708"/>
      <c r="D190" s="708"/>
      <c r="E190" s="708"/>
      <c r="F190" s="708"/>
      <c r="G190" s="708"/>
      <c r="H190" s="708"/>
      <c r="I190" s="708"/>
      <c r="J190" s="708"/>
      <c r="K190" s="708"/>
      <c r="L190" s="708"/>
      <c r="M190" s="708"/>
      <c r="N190" s="708"/>
      <c r="O190" s="708"/>
      <c r="P190" s="708"/>
      <c r="Q190" s="708"/>
      <c r="R190" s="708"/>
      <c r="S190" s="709"/>
    </row>
    <row r="191" spans="1:19" ht="8.25" customHeight="1">
      <c r="A191" s="707"/>
      <c r="B191" s="708"/>
      <c r="C191" s="708"/>
      <c r="D191" s="708"/>
      <c r="E191" s="708"/>
      <c r="F191" s="708"/>
      <c r="G191" s="708"/>
      <c r="H191" s="708"/>
      <c r="I191" s="708"/>
      <c r="J191" s="708"/>
      <c r="K191" s="708"/>
      <c r="L191" s="708"/>
      <c r="M191" s="708"/>
      <c r="N191" s="708"/>
      <c r="O191" s="708"/>
      <c r="P191" s="708"/>
      <c r="Q191" s="708"/>
      <c r="R191" s="708"/>
      <c r="S191" s="709"/>
    </row>
    <row r="192" spans="1:19" ht="8.25" customHeight="1">
      <c r="A192" s="707"/>
      <c r="B192" s="708"/>
      <c r="C192" s="708"/>
      <c r="D192" s="708"/>
      <c r="E192" s="708"/>
      <c r="F192" s="708"/>
      <c r="G192" s="708"/>
      <c r="H192" s="708"/>
      <c r="I192" s="708"/>
      <c r="J192" s="708"/>
      <c r="K192" s="708"/>
      <c r="L192" s="708"/>
      <c r="M192" s="708"/>
      <c r="N192" s="708"/>
      <c r="O192" s="708"/>
      <c r="P192" s="708"/>
      <c r="Q192" s="708"/>
      <c r="R192" s="708"/>
      <c r="S192" s="709"/>
    </row>
    <row r="193" spans="1:19" ht="8.25" customHeight="1">
      <c r="A193" s="707"/>
      <c r="B193" s="708"/>
      <c r="C193" s="708"/>
      <c r="D193" s="708"/>
      <c r="E193" s="708"/>
      <c r="F193" s="708"/>
      <c r="G193" s="708"/>
      <c r="H193" s="708"/>
      <c r="I193" s="708"/>
      <c r="J193" s="708"/>
      <c r="K193" s="708"/>
      <c r="L193" s="708"/>
      <c r="M193" s="708"/>
      <c r="N193" s="708"/>
      <c r="O193" s="708"/>
      <c r="P193" s="708"/>
      <c r="Q193" s="708"/>
      <c r="R193" s="708"/>
      <c r="S193" s="709"/>
    </row>
    <row r="194" spans="1:19" ht="8.25" customHeight="1">
      <c r="A194" s="707"/>
      <c r="B194" s="708"/>
      <c r="C194" s="708"/>
      <c r="D194" s="708"/>
      <c r="E194" s="708"/>
      <c r="F194" s="708"/>
      <c r="G194" s="708"/>
      <c r="H194" s="708"/>
      <c r="I194" s="708"/>
      <c r="J194" s="708"/>
      <c r="K194" s="708"/>
      <c r="L194" s="708"/>
      <c r="M194" s="708"/>
      <c r="N194" s="708"/>
      <c r="O194" s="708"/>
      <c r="P194" s="708"/>
      <c r="Q194" s="708"/>
      <c r="R194" s="708"/>
      <c r="S194" s="709"/>
    </row>
    <row r="195" spans="1:19" ht="8.25" customHeight="1" thickBot="1">
      <c r="A195" s="710"/>
      <c r="B195" s="711"/>
      <c r="C195" s="711"/>
      <c r="D195" s="711"/>
      <c r="E195" s="711"/>
      <c r="F195" s="711"/>
      <c r="G195" s="711"/>
      <c r="H195" s="711"/>
      <c r="I195" s="711"/>
      <c r="J195" s="711"/>
      <c r="K195" s="711"/>
      <c r="L195" s="711"/>
      <c r="M195" s="711"/>
      <c r="N195" s="711"/>
      <c r="O195" s="711"/>
      <c r="P195" s="711"/>
      <c r="Q195" s="711"/>
      <c r="R195" s="711"/>
      <c r="S195" s="712"/>
    </row>
    <row r="196" spans="1:19" ht="20.100000000000001" customHeight="1" thickTop="1">
      <c r="A196" s="713" t="s">
        <v>69</v>
      </c>
      <c r="B196" s="714"/>
      <c r="C196" s="714"/>
      <c r="D196" s="714"/>
      <c r="E196" s="714"/>
      <c r="F196" s="714"/>
      <c r="G196" s="714"/>
      <c r="H196" s="714"/>
      <c r="I196" s="714"/>
      <c r="J196" s="714"/>
      <c r="K196" s="714"/>
      <c r="L196" s="714"/>
      <c r="M196" s="714"/>
      <c r="N196" s="714"/>
      <c r="O196" s="714"/>
      <c r="P196" s="714"/>
      <c r="Q196" s="714"/>
      <c r="R196" s="714"/>
      <c r="S196" s="715"/>
    </row>
    <row r="197" spans="1:19" ht="12" customHeight="1">
      <c r="A197" s="707"/>
      <c r="B197" s="708"/>
      <c r="C197" s="708"/>
      <c r="D197" s="708"/>
      <c r="E197" s="708"/>
      <c r="F197" s="708"/>
      <c r="G197" s="708"/>
      <c r="H197" s="708"/>
      <c r="I197" s="708"/>
      <c r="J197" s="708"/>
      <c r="K197" s="708"/>
      <c r="L197" s="708"/>
      <c r="M197" s="708"/>
      <c r="N197" s="708"/>
      <c r="O197" s="708"/>
      <c r="P197" s="708"/>
      <c r="Q197" s="708"/>
      <c r="R197" s="708"/>
      <c r="S197" s="709"/>
    </row>
    <row r="198" spans="1:19" ht="12" customHeight="1">
      <c r="A198" s="707"/>
      <c r="B198" s="708"/>
      <c r="C198" s="708"/>
      <c r="D198" s="708"/>
      <c r="E198" s="708"/>
      <c r="F198" s="708"/>
      <c r="G198" s="708"/>
      <c r="H198" s="708"/>
      <c r="I198" s="708"/>
      <c r="J198" s="708"/>
      <c r="K198" s="708"/>
      <c r="L198" s="708"/>
      <c r="M198" s="708"/>
      <c r="N198" s="708"/>
      <c r="O198" s="708"/>
      <c r="P198" s="708"/>
      <c r="Q198" s="708"/>
      <c r="R198" s="708"/>
      <c r="S198" s="709"/>
    </row>
    <row r="199" spans="1:19" ht="12" customHeight="1">
      <c r="A199" s="707"/>
      <c r="B199" s="708"/>
      <c r="C199" s="708"/>
      <c r="D199" s="708"/>
      <c r="E199" s="708"/>
      <c r="F199" s="708"/>
      <c r="G199" s="708"/>
      <c r="H199" s="708"/>
      <c r="I199" s="708"/>
      <c r="J199" s="708"/>
      <c r="K199" s="708"/>
      <c r="L199" s="708"/>
      <c r="M199" s="708"/>
      <c r="N199" s="708"/>
      <c r="O199" s="708"/>
      <c r="P199" s="708"/>
      <c r="Q199" s="708"/>
      <c r="R199" s="708"/>
      <c r="S199" s="709"/>
    </row>
    <row r="200" spans="1:19" ht="12" customHeight="1">
      <c r="A200" s="707"/>
      <c r="B200" s="708"/>
      <c r="C200" s="708"/>
      <c r="D200" s="708"/>
      <c r="E200" s="708"/>
      <c r="F200" s="708"/>
      <c r="G200" s="708"/>
      <c r="H200" s="708"/>
      <c r="I200" s="708"/>
      <c r="J200" s="708"/>
      <c r="K200" s="708"/>
      <c r="L200" s="708"/>
      <c r="M200" s="708"/>
      <c r="N200" s="708"/>
      <c r="O200" s="708"/>
      <c r="P200" s="708"/>
      <c r="Q200" s="708"/>
      <c r="R200" s="708"/>
      <c r="S200" s="709"/>
    </row>
    <row r="201" spans="1:19" ht="12" customHeight="1" thickBot="1">
      <c r="A201" s="716"/>
      <c r="B201" s="717"/>
      <c r="C201" s="717"/>
      <c r="D201" s="717"/>
      <c r="E201" s="717"/>
      <c r="F201" s="717"/>
      <c r="G201" s="717"/>
      <c r="H201" s="717"/>
      <c r="I201" s="717"/>
      <c r="J201" s="717"/>
      <c r="K201" s="717"/>
      <c r="L201" s="717"/>
      <c r="M201" s="717"/>
      <c r="N201" s="717"/>
      <c r="O201" s="717"/>
      <c r="P201" s="717"/>
      <c r="Q201" s="717"/>
      <c r="R201" s="717"/>
      <c r="S201" s="718"/>
    </row>
    <row r="202" spans="1:19" ht="19.5" customHeight="1">
      <c r="A202" s="719" t="s">
        <v>98</v>
      </c>
      <c r="B202" s="720"/>
      <c r="C202" s="720"/>
      <c r="D202" s="720"/>
      <c r="E202" s="720"/>
      <c r="F202" s="720"/>
      <c r="G202" s="720"/>
      <c r="H202" s="720"/>
      <c r="I202" s="720"/>
      <c r="J202" s="720"/>
      <c r="K202" s="720"/>
      <c r="L202" s="720"/>
      <c r="M202" s="720"/>
      <c r="N202" s="720"/>
      <c r="O202" s="720"/>
      <c r="P202" s="720"/>
      <c r="Q202" s="720"/>
      <c r="R202" s="720"/>
      <c r="S202" s="721"/>
    </row>
    <row r="203" spans="1:19" ht="19.5" customHeight="1" thickBot="1">
      <c r="A203" s="722">
        <f ca="1">TODAY()</f>
        <v>43839</v>
      </c>
      <c r="B203" s="717"/>
      <c r="C203" s="717"/>
      <c r="D203" s="717"/>
      <c r="E203" s="717"/>
      <c r="F203" s="717"/>
      <c r="G203" s="717"/>
      <c r="H203" s="717"/>
      <c r="I203" s="717"/>
      <c r="J203" s="717"/>
      <c r="K203" s="717"/>
      <c r="L203" s="717"/>
      <c r="M203" s="717"/>
      <c r="N203" s="717"/>
      <c r="O203" s="717"/>
      <c r="P203" s="717"/>
      <c r="Q203" s="717"/>
      <c r="R203" s="717"/>
      <c r="S203" s="718"/>
    </row>
    <row r="204" spans="1:19">
      <c r="I204" s="72" t="str">
        <f>"4/"&amp;IF(COUNTIF(辅助!K:K,"&gt;0")&lt;9,1,IF(COUNTIF(辅助!K:K,"&gt;0")&lt;17,2,IF(COUNTIF(辅助!K:K,"&gt;0")&lt;25,3,IF(COUNTIF(辅助!K:K,"&gt;0")&lt;33,4))))</f>
        <v>4/2</v>
      </c>
    </row>
  </sheetData>
  <mergeCells count="208">
    <mergeCell ref="A139:S145"/>
    <mergeCell ref="A146:S146"/>
    <mergeCell ref="A147:S151"/>
    <mergeCell ref="A152:S152"/>
    <mergeCell ref="A153:S153"/>
    <mergeCell ref="A134:B134"/>
    <mergeCell ref="A135:B135"/>
    <mergeCell ref="A136:B136"/>
    <mergeCell ref="A137:B137"/>
    <mergeCell ref="A138:S138"/>
    <mergeCell ref="A130:B130"/>
    <mergeCell ref="C130:S130"/>
    <mergeCell ref="A131:S131"/>
    <mergeCell ref="A132:B132"/>
    <mergeCell ref="A133:B133"/>
    <mergeCell ref="A127:B127"/>
    <mergeCell ref="C127:S127"/>
    <mergeCell ref="A128:B128"/>
    <mergeCell ref="C128:S128"/>
    <mergeCell ref="A129:B129"/>
    <mergeCell ref="C129:S129"/>
    <mergeCell ref="A119:B126"/>
    <mergeCell ref="C119:S119"/>
    <mergeCell ref="C120:S120"/>
    <mergeCell ref="C121:S121"/>
    <mergeCell ref="C122:S122"/>
    <mergeCell ref="C123:S123"/>
    <mergeCell ref="C124:S124"/>
    <mergeCell ref="C125:S125"/>
    <mergeCell ref="C126:S126"/>
    <mergeCell ref="A111:B118"/>
    <mergeCell ref="C111:S111"/>
    <mergeCell ref="C112:S112"/>
    <mergeCell ref="C113:S113"/>
    <mergeCell ref="C114:S114"/>
    <mergeCell ref="C115:S115"/>
    <mergeCell ref="C116:S116"/>
    <mergeCell ref="C117:S117"/>
    <mergeCell ref="C118:S118"/>
    <mergeCell ref="A109:B109"/>
    <mergeCell ref="C109:I109"/>
    <mergeCell ref="J109:L109"/>
    <mergeCell ref="M109:S109"/>
    <mergeCell ref="A110:B110"/>
    <mergeCell ref="C110:I110"/>
    <mergeCell ref="J110:L110"/>
    <mergeCell ref="M110:S110"/>
    <mergeCell ref="A105:S105"/>
    <mergeCell ref="A107:B107"/>
    <mergeCell ref="C107:S107"/>
    <mergeCell ref="A108:B108"/>
    <mergeCell ref="C108:S108"/>
    <mergeCell ref="A88:S94"/>
    <mergeCell ref="A95:S95"/>
    <mergeCell ref="A96:S100"/>
    <mergeCell ref="A101:S101"/>
    <mergeCell ref="A102:S102"/>
    <mergeCell ref="A83:B83"/>
    <mergeCell ref="A84:B84"/>
    <mergeCell ref="A85:B85"/>
    <mergeCell ref="A86:B86"/>
    <mergeCell ref="A87:S87"/>
    <mergeCell ref="A79:B79"/>
    <mergeCell ref="C79:S79"/>
    <mergeCell ref="A80:S80"/>
    <mergeCell ref="A81:B81"/>
    <mergeCell ref="A82:B82"/>
    <mergeCell ref="A76:B76"/>
    <mergeCell ref="C76:S76"/>
    <mergeCell ref="A77:B77"/>
    <mergeCell ref="C77:S77"/>
    <mergeCell ref="A78:B78"/>
    <mergeCell ref="C78:S78"/>
    <mergeCell ref="A68:B75"/>
    <mergeCell ref="C68:S68"/>
    <mergeCell ref="C69:S69"/>
    <mergeCell ref="C70:S70"/>
    <mergeCell ref="C71:S71"/>
    <mergeCell ref="C72:S72"/>
    <mergeCell ref="C73:S73"/>
    <mergeCell ref="C74:S74"/>
    <mergeCell ref="C75:S75"/>
    <mergeCell ref="A59:B59"/>
    <mergeCell ref="C59:I59"/>
    <mergeCell ref="J59:L59"/>
    <mergeCell ref="M59:S59"/>
    <mergeCell ref="A60:B67"/>
    <mergeCell ref="C60:S60"/>
    <mergeCell ref="C61:S61"/>
    <mergeCell ref="C62:S62"/>
    <mergeCell ref="C63:S63"/>
    <mergeCell ref="C64:S64"/>
    <mergeCell ref="C65:S65"/>
    <mergeCell ref="C66:S66"/>
    <mergeCell ref="C67:S67"/>
    <mergeCell ref="A56:B56"/>
    <mergeCell ref="C56:S56"/>
    <mergeCell ref="A57:B57"/>
    <mergeCell ref="C57:S57"/>
    <mergeCell ref="A58:B58"/>
    <mergeCell ref="C58:I58"/>
    <mergeCell ref="J58:L58"/>
    <mergeCell ref="M58:S58"/>
    <mergeCell ref="A7:B7"/>
    <mergeCell ref="C7:I7"/>
    <mergeCell ref="J7:L7"/>
    <mergeCell ref="M7:S7"/>
    <mergeCell ref="A9:B16"/>
    <mergeCell ref="C9:S9"/>
    <mergeCell ref="C10:S10"/>
    <mergeCell ref="C11:S11"/>
    <mergeCell ref="C12:S12"/>
    <mergeCell ref="C13:S13"/>
    <mergeCell ref="C14:S14"/>
    <mergeCell ref="C15:S15"/>
    <mergeCell ref="C16:S16"/>
    <mergeCell ref="A17:B24"/>
    <mergeCell ref="C17:S17"/>
    <mergeCell ref="C18:S18"/>
    <mergeCell ref="A3:S3"/>
    <mergeCell ref="A5:B5"/>
    <mergeCell ref="C5:S5"/>
    <mergeCell ref="A6:B6"/>
    <mergeCell ref="C6:S6"/>
    <mergeCell ref="A8:B8"/>
    <mergeCell ref="C8:I8"/>
    <mergeCell ref="J8:L8"/>
    <mergeCell ref="M8:S8"/>
    <mergeCell ref="C19:S19"/>
    <mergeCell ref="C20:S20"/>
    <mergeCell ref="C21:S21"/>
    <mergeCell ref="C22:S22"/>
    <mergeCell ref="C23:S23"/>
    <mergeCell ref="C24:S24"/>
    <mergeCell ref="A37:S43"/>
    <mergeCell ref="A44:S44"/>
    <mergeCell ref="A45:S49"/>
    <mergeCell ref="A34:B34"/>
    <mergeCell ref="A35:B35"/>
    <mergeCell ref="A54:S54"/>
    <mergeCell ref="A50:S50"/>
    <mergeCell ref="A51:S51"/>
    <mergeCell ref="A25:B25"/>
    <mergeCell ref="C25:S25"/>
    <mergeCell ref="A26:B26"/>
    <mergeCell ref="C26:S26"/>
    <mergeCell ref="A36:S36"/>
    <mergeCell ref="A27:B27"/>
    <mergeCell ref="C27:S27"/>
    <mergeCell ref="A28:B28"/>
    <mergeCell ref="C28:S28"/>
    <mergeCell ref="A29:S29"/>
    <mergeCell ref="A30:B30"/>
    <mergeCell ref="A31:B31"/>
    <mergeCell ref="A32:B32"/>
    <mergeCell ref="A33:B33"/>
    <mergeCell ref="A155:S155"/>
    <mergeCell ref="A157:B157"/>
    <mergeCell ref="C157:S157"/>
    <mergeCell ref="A158:B158"/>
    <mergeCell ref="C158:S158"/>
    <mergeCell ref="A159:B159"/>
    <mergeCell ref="C159:I159"/>
    <mergeCell ref="J159:L159"/>
    <mergeCell ref="M159:S159"/>
    <mergeCell ref="A160:B160"/>
    <mergeCell ref="C160:I160"/>
    <mergeCell ref="J160:L160"/>
    <mergeCell ref="M160:S160"/>
    <mergeCell ref="A161:B168"/>
    <mergeCell ref="C161:S161"/>
    <mergeCell ref="C162:S162"/>
    <mergeCell ref="C163:S163"/>
    <mergeCell ref="C164:S164"/>
    <mergeCell ref="C165:S165"/>
    <mergeCell ref="C166:S166"/>
    <mergeCell ref="C167:S167"/>
    <mergeCell ref="C168:S168"/>
    <mergeCell ref="A169:B176"/>
    <mergeCell ref="C169:S169"/>
    <mergeCell ref="C170:S170"/>
    <mergeCell ref="C171:S171"/>
    <mergeCell ref="C172:S172"/>
    <mergeCell ref="C173:S173"/>
    <mergeCell ref="C174:S174"/>
    <mergeCell ref="C175:S175"/>
    <mergeCell ref="C176:S176"/>
    <mergeCell ref="A177:B177"/>
    <mergeCell ref="C177:S177"/>
    <mergeCell ref="A178:B178"/>
    <mergeCell ref="C178:S178"/>
    <mergeCell ref="A179:B179"/>
    <mergeCell ref="C179:S179"/>
    <mergeCell ref="A180:B180"/>
    <mergeCell ref="C180:S180"/>
    <mergeCell ref="A181:S181"/>
    <mergeCell ref="A197:S201"/>
    <mergeCell ref="A202:S202"/>
    <mergeCell ref="A203:S203"/>
    <mergeCell ref="A182:B182"/>
    <mergeCell ref="A183:B183"/>
    <mergeCell ref="A184:B184"/>
    <mergeCell ref="A185:B185"/>
    <mergeCell ref="A186:B186"/>
    <mergeCell ref="A187:B187"/>
    <mergeCell ref="A188:S188"/>
    <mergeCell ref="A189:S195"/>
    <mergeCell ref="A196:S196"/>
  </mergeCells>
  <phoneticPr fontId="37" type="noConversion"/>
  <conditionalFormatting sqref="C9:S24">
    <cfRule type="cellIs" dxfId="29" priority="12" operator="equal">
      <formula>0</formula>
    </cfRule>
  </conditionalFormatting>
  <conditionalFormatting sqref="C68:S75">
    <cfRule type="cellIs" dxfId="28" priority="6" operator="equal">
      <formula>0</formula>
    </cfRule>
  </conditionalFormatting>
  <conditionalFormatting sqref="C60:S67">
    <cfRule type="cellIs" dxfId="27" priority="7" operator="equal">
      <formula>0</formula>
    </cfRule>
  </conditionalFormatting>
  <conditionalFormatting sqref="C111:S118">
    <cfRule type="cellIs" dxfId="26" priority="5" operator="equal">
      <formula>0</formula>
    </cfRule>
  </conditionalFormatting>
  <conditionalFormatting sqref="C119:S126">
    <cfRule type="cellIs" dxfId="25" priority="4" operator="equal">
      <formula>0</formula>
    </cfRule>
  </conditionalFormatting>
  <conditionalFormatting sqref="C161:S168">
    <cfRule type="cellIs" dxfId="24" priority="3" operator="equal">
      <formula>0</formula>
    </cfRule>
  </conditionalFormatting>
  <conditionalFormatting sqref="C169:S176">
    <cfRule type="cellIs" dxfId="23" priority="1" operator="equal">
      <formula>0</formula>
    </cfRule>
  </conditionalFormatting>
  <printOptions horizontalCentered="1"/>
  <pageMargins left="0.70866141732283472" right="0.70866141732283472" top="0.15748031496062992" bottom="0.74803149606299213" header="0.31496062992125984" footer="0.31496062992125984"/>
  <pageSetup paperSize="9" scale="96" fitToWidth="0" orientation="portrait" horizontalDpi="4294967295" verticalDpi="4294967295"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S203"/>
  <sheetViews>
    <sheetView topLeftCell="A136" zoomScaleNormal="100" workbookViewId="0">
      <selection activeCell="W161" sqref="W161"/>
    </sheetView>
  </sheetViews>
  <sheetFormatPr defaultRowHeight="14.25"/>
  <cols>
    <col min="1" max="1" width="9" style="72"/>
    <col min="2" max="2" width="7.125" style="72" customWidth="1"/>
    <col min="3" max="19" width="3.625" style="72" customWidth="1"/>
    <col min="20" max="257" width="9" style="72"/>
    <col min="258" max="258" width="7.125" style="72" customWidth="1"/>
    <col min="259" max="275" width="3.625" style="72" customWidth="1"/>
    <col min="276" max="513" width="9" style="72"/>
    <col min="514" max="514" width="7.125" style="72" customWidth="1"/>
    <col min="515" max="531" width="3.625" style="72" customWidth="1"/>
    <col min="532" max="769" width="9" style="72"/>
    <col min="770" max="770" width="7.125" style="72" customWidth="1"/>
    <col min="771" max="787" width="3.625" style="72" customWidth="1"/>
    <col min="788" max="1025" width="9" style="72"/>
    <col min="1026" max="1026" width="7.125" style="72" customWidth="1"/>
    <col min="1027" max="1043" width="3.625" style="72" customWidth="1"/>
    <col min="1044" max="1281" width="9" style="72"/>
    <col min="1282" max="1282" width="7.125" style="72" customWidth="1"/>
    <col min="1283" max="1299" width="3.625" style="72" customWidth="1"/>
    <col min="1300" max="1537" width="9" style="72"/>
    <col min="1538" max="1538" width="7.125" style="72" customWidth="1"/>
    <col min="1539" max="1555" width="3.625" style="72" customWidth="1"/>
    <col min="1556" max="1793" width="9" style="72"/>
    <col min="1794" max="1794" width="7.125" style="72" customWidth="1"/>
    <col min="1795" max="1811" width="3.625" style="72" customWidth="1"/>
    <col min="1812" max="2049" width="9" style="72"/>
    <col min="2050" max="2050" width="7.125" style="72" customWidth="1"/>
    <col min="2051" max="2067" width="3.625" style="72" customWidth="1"/>
    <col min="2068" max="2305" width="9" style="72"/>
    <col min="2306" max="2306" width="7.125" style="72" customWidth="1"/>
    <col min="2307" max="2323" width="3.625" style="72" customWidth="1"/>
    <col min="2324" max="2561" width="9" style="72"/>
    <col min="2562" max="2562" width="7.125" style="72" customWidth="1"/>
    <col min="2563" max="2579" width="3.625" style="72" customWidth="1"/>
    <col min="2580" max="2817" width="9" style="72"/>
    <col min="2818" max="2818" width="7.125" style="72" customWidth="1"/>
    <col min="2819" max="2835" width="3.625" style="72" customWidth="1"/>
    <col min="2836" max="3073" width="9" style="72"/>
    <col min="3074" max="3074" width="7.125" style="72" customWidth="1"/>
    <col min="3075" max="3091" width="3.625" style="72" customWidth="1"/>
    <col min="3092" max="3329" width="9" style="72"/>
    <col min="3330" max="3330" width="7.125" style="72" customWidth="1"/>
    <col min="3331" max="3347" width="3.625" style="72" customWidth="1"/>
    <col min="3348" max="3585" width="9" style="72"/>
    <col min="3586" max="3586" width="7.125" style="72" customWidth="1"/>
    <col min="3587" max="3603" width="3.625" style="72" customWidth="1"/>
    <col min="3604" max="3841" width="9" style="72"/>
    <col min="3842" max="3842" width="7.125" style="72" customWidth="1"/>
    <col min="3843" max="3859" width="3.625" style="72" customWidth="1"/>
    <col min="3860" max="4097" width="9" style="72"/>
    <col min="4098" max="4098" width="7.125" style="72" customWidth="1"/>
    <col min="4099" max="4115" width="3.625" style="72" customWidth="1"/>
    <col min="4116" max="4353" width="9" style="72"/>
    <col min="4354" max="4354" width="7.125" style="72" customWidth="1"/>
    <col min="4355" max="4371" width="3.625" style="72" customWidth="1"/>
    <col min="4372" max="4609" width="9" style="72"/>
    <col min="4610" max="4610" width="7.125" style="72" customWidth="1"/>
    <col min="4611" max="4627" width="3.625" style="72" customWidth="1"/>
    <col min="4628" max="4865" width="9" style="72"/>
    <col min="4866" max="4866" width="7.125" style="72" customWidth="1"/>
    <col min="4867" max="4883" width="3.625" style="72" customWidth="1"/>
    <col min="4884" max="5121" width="9" style="72"/>
    <col min="5122" max="5122" width="7.125" style="72" customWidth="1"/>
    <col min="5123" max="5139" width="3.625" style="72" customWidth="1"/>
    <col min="5140" max="5377" width="9" style="72"/>
    <col min="5378" max="5378" width="7.125" style="72" customWidth="1"/>
    <col min="5379" max="5395" width="3.625" style="72" customWidth="1"/>
    <col min="5396" max="5633" width="9" style="72"/>
    <col min="5634" max="5634" width="7.125" style="72" customWidth="1"/>
    <col min="5635" max="5651" width="3.625" style="72" customWidth="1"/>
    <col min="5652" max="5889" width="9" style="72"/>
    <col min="5890" max="5890" width="7.125" style="72" customWidth="1"/>
    <col min="5891" max="5907" width="3.625" style="72" customWidth="1"/>
    <col min="5908" max="6145" width="9" style="72"/>
    <col min="6146" max="6146" width="7.125" style="72" customWidth="1"/>
    <col min="6147" max="6163" width="3.625" style="72" customWidth="1"/>
    <col min="6164" max="6401" width="9" style="72"/>
    <col min="6402" max="6402" width="7.125" style="72" customWidth="1"/>
    <col min="6403" max="6419" width="3.625" style="72" customWidth="1"/>
    <col min="6420" max="6657" width="9" style="72"/>
    <col min="6658" max="6658" width="7.125" style="72" customWidth="1"/>
    <col min="6659" max="6675" width="3.625" style="72" customWidth="1"/>
    <col min="6676" max="6913" width="9" style="72"/>
    <col min="6914" max="6914" width="7.125" style="72" customWidth="1"/>
    <col min="6915" max="6931" width="3.625" style="72" customWidth="1"/>
    <col min="6932" max="7169" width="9" style="72"/>
    <col min="7170" max="7170" width="7.125" style="72" customWidth="1"/>
    <col min="7171" max="7187" width="3.625" style="72" customWidth="1"/>
    <col min="7188" max="7425" width="9" style="72"/>
    <col min="7426" max="7426" width="7.125" style="72" customWidth="1"/>
    <col min="7427" max="7443" width="3.625" style="72" customWidth="1"/>
    <col min="7444" max="7681" width="9" style="72"/>
    <col min="7682" max="7682" width="7.125" style="72" customWidth="1"/>
    <col min="7683" max="7699" width="3.625" style="72" customWidth="1"/>
    <col min="7700" max="7937" width="9" style="72"/>
    <col min="7938" max="7938" width="7.125" style="72" customWidth="1"/>
    <col min="7939" max="7955" width="3.625" style="72" customWidth="1"/>
    <col min="7956" max="8193" width="9" style="72"/>
    <col min="8194" max="8194" width="7.125" style="72" customWidth="1"/>
    <col min="8195" max="8211" width="3.625" style="72" customWidth="1"/>
    <col min="8212" max="8449" width="9" style="72"/>
    <col min="8450" max="8450" width="7.125" style="72" customWidth="1"/>
    <col min="8451" max="8467" width="3.625" style="72" customWidth="1"/>
    <col min="8468" max="8705" width="9" style="72"/>
    <col min="8706" max="8706" width="7.125" style="72" customWidth="1"/>
    <col min="8707" max="8723" width="3.625" style="72" customWidth="1"/>
    <col min="8724" max="8961" width="9" style="72"/>
    <col min="8962" max="8962" width="7.125" style="72" customWidth="1"/>
    <col min="8963" max="8979" width="3.625" style="72" customWidth="1"/>
    <col min="8980" max="9217" width="9" style="72"/>
    <col min="9218" max="9218" width="7.125" style="72" customWidth="1"/>
    <col min="9219" max="9235" width="3.625" style="72" customWidth="1"/>
    <col min="9236" max="9473" width="9" style="72"/>
    <col min="9474" max="9474" width="7.125" style="72" customWidth="1"/>
    <col min="9475" max="9491" width="3.625" style="72" customWidth="1"/>
    <col min="9492" max="9729" width="9" style="72"/>
    <col min="9730" max="9730" width="7.125" style="72" customWidth="1"/>
    <col min="9731" max="9747" width="3.625" style="72" customWidth="1"/>
    <col min="9748" max="9985" width="9" style="72"/>
    <col min="9986" max="9986" width="7.125" style="72" customWidth="1"/>
    <col min="9987" max="10003" width="3.625" style="72" customWidth="1"/>
    <col min="10004" max="10241" width="9" style="72"/>
    <col min="10242" max="10242" width="7.125" style="72" customWidth="1"/>
    <col min="10243" max="10259" width="3.625" style="72" customWidth="1"/>
    <col min="10260" max="10497" width="9" style="72"/>
    <col min="10498" max="10498" width="7.125" style="72" customWidth="1"/>
    <col min="10499" max="10515" width="3.625" style="72" customWidth="1"/>
    <col min="10516" max="10753" width="9" style="72"/>
    <col min="10754" max="10754" width="7.125" style="72" customWidth="1"/>
    <col min="10755" max="10771" width="3.625" style="72" customWidth="1"/>
    <col min="10772" max="11009" width="9" style="72"/>
    <col min="11010" max="11010" width="7.125" style="72" customWidth="1"/>
    <col min="11011" max="11027" width="3.625" style="72" customWidth="1"/>
    <col min="11028" max="11265" width="9" style="72"/>
    <col min="11266" max="11266" width="7.125" style="72" customWidth="1"/>
    <col min="11267" max="11283" width="3.625" style="72" customWidth="1"/>
    <col min="11284" max="11521" width="9" style="72"/>
    <col min="11522" max="11522" width="7.125" style="72" customWidth="1"/>
    <col min="11523" max="11539" width="3.625" style="72" customWidth="1"/>
    <col min="11540" max="11777" width="9" style="72"/>
    <col min="11778" max="11778" width="7.125" style="72" customWidth="1"/>
    <col min="11779" max="11795" width="3.625" style="72" customWidth="1"/>
    <col min="11796" max="12033" width="9" style="72"/>
    <col min="12034" max="12034" width="7.125" style="72" customWidth="1"/>
    <col min="12035" max="12051" width="3.625" style="72" customWidth="1"/>
    <col min="12052" max="12289" width="9" style="72"/>
    <col min="12290" max="12290" width="7.125" style="72" customWidth="1"/>
    <col min="12291" max="12307" width="3.625" style="72" customWidth="1"/>
    <col min="12308" max="12545" width="9" style="72"/>
    <col min="12546" max="12546" width="7.125" style="72" customWidth="1"/>
    <col min="12547" max="12563" width="3.625" style="72" customWidth="1"/>
    <col min="12564" max="12801" width="9" style="72"/>
    <col min="12802" max="12802" width="7.125" style="72" customWidth="1"/>
    <col min="12803" max="12819" width="3.625" style="72" customWidth="1"/>
    <col min="12820" max="13057" width="9" style="72"/>
    <col min="13058" max="13058" width="7.125" style="72" customWidth="1"/>
    <col min="13059" max="13075" width="3.625" style="72" customWidth="1"/>
    <col min="13076" max="13313" width="9" style="72"/>
    <col min="13314" max="13314" width="7.125" style="72" customWidth="1"/>
    <col min="13315" max="13331" width="3.625" style="72" customWidth="1"/>
    <col min="13332" max="13569" width="9" style="72"/>
    <col min="13570" max="13570" width="7.125" style="72" customWidth="1"/>
    <col min="13571" max="13587" width="3.625" style="72" customWidth="1"/>
    <col min="13588" max="13825" width="9" style="72"/>
    <col min="13826" max="13826" width="7.125" style="72" customWidth="1"/>
    <col min="13827" max="13843" width="3.625" style="72" customWidth="1"/>
    <col min="13844" max="14081" width="9" style="72"/>
    <col min="14082" max="14082" width="7.125" style="72" customWidth="1"/>
    <col min="14083" max="14099" width="3.625" style="72" customWidth="1"/>
    <col min="14100" max="14337" width="9" style="72"/>
    <col min="14338" max="14338" width="7.125" style="72" customWidth="1"/>
    <col min="14339" max="14355" width="3.625" style="72" customWidth="1"/>
    <col min="14356" max="14593" width="9" style="72"/>
    <col min="14594" max="14594" width="7.125" style="72" customWidth="1"/>
    <col min="14595" max="14611" width="3.625" style="72" customWidth="1"/>
    <col min="14612" max="14849" width="9" style="72"/>
    <col min="14850" max="14850" width="7.125" style="72" customWidth="1"/>
    <col min="14851" max="14867" width="3.625" style="72" customWidth="1"/>
    <col min="14868" max="15105" width="9" style="72"/>
    <col min="15106" max="15106" width="7.125" style="72" customWidth="1"/>
    <col min="15107" max="15123" width="3.625" style="72" customWidth="1"/>
    <col min="15124" max="15361" width="9" style="72"/>
    <col min="15362" max="15362" width="7.125" style="72" customWidth="1"/>
    <col min="15363" max="15379" width="3.625" style="72" customWidth="1"/>
    <col min="15380" max="15617" width="9" style="72"/>
    <col min="15618" max="15618" width="7.125" style="72" customWidth="1"/>
    <col min="15619" max="15635" width="3.625" style="72" customWidth="1"/>
    <col min="15636" max="15873" width="9" style="72"/>
    <col min="15874" max="15874" width="7.125" style="72" customWidth="1"/>
    <col min="15875" max="15891" width="3.625" style="72" customWidth="1"/>
    <col min="15892" max="16129" width="9" style="72"/>
    <col min="16130" max="16130" width="7.125" style="72" customWidth="1"/>
    <col min="16131" max="16147" width="3.625" style="72" customWidth="1"/>
    <col min="16148" max="16384" width="9" style="72"/>
  </cols>
  <sheetData>
    <row r="2" spans="1:19" ht="12.75" customHeight="1"/>
    <row r="3" spans="1:19" ht="24">
      <c r="A3" s="747" t="s">
        <v>46</v>
      </c>
      <c r="B3" s="747"/>
      <c r="C3" s="747"/>
      <c r="D3" s="747"/>
      <c r="E3" s="747"/>
      <c r="F3" s="747"/>
      <c r="G3" s="747"/>
      <c r="H3" s="747"/>
      <c r="I3" s="747"/>
      <c r="J3" s="747"/>
      <c r="K3" s="747"/>
      <c r="L3" s="747"/>
      <c r="M3" s="747"/>
      <c r="N3" s="747"/>
      <c r="O3" s="747"/>
      <c r="P3" s="747"/>
      <c r="Q3" s="747"/>
      <c r="R3" s="747"/>
      <c r="S3" s="747"/>
    </row>
    <row r="4" spans="1:19" ht="9.75" customHeight="1" thickBot="1"/>
    <row r="5" spans="1:19" ht="20.100000000000001" customHeight="1">
      <c r="A5" s="744" t="s">
        <v>47</v>
      </c>
      <c r="B5" s="745"/>
      <c r="C5" s="745" t="s">
        <v>74</v>
      </c>
      <c r="D5" s="745"/>
      <c r="E5" s="745"/>
      <c r="F5" s="745"/>
      <c r="G5" s="745"/>
      <c r="H5" s="745"/>
      <c r="I5" s="745"/>
      <c r="J5" s="745"/>
      <c r="K5" s="745"/>
      <c r="L5" s="745"/>
      <c r="M5" s="745"/>
      <c r="N5" s="745"/>
      <c r="O5" s="745"/>
      <c r="P5" s="745"/>
      <c r="Q5" s="745"/>
      <c r="R5" s="745"/>
      <c r="S5" s="746"/>
    </row>
    <row r="6" spans="1:19" ht="20.100000000000001" customHeight="1">
      <c r="A6" s="723" t="s">
        <v>48</v>
      </c>
      <c r="B6" s="724"/>
      <c r="C6" s="724" t="s">
        <v>461</v>
      </c>
      <c r="D6" s="724"/>
      <c r="E6" s="724"/>
      <c r="F6" s="724"/>
      <c r="G6" s="724"/>
      <c r="H6" s="724"/>
      <c r="I6" s="724"/>
      <c r="J6" s="724"/>
      <c r="K6" s="724"/>
      <c r="L6" s="724"/>
      <c r="M6" s="724"/>
      <c r="N6" s="724"/>
      <c r="O6" s="724"/>
      <c r="P6" s="724"/>
      <c r="Q6" s="724"/>
      <c r="R6" s="724"/>
      <c r="S6" s="738"/>
    </row>
    <row r="7" spans="1:19" ht="20.100000000000001" customHeight="1">
      <c r="A7" s="723" t="s">
        <v>49</v>
      </c>
      <c r="B7" s="724"/>
      <c r="C7" s="724">
        <v>201209</v>
      </c>
      <c r="D7" s="724"/>
      <c r="E7" s="724"/>
      <c r="F7" s="724"/>
      <c r="G7" s="724"/>
      <c r="H7" s="724"/>
      <c r="I7" s="724"/>
      <c r="J7" s="734" t="s">
        <v>50</v>
      </c>
      <c r="K7" s="735"/>
      <c r="L7" s="742"/>
      <c r="M7" s="724"/>
      <c r="N7" s="724"/>
      <c r="O7" s="724"/>
      <c r="P7" s="724"/>
      <c r="Q7" s="724"/>
      <c r="R7" s="724"/>
      <c r="S7" s="738"/>
    </row>
    <row r="8" spans="1:19" ht="20.100000000000001" customHeight="1">
      <c r="A8" s="723" t="s">
        <v>51</v>
      </c>
      <c r="B8" s="724"/>
      <c r="C8" s="724" t="s">
        <v>117</v>
      </c>
      <c r="D8" s="724"/>
      <c r="E8" s="724"/>
      <c r="F8" s="724"/>
      <c r="G8" s="724"/>
      <c r="H8" s="724"/>
      <c r="I8" s="724"/>
      <c r="J8" s="734" t="s">
        <v>52</v>
      </c>
      <c r="K8" s="735"/>
      <c r="L8" s="742"/>
      <c r="M8" s="724"/>
      <c r="N8" s="724"/>
      <c r="O8" s="724"/>
      <c r="P8" s="724"/>
      <c r="Q8" s="724"/>
      <c r="R8" s="724"/>
      <c r="S8" s="738"/>
    </row>
    <row r="9" spans="1:19" ht="13.5" customHeight="1">
      <c r="A9" s="739" t="s">
        <v>99</v>
      </c>
      <c r="B9" s="743"/>
      <c r="C9" s="734">
        <f>辅助!R2</f>
        <v>2917190090</v>
      </c>
      <c r="D9" s="735"/>
      <c r="E9" s="735"/>
      <c r="F9" s="735"/>
      <c r="G9" s="735"/>
      <c r="H9" s="735"/>
      <c r="I9" s="735"/>
      <c r="J9" s="735"/>
      <c r="K9" s="735"/>
      <c r="L9" s="735"/>
      <c r="M9" s="735"/>
      <c r="N9" s="735"/>
      <c r="O9" s="735"/>
      <c r="P9" s="735"/>
      <c r="Q9" s="735"/>
      <c r="R9" s="735"/>
      <c r="S9" s="736"/>
    </row>
    <row r="10" spans="1:19" ht="13.5" customHeight="1">
      <c r="A10" s="707"/>
      <c r="B10" s="708"/>
      <c r="C10" s="734">
        <f>辅助!R3</f>
        <v>2917190090</v>
      </c>
      <c r="D10" s="735"/>
      <c r="E10" s="735"/>
      <c r="F10" s="735"/>
      <c r="G10" s="735"/>
      <c r="H10" s="735"/>
      <c r="I10" s="735"/>
      <c r="J10" s="735"/>
      <c r="K10" s="735"/>
      <c r="L10" s="735"/>
      <c r="M10" s="735"/>
      <c r="N10" s="735"/>
      <c r="O10" s="735"/>
      <c r="P10" s="735"/>
      <c r="Q10" s="735"/>
      <c r="R10" s="735"/>
      <c r="S10" s="736"/>
    </row>
    <row r="11" spans="1:19" ht="13.5" customHeight="1">
      <c r="A11" s="707"/>
      <c r="B11" s="708"/>
      <c r="C11" s="734">
        <f>辅助!R4</f>
        <v>2935900090</v>
      </c>
      <c r="D11" s="735"/>
      <c r="E11" s="735"/>
      <c r="F11" s="735"/>
      <c r="G11" s="735"/>
      <c r="H11" s="735"/>
      <c r="I11" s="735"/>
      <c r="J11" s="735"/>
      <c r="K11" s="735"/>
      <c r="L11" s="735"/>
      <c r="M11" s="735"/>
      <c r="N11" s="735"/>
      <c r="O11" s="735"/>
      <c r="P11" s="735"/>
      <c r="Q11" s="735"/>
      <c r="R11" s="735"/>
      <c r="S11" s="736"/>
    </row>
    <row r="12" spans="1:19" ht="13.5" customHeight="1">
      <c r="A12" s="707"/>
      <c r="B12" s="708"/>
      <c r="C12" s="734">
        <f>辅助!R5</f>
        <v>2932999099</v>
      </c>
      <c r="D12" s="735"/>
      <c r="E12" s="735"/>
      <c r="F12" s="735"/>
      <c r="G12" s="735"/>
      <c r="H12" s="735"/>
      <c r="I12" s="735"/>
      <c r="J12" s="735"/>
      <c r="K12" s="735"/>
      <c r="L12" s="735"/>
      <c r="M12" s="735"/>
      <c r="N12" s="735"/>
      <c r="O12" s="735"/>
      <c r="P12" s="735"/>
      <c r="Q12" s="735"/>
      <c r="R12" s="735"/>
      <c r="S12" s="736"/>
    </row>
    <row r="13" spans="1:19" ht="13.5" customHeight="1">
      <c r="A13" s="707"/>
      <c r="B13" s="708"/>
      <c r="C13" s="734">
        <f>辅助!R6</f>
        <v>2903399090</v>
      </c>
      <c r="D13" s="735"/>
      <c r="E13" s="735"/>
      <c r="F13" s="735"/>
      <c r="G13" s="735"/>
      <c r="H13" s="735"/>
      <c r="I13" s="735"/>
      <c r="J13" s="735"/>
      <c r="K13" s="735"/>
      <c r="L13" s="735"/>
      <c r="M13" s="735"/>
      <c r="N13" s="735"/>
      <c r="O13" s="735"/>
      <c r="P13" s="735"/>
      <c r="Q13" s="735"/>
      <c r="R13" s="735"/>
      <c r="S13" s="736"/>
    </row>
    <row r="14" spans="1:19" ht="13.5" customHeight="1">
      <c r="A14" s="707"/>
      <c r="B14" s="708"/>
      <c r="C14" s="734">
        <f>辅助!R7</f>
        <v>2903399090</v>
      </c>
      <c r="D14" s="735"/>
      <c r="E14" s="735"/>
      <c r="F14" s="735"/>
      <c r="G14" s="735"/>
      <c r="H14" s="735"/>
      <c r="I14" s="735"/>
      <c r="J14" s="735"/>
      <c r="K14" s="735"/>
      <c r="L14" s="735"/>
      <c r="M14" s="735"/>
      <c r="N14" s="735"/>
      <c r="O14" s="735"/>
      <c r="P14" s="735"/>
      <c r="Q14" s="735"/>
      <c r="R14" s="735"/>
      <c r="S14" s="736"/>
    </row>
    <row r="15" spans="1:19" ht="13.5" customHeight="1">
      <c r="A15" s="707"/>
      <c r="B15" s="708"/>
      <c r="C15" s="734">
        <f>辅助!R8</f>
        <v>2933990099</v>
      </c>
      <c r="D15" s="735"/>
      <c r="E15" s="735"/>
      <c r="F15" s="735"/>
      <c r="G15" s="735"/>
      <c r="H15" s="735"/>
      <c r="I15" s="735"/>
      <c r="J15" s="735"/>
      <c r="K15" s="735"/>
      <c r="L15" s="735"/>
      <c r="M15" s="735"/>
      <c r="N15" s="735"/>
      <c r="O15" s="735"/>
      <c r="P15" s="735"/>
      <c r="Q15" s="735"/>
      <c r="R15" s="735"/>
      <c r="S15" s="736"/>
    </row>
    <row r="16" spans="1:19" ht="13.5" customHeight="1">
      <c r="A16" s="707"/>
      <c r="B16" s="708"/>
      <c r="C16" s="734">
        <f>辅助!R9</f>
        <v>2933990099</v>
      </c>
      <c r="D16" s="735"/>
      <c r="E16" s="735"/>
      <c r="F16" s="735"/>
      <c r="G16" s="735"/>
      <c r="H16" s="735"/>
      <c r="I16" s="735"/>
      <c r="J16" s="735"/>
      <c r="K16" s="735"/>
      <c r="L16" s="735"/>
      <c r="M16" s="735"/>
      <c r="N16" s="735"/>
      <c r="O16" s="735"/>
      <c r="P16" s="735"/>
      <c r="Q16" s="735"/>
      <c r="R16" s="735"/>
      <c r="S16" s="736"/>
    </row>
    <row r="17" spans="1:19" ht="13.5" customHeight="1">
      <c r="A17" s="739" t="s">
        <v>53</v>
      </c>
      <c r="B17" s="740"/>
      <c r="C17" s="748" t="str">
        <f>辅助!L2</f>
        <v>十三烷二酸</v>
      </c>
      <c r="D17" s="748"/>
      <c r="E17" s="748"/>
      <c r="F17" s="748"/>
      <c r="G17" s="748"/>
      <c r="H17" s="748"/>
      <c r="I17" s="748"/>
      <c r="J17" s="748"/>
      <c r="K17" s="748"/>
      <c r="L17" s="748"/>
      <c r="M17" s="748"/>
      <c r="N17" s="748"/>
      <c r="O17" s="748"/>
      <c r="P17" s="748"/>
      <c r="Q17" s="748"/>
      <c r="R17" s="748"/>
      <c r="S17" s="749"/>
    </row>
    <row r="18" spans="1:19" ht="13.5" customHeight="1">
      <c r="A18" s="707"/>
      <c r="B18" s="741"/>
      <c r="C18" s="748" t="str">
        <f>辅助!L3</f>
        <v>辛二酸单甲酯</v>
      </c>
      <c r="D18" s="748"/>
      <c r="E18" s="748"/>
      <c r="F18" s="748"/>
      <c r="G18" s="748"/>
      <c r="H18" s="748"/>
      <c r="I18" s="748"/>
      <c r="J18" s="748"/>
      <c r="K18" s="748"/>
      <c r="L18" s="748"/>
      <c r="M18" s="748"/>
      <c r="N18" s="748"/>
      <c r="O18" s="748"/>
      <c r="P18" s="748"/>
      <c r="Q18" s="748"/>
      <c r="R18" s="748"/>
      <c r="S18" s="749"/>
    </row>
    <row r="19" spans="1:19" ht="13.5" customHeight="1">
      <c r="A19" s="707"/>
      <c r="B19" s="741"/>
      <c r="C19" s="748" t="str">
        <f>辅助!L4</f>
        <v>N-甲基对甲苯磺酰胺</v>
      </c>
      <c r="D19" s="748"/>
      <c r="E19" s="748"/>
      <c r="F19" s="748"/>
      <c r="G19" s="748"/>
      <c r="H19" s="748"/>
      <c r="I19" s="748"/>
      <c r="J19" s="748"/>
      <c r="K19" s="748"/>
      <c r="L19" s="748"/>
      <c r="M19" s="748"/>
      <c r="N19" s="748"/>
      <c r="O19" s="748"/>
      <c r="P19" s="748"/>
      <c r="Q19" s="748"/>
      <c r="R19" s="748"/>
      <c r="S19" s="749"/>
    </row>
    <row r="20" spans="1:19" ht="13.5" customHeight="1">
      <c r="A20" s="707"/>
      <c r="B20" s="741"/>
      <c r="C20" s="748" t="str">
        <f>辅助!L5</f>
        <v>异山梨醇</v>
      </c>
      <c r="D20" s="748"/>
      <c r="E20" s="748"/>
      <c r="F20" s="748"/>
      <c r="G20" s="748"/>
      <c r="H20" s="748"/>
      <c r="I20" s="748"/>
      <c r="J20" s="748"/>
      <c r="K20" s="748"/>
      <c r="L20" s="748"/>
      <c r="M20" s="748"/>
      <c r="N20" s="748"/>
      <c r="O20" s="748"/>
      <c r="P20" s="748"/>
      <c r="Q20" s="748"/>
      <c r="R20" s="748"/>
      <c r="S20" s="749"/>
    </row>
    <row r="21" spans="1:19" ht="13.5" customHeight="1">
      <c r="A21" s="707"/>
      <c r="B21" s="741"/>
      <c r="C21" s="748" t="str">
        <f>辅助!L6</f>
        <v>溴代十六烷</v>
      </c>
      <c r="D21" s="748"/>
      <c r="E21" s="748"/>
      <c r="F21" s="748"/>
      <c r="G21" s="748"/>
      <c r="H21" s="748"/>
      <c r="I21" s="748"/>
      <c r="J21" s="748"/>
      <c r="K21" s="748"/>
      <c r="L21" s="748"/>
      <c r="M21" s="748"/>
      <c r="N21" s="748"/>
      <c r="O21" s="748"/>
      <c r="P21" s="748"/>
      <c r="Q21" s="748"/>
      <c r="R21" s="748"/>
      <c r="S21" s="749"/>
    </row>
    <row r="22" spans="1:19" ht="13.5" customHeight="1">
      <c r="A22" s="707"/>
      <c r="B22" s="741"/>
      <c r="C22" s="748" t="str">
        <f>辅助!L7</f>
        <v>1,4-二碘代丁烷</v>
      </c>
      <c r="D22" s="748"/>
      <c r="E22" s="748"/>
      <c r="F22" s="748"/>
      <c r="G22" s="748"/>
      <c r="H22" s="748"/>
      <c r="I22" s="748"/>
      <c r="J22" s="748"/>
      <c r="K22" s="748"/>
      <c r="L22" s="748"/>
      <c r="M22" s="748"/>
      <c r="N22" s="748"/>
      <c r="O22" s="748"/>
      <c r="P22" s="748"/>
      <c r="Q22" s="748"/>
      <c r="R22" s="748"/>
      <c r="S22" s="749"/>
    </row>
    <row r="23" spans="1:19" ht="13.5" customHeight="1">
      <c r="A23" s="707"/>
      <c r="B23" s="741"/>
      <c r="C23" s="748" t="str">
        <f>辅助!L8</f>
        <v>5-甲氧基吲哚-2-甲酸乙酯</v>
      </c>
      <c r="D23" s="748"/>
      <c r="E23" s="748"/>
      <c r="F23" s="748"/>
      <c r="G23" s="748"/>
      <c r="H23" s="748"/>
      <c r="I23" s="748"/>
      <c r="J23" s="748"/>
      <c r="K23" s="748"/>
      <c r="L23" s="748"/>
      <c r="M23" s="748"/>
      <c r="N23" s="748"/>
      <c r="O23" s="748"/>
      <c r="P23" s="748"/>
      <c r="Q23" s="748"/>
      <c r="R23" s="748"/>
      <c r="S23" s="749"/>
    </row>
    <row r="24" spans="1:19" ht="13.5" customHeight="1">
      <c r="A24" s="707"/>
      <c r="B24" s="741"/>
      <c r="C24" s="748" t="str">
        <f>辅助!L9</f>
        <v>6-氯吡嗪-2-羧酸甲酯</v>
      </c>
      <c r="D24" s="748"/>
      <c r="E24" s="748"/>
      <c r="F24" s="748"/>
      <c r="G24" s="748"/>
      <c r="H24" s="748"/>
      <c r="I24" s="748"/>
      <c r="J24" s="748"/>
      <c r="K24" s="748"/>
      <c r="L24" s="748"/>
      <c r="M24" s="748"/>
      <c r="N24" s="748"/>
      <c r="O24" s="748"/>
      <c r="P24" s="748"/>
      <c r="Q24" s="748"/>
      <c r="R24" s="748"/>
      <c r="S24" s="749"/>
    </row>
    <row r="25" spans="1:19" ht="17.25" customHeight="1">
      <c r="A25" s="723" t="s">
        <v>54</v>
      </c>
      <c r="B25" s="724"/>
      <c r="C25" s="737">
        <v>0.99</v>
      </c>
      <c r="D25" s="724"/>
      <c r="E25" s="724"/>
      <c r="F25" s="724"/>
      <c r="G25" s="724"/>
      <c r="H25" s="724"/>
      <c r="I25" s="724"/>
      <c r="J25" s="724"/>
      <c r="K25" s="724"/>
      <c r="L25" s="724"/>
      <c r="M25" s="724"/>
      <c r="N25" s="724"/>
      <c r="O25" s="724"/>
      <c r="P25" s="724"/>
      <c r="Q25" s="724"/>
      <c r="R25" s="724"/>
      <c r="S25" s="738"/>
    </row>
    <row r="26" spans="1:19" ht="17.25" customHeight="1">
      <c r="A26" s="723" t="s">
        <v>55</v>
      </c>
      <c r="B26" s="724"/>
      <c r="C26" s="724"/>
      <c r="D26" s="724"/>
      <c r="E26" s="724"/>
      <c r="F26" s="724"/>
      <c r="G26" s="724"/>
      <c r="H26" s="724"/>
      <c r="I26" s="724"/>
      <c r="J26" s="724"/>
      <c r="K26" s="724"/>
      <c r="L26" s="724"/>
      <c r="M26" s="724"/>
      <c r="N26" s="724"/>
      <c r="O26" s="724"/>
      <c r="P26" s="724"/>
      <c r="Q26" s="724"/>
      <c r="R26" s="724"/>
      <c r="S26" s="738"/>
    </row>
    <row r="27" spans="1:19" ht="17.25" customHeight="1">
      <c r="A27" s="723" t="s">
        <v>56</v>
      </c>
      <c r="B27" s="724"/>
      <c r="C27" s="724"/>
      <c r="D27" s="724"/>
      <c r="E27" s="724"/>
      <c r="F27" s="724"/>
      <c r="G27" s="724"/>
      <c r="H27" s="724"/>
      <c r="I27" s="724"/>
      <c r="J27" s="724"/>
      <c r="K27" s="724"/>
      <c r="L27" s="724"/>
      <c r="M27" s="724"/>
      <c r="N27" s="724"/>
      <c r="O27" s="724"/>
      <c r="P27" s="724"/>
      <c r="Q27" s="724"/>
      <c r="R27" s="724"/>
      <c r="S27" s="738"/>
    </row>
    <row r="28" spans="1:19" ht="17.25" customHeight="1" thickBot="1">
      <c r="A28" s="725" t="s">
        <v>57</v>
      </c>
      <c r="B28" s="726"/>
      <c r="C28" s="726" t="s">
        <v>58</v>
      </c>
      <c r="D28" s="726"/>
      <c r="E28" s="726"/>
      <c r="F28" s="726"/>
      <c r="G28" s="726"/>
      <c r="H28" s="726"/>
      <c r="I28" s="726"/>
      <c r="J28" s="726"/>
      <c r="K28" s="726"/>
      <c r="L28" s="726"/>
      <c r="M28" s="726"/>
      <c r="N28" s="726"/>
      <c r="O28" s="726"/>
      <c r="P28" s="726"/>
      <c r="Q28" s="726"/>
      <c r="R28" s="726"/>
      <c r="S28" s="730"/>
    </row>
    <row r="29" spans="1:19" ht="20.100000000000001" customHeight="1" thickTop="1">
      <c r="A29" s="731" t="s">
        <v>59</v>
      </c>
      <c r="B29" s="732"/>
      <c r="C29" s="732"/>
      <c r="D29" s="732"/>
      <c r="E29" s="732"/>
      <c r="F29" s="732"/>
      <c r="G29" s="732"/>
      <c r="H29" s="732"/>
      <c r="I29" s="732"/>
      <c r="J29" s="732"/>
      <c r="K29" s="732"/>
      <c r="L29" s="732"/>
      <c r="M29" s="732"/>
      <c r="N29" s="732"/>
      <c r="O29" s="732"/>
      <c r="P29" s="732"/>
      <c r="Q29" s="732"/>
      <c r="R29" s="732"/>
      <c r="S29" s="733"/>
    </row>
    <row r="30" spans="1:19" ht="20.100000000000001" customHeight="1">
      <c r="A30" s="723" t="s">
        <v>60</v>
      </c>
      <c r="B30" s="724"/>
      <c r="C30" s="314"/>
      <c r="D30" s="315"/>
      <c r="E30" s="315"/>
      <c r="F30" s="315" t="s">
        <v>61</v>
      </c>
      <c r="G30" s="315"/>
      <c r="H30" s="315"/>
      <c r="I30" s="315"/>
      <c r="J30" s="315"/>
      <c r="K30" s="315"/>
      <c r="L30" s="315"/>
      <c r="M30" s="315" t="s">
        <v>62</v>
      </c>
      <c r="N30" s="315"/>
      <c r="O30" s="315"/>
      <c r="P30" s="315"/>
      <c r="Q30" s="315"/>
      <c r="R30" s="315"/>
      <c r="S30" s="316"/>
    </row>
    <row r="31" spans="1:19" ht="20.100000000000001" customHeight="1">
      <c r="A31" s="723" t="s">
        <v>63</v>
      </c>
      <c r="B31" s="724"/>
      <c r="C31" s="314"/>
      <c r="D31" s="315"/>
      <c r="E31" s="315"/>
      <c r="F31" s="315" t="s">
        <v>61</v>
      </c>
      <c r="G31" s="315"/>
      <c r="H31" s="315"/>
      <c r="I31" s="315"/>
      <c r="J31" s="315"/>
      <c r="K31" s="315"/>
      <c r="L31" s="315"/>
      <c r="M31" s="315" t="s">
        <v>62</v>
      </c>
      <c r="N31" s="315"/>
      <c r="O31" s="315"/>
      <c r="P31" s="315"/>
      <c r="Q31" s="315"/>
      <c r="R31" s="315"/>
      <c r="S31" s="316"/>
    </row>
    <row r="32" spans="1:19" ht="20.100000000000001" customHeight="1">
      <c r="A32" s="723" t="s">
        <v>64</v>
      </c>
      <c r="B32" s="724"/>
      <c r="C32" s="314"/>
      <c r="D32" s="315"/>
      <c r="E32" s="315"/>
      <c r="F32" s="315" t="s">
        <v>61</v>
      </c>
      <c r="G32" s="315"/>
      <c r="H32" s="315"/>
      <c r="I32" s="315"/>
      <c r="J32" s="315"/>
      <c r="K32" s="315"/>
      <c r="L32" s="315"/>
      <c r="M32" s="315" t="s">
        <v>62</v>
      </c>
      <c r="N32" s="315"/>
      <c r="O32" s="315"/>
      <c r="P32" s="315"/>
      <c r="Q32" s="315"/>
      <c r="R32" s="315"/>
      <c r="S32" s="316"/>
    </row>
    <row r="33" spans="1:19" ht="20.100000000000001" customHeight="1">
      <c r="A33" s="723" t="s">
        <v>65</v>
      </c>
      <c r="B33" s="724"/>
      <c r="C33" s="314"/>
      <c r="D33" s="315"/>
      <c r="E33" s="315"/>
      <c r="F33" s="315" t="s">
        <v>61</v>
      </c>
      <c r="G33" s="315"/>
      <c r="H33" s="315"/>
      <c r="I33" s="315"/>
      <c r="J33" s="315"/>
      <c r="K33" s="315"/>
      <c r="L33" s="315"/>
      <c r="M33" s="315" t="s">
        <v>62</v>
      </c>
      <c r="N33" s="315"/>
      <c r="O33" s="315"/>
      <c r="P33" s="315"/>
      <c r="Q33" s="315"/>
      <c r="R33" s="315"/>
      <c r="S33" s="316"/>
    </row>
    <row r="34" spans="1:19" ht="20.100000000000001" customHeight="1">
      <c r="A34" s="723" t="s">
        <v>66</v>
      </c>
      <c r="B34" s="724"/>
      <c r="C34" s="315"/>
      <c r="D34" s="315"/>
      <c r="E34" s="315"/>
      <c r="F34" s="315" t="s">
        <v>61</v>
      </c>
      <c r="G34" s="315"/>
      <c r="H34" s="315"/>
      <c r="I34" s="315"/>
      <c r="J34" s="315"/>
      <c r="K34" s="315"/>
      <c r="L34" s="315"/>
      <c r="M34" s="315" t="s">
        <v>62</v>
      </c>
      <c r="N34" s="315"/>
      <c r="O34" s="315"/>
      <c r="P34" s="315"/>
      <c r="Q34" s="315"/>
      <c r="R34" s="315"/>
      <c r="S34" s="316"/>
    </row>
    <row r="35" spans="1:19" ht="19.5" customHeight="1" thickBot="1">
      <c r="A35" s="725" t="s">
        <v>67</v>
      </c>
      <c r="B35" s="726"/>
      <c r="C35" s="45"/>
      <c r="D35" s="45"/>
      <c r="E35" s="45"/>
      <c r="F35" s="45" t="s">
        <v>61</v>
      </c>
      <c r="G35" s="45"/>
      <c r="H35" s="45"/>
      <c r="I35" s="45"/>
      <c r="J35" s="45"/>
      <c r="K35" s="45"/>
      <c r="L35" s="45"/>
      <c r="M35" s="45" t="s">
        <v>62</v>
      </c>
      <c r="N35" s="45"/>
      <c r="O35" s="45"/>
      <c r="P35" s="45"/>
      <c r="Q35" s="45"/>
      <c r="R35" s="45"/>
      <c r="S35" s="46"/>
    </row>
    <row r="36" spans="1:19" ht="15" thickTop="1">
      <c r="A36" s="727" t="s">
        <v>68</v>
      </c>
      <c r="B36" s="728"/>
      <c r="C36" s="728"/>
      <c r="D36" s="728"/>
      <c r="E36" s="728"/>
      <c r="F36" s="728"/>
      <c r="G36" s="728"/>
      <c r="H36" s="728"/>
      <c r="I36" s="728"/>
      <c r="J36" s="728"/>
      <c r="K36" s="728"/>
      <c r="L36" s="728"/>
      <c r="M36" s="728"/>
      <c r="N36" s="728"/>
      <c r="O36" s="728"/>
      <c r="P36" s="728"/>
      <c r="Q36" s="728"/>
      <c r="R36" s="728"/>
      <c r="S36" s="729"/>
    </row>
    <row r="37" spans="1:19" ht="8.25" customHeight="1">
      <c r="A37" s="707"/>
      <c r="B37" s="708"/>
      <c r="C37" s="708"/>
      <c r="D37" s="708"/>
      <c r="E37" s="708"/>
      <c r="F37" s="708"/>
      <c r="G37" s="708"/>
      <c r="H37" s="708"/>
      <c r="I37" s="708"/>
      <c r="J37" s="708"/>
      <c r="K37" s="708"/>
      <c r="L37" s="708"/>
      <c r="M37" s="708"/>
      <c r="N37" s="708"/>
      <c r="O37" s="708"/>
      <c r="P37" s="708"/>
      <c r="Q37" s="708"/>
      <c r="R37" s="708"/>
      <c r="S37" s="709"/>
    </row>
    <row r="38" spans="1:19" ht="8.25" customHeight="1">
      <c r="A38" s="707"/>
      <c r="B38" s="708"/>
      <c r="C38" s="708"/>
      <c r="D38" s="708"/>
      <c r="E38" s="708"/>
      <c r="F38" s="708"/>
      <c r="G38" s="708"/>
      <c r="H38" s="708"/>
      <c r="I38" s="708"/>
      <c r="J38" s="708"/>
      <c r="K38" s="708"/>
      <c r="L38" s="708"/>
      <c r="M38" s="708"/>
      <c r="N38" s="708"/>
      <c r="O38" s="708"/>
      <c r="P38" s="708"/>
      <c r="Q38" s="708"/>
      <c r="R38" s="708"/>
      <c r="S38" s="709"/>
    </row>
    <row r="39" spans="1:19" ht="8.25" customHeight="1">
      <c r="A39" s="707"/>
      <c r="B39" s="708"/>
      <c r="C39" s="708"/>
      <c r="D39" s="708"/>
      <c r="E39" s="708"/>
      <c r="F39" s="708"/>
      <c r="G39" s="708"/>
      <c r="H39" s="708"/>
      <c r="I39" s="708"/>
      <c r="J39" s="708"/>
      <c r="K39" s="708"/>
      <c r="L39" s="708"/>
      <c r="M39" s="708"/>
      <c r="N39" s="708"/>
      <c r="O39" s="708"/>
      <c r="P39" s="708"/>
      <c r="Q39" s="708"/>
      <c r="R39" s="708"/>
      <c r="S39" s="709"/>
    </row>
    <row r="40" spans="1:19" ht="8.25" customHeight="1">
      <c r="A40" s="707"/>
      <c r="B40" s="708"/>
      <c r="C40" s="708"/>
      <c r="D40" s="708"/>
      <c r="E40" s="708"/>
      <c r="F40" s="708"/>
      <c r="G40" s="708"/>
      <c r="H40" s="708"/>
      <c r="I40" s="708"/>
      <c r="J40" s="708"/>
      <c r="K40" s="708"/>
      <c r="L40" s="708"/>
      <c r="M40" s="708"/>
      <c r="N40" s="708"/>
      <c r="O40" s="708"/>
      <c r="P40" s="708"/>
      <c r="Q40" s="708"/>
      <c r="R40" s="708"/>
      <c r="S40" s="709"/>
    </row>
    <row r="41" spans="1:19" ht="8.25" customHeight="1">
      <c r="A41" s="707"/>
      <c r="B41" s="708"/>
      <c r="C41" s="708"/>
      <c r="D41" s="708"/>
      <c r="E41" s="708"/>
      <c r="F41" s="708"/>
      <c r="G41" s="708"/>
      <c r="H41" s="708"/>
      <c r="I41" s="708"/>
      <c r="J41" s="708"/>
      <c r="K41" s="708"/>
      <c r="L41" s="708"/>
      <c r="M41" s="708"/>
      <c r="N41" s="708"/>
      <c r="O41" s="708"/>
      <c r="P41" s="708"/>
      <c r="Q41" s="708"/>
      <c r="R41" s="708"/>
      <c r="S41" s="709"/>
    </row>
    <row r="42" spans="1:19" ht="8.25" customHeight="1">
      <c r="A42" s="707"/>
      <c r="B42" s="708"/>
      <c r="C42" s="708"/>
      <c r="D42" s="708"/>
      <c r="E42" s="708"/>
      <c r="F42" s="708"/>
      <c r="G42" s="708"/>
      <c r="H42" s="708"/>
      <c r="I42" s="708"/>
      <c r="J42" s="708"/>
      <c r="K42" s="708"/>
      <c r="L42" s="708"/>
      <c r="M42" s="708"/>
      <c r="N42" s="708"/>
      <c r="O42" s="708"/>
      <c r="P42" s="708"/>
      <c r="Q42" s="708"/>
      <c r="R42" s="708"/>
      <c r="S42" s="709"/>
    </row>
    <row r="43" spans="1:19" ht="8.25" customHeight="1" thickBot="1">
      <c r="A43" s="710"/>
      <c r="B43" s="711"/>
      <c r="C43" s="711"/>
      <c r="D43" s="711"/>
      <c r="E43" s="711"/>
      <c r="F43" s="711"/>
      <c r="G43" s="711"/>
      <c r="H43" s="711"/>
      <c r="I43" s="711"/>
      <c r="J43" s="711"/>
      <c r="K43" s="711"/>
      <c r="L43" s="711"/>
      <c r="M43" s="711"/>
      <c r="N43" s="711"/>
      <c r="O43" s="711"/>
      <c r="P43" s="711"/>
      <c r="Q43" s="711"/>
      <c r="R43" s="711"/>
      <c r="S43" s="712"/>
    </row>
    <row r="44" spans="1:19" ht="20.100000000000001" customHeight="1" thickTop="1">
      <c r="A44" s="713" t="s">
        <v>69</v>
      </c>
      <c r="B44" s="714"/>
      <c r="C44" s="714"/>
      <c r="D44" s="714"/>
      <c r="E44" s="714"/>
      <c r="F44" s="714"/>
      <c r="G44" s="714"/>
      <c r="H44" s="714"/>
      <c r="I44" s="714"/>
      <c r="J44" s="714"/>
      <c r="K44" s="714"/>
      <c r="L44" s="714"/>
      <c r="M44" s="714"/>
      <c r="N44" s="714"/>
      <c r="O44" s="714"/>
      <c r="P44" s="714"/>
      <c r="Q44" s="714"/>
      <c r="R44" s="714"/>
      <c r="S44" s="715"/>
    </row>
    <row r="45" spans="1:19" ht="12" customHeight="1">
      <c r="A45" s="707"/>
      <c r="B45" s="708"/>
      <c r="C45" s="708"/>
      <c r="D45" s="708"/>
      <c r="E45" s="708"/>
      <c r="F45" s="708"/>
      <c r="G45" s="708"/>
      <c r="H45" s="708"/>
      <c r="I45" s="708"/>
      <c r="J45" s="708"/>
      <c r="K45" s="708"/>
      <c r="L45" s="708"/>
      <c r="M45" s="708"/>
      <c r="N45" s="708"/>
      <c r="O45" s="708"/>
      <c r="P45" s="708"/>
      <c r="Q45" s="708"/>
      <c r="R45" s="708"/>
      <c r="S45" s="709"/>
    </row>
    <row r="46" spans="1:19" ht="12" customHeight="1">
      <c r="A46" s="707"/>
      <c r="B46" s="708"/>
      <c r="C46" s="708"/>
      <c r="D46" s="708"/>
      <c r="E46" s="708"/>
      <c r="F46" s="708"/>
      <c r="G46" s="708"/>
      <c r="H46" s="708"/>
      <c r="I46" s="708"/>
      <c r="J46" s="708"/>
      <c r="K46" s="708"/>
      <c r="L46" s="708"/>
      <c r="M46" s="708"/>
      <c r="N46" s="708"/>
      <c r="O46" s="708"/>
      <c r="P46" s="708"/>
      <c r="Q46" s="708"/>
      <c r="R46" s="708"/>
      <c r="S46" s="709"/>
    </row>
    <row r="47" spans="1:19" ht="12" customHeight="1">
      <c r="A47" s="707"/>
      <c r="B47" s="708"/>
      <c r="C47" s="708"/>
      <c r="D47" s="708"/>
      <c r="E47" s="708"/>
      <c r="F47" s="708"/>
      <c r="G47" s="708"/>
      <c r="H47" s="708"/>
      <c r="I47" s="708"/>
      <c r="J47" s="708"/>
      <c r="K47" s="708"/>
      <c r="L47" s="708"/>
      <c r="M47" s="708"/>
      <c r="N47" s="708"/>
      <c r="O47" s="708"/>
      <c r="P47" s="708"/>
      <c r="Q47" s="708"/>
      <c r="R47" s="708"/>
      <c r="S47" s="709"/>
    </row>
    <row r="48" spans="1:19" ht="12" customHeight="1">
      <c r="A48" s="707"/>
      <c r="B48" s="708"/>
      <c r="C48" s="708"/>
      <c r="D48" s="708"/>
      <c r="E48" s="708"/>
      <c r="F48" s="708"/>
      <c r="G48" s="708"/>
      <c r="H48" s="708"/>
      <c r="I48" s="708"/>
      <c r="J48" s="708"/>
      <c r="K48" s="708"/>
      <c r="L48" s="708"/>
      <c r="M48" s="708"/>
      <c r="N48" s="708"/>
      <c r="O48" s="708"/>
      <c r="P48" s="708"/>
      <c r="Q48" s="708"/>
      <c r="R48" s="708"/>
      <c r="S48" s="709"/>
    </row>
    <row r="49" spans="1:19" ht="12" customHeight="1" thickBot="1">
      <c r="A49" s="716"/>
      <c r="B49" s="717"/>
      <c r="C49" s="717"/>
      <c r="D49" s="717"/>
      <c r="E49" s="717"/>
      <c r="F49" s="717"/>
      <c r="G49" s="717"/>
      <c r="H49" s="717"/>
      <c r="I49" s="717"/>
      <c r="J49" s="717"/>
      <c r="K49" s="717"/>
      <c r="L49" s="717"/>
      <c r="M49" s="717"/>
      <c r="N49" s="717"/>
      <c r="O49" s="717"/>
      <c r="P49" s="717"/>
      <c r="Q49" s="717"/>
      <c r="R49" s="717"/>
      <c r="S49" s="718"/>
    </row>
    <row r="50" spans="1:19" ht="19.5" customHeight="1">
      <c r="A50" s="719" t="s">
        <v>98</v>
      </c>
      <c r="B50" s="720"/>
      <c r="C50" s="720"/>
      <c r="D50" s="720"/>
      <c r="E50" s="720"/>
      <c r="F50" s="720"/>
      <c r="G50" s="720"/>
      <c r="H50" s="720"/>
      <c r="I50" s="720"/>
      <c r="J50" s="720"/>
      <c r="K50" s="720"/>
      <c r="L50" s="720"/>
      <c r="M50" s="720"/>
      <c r="N50" s="720"/>
      <c r="O50" s="720"/>
      <c r="P50" s="720"/>
      <c r="Q50" s="720"/>
      <c r="R50" s="720"/>
      <c r="S50" s="721"/>
    </row>
    <row r="51" spans="1:19" ht="19.5" customHeight="1" thickBot="1">
      <c r="A51" s="722">
        <f ca="1">TODAY()</f>
        <v>43839</v>
      </c>
      <c r="B51" s="717"/>
      <c r="C51" s="717"/>
      <c r="D51" s="717"/>
      <c r="E51" s="717"/>
      <c r="F51" s="717"/>
      <c r="G51" s="717"/>
      <c r="H51" s="717"/>
      <c r="I51" s="717"/>
      <c r="J51" s="717"/>
      <c r="K51" s="717"/>
      <c r="L51" s="717"/>
      <c r="M51" s="717"/>
      <c r="N51" s="717"/>
      <c r="O51" s="717"/>
      <c r="P51" s="717"/>
      <c r="Q51" s="717"/>
      <c r="R51" s="717"/>
      <c r="S51" s="718"/>
    </row>
    <row r="53" spans="1:19" ht="12.75" customHeight="1"/>
    <row r="54" spans="1:19" ht="24">
      <c r="A54" s="747" t="s">
        <v>46</v>
      </c>
      <c r="B54" s="747"/>
      <c r="C54" s="747"/>
      <c r="D54" s="747"/>
      <c r="E54" s="747"/>
      <c r="F54" s="747"/>
      <c r="G54" s="747"/>
      <c r="H54" s="747"/>
      <c r="I54" s="747"/>
      <c r="J54" s="747"/>
      <c r="K54" s="747"/>
      <c r="L54" s="747"/>
      <c r="M54" s="747"/>
      <c r="N54" s="747"/>
      <c r="O54" s="747"/>
      <c r="P54" s="747"/>
      <c r="Q54" s="747"/>
      <c r="R54" s="747"/>
      <c r="S54" s="747"/>
    </row>
    <row r="55" spans="1:19" ht="9.75" customHeight="1" thickBot="1"/>
    <row r="56" spans="1:19" ht="20.100000000000001" customHeight="1">
      <c r="A56" s="744" t="s">
        <v>47</v>
      </c>
      <c r="B56" s="745"/>
      <c r="C56" s="745" t="s">
        <v>74</v>
      </c>
      <c r="D56" s="745"/>
      <c r="E56" s="745"/>
      <c r="F56" s="745"/>
      <c r="G56" s="745"/>
      <c r="H56" s="745"/>
      <c r="I56" s="745"/>
      <c r="J56" s="745"/>
      <c r="K56" s="745"/>
      <c r="L56" s="745"/>
      <c r="M56" s="745"/>
      <c r="N56" s="745"/>
      <c r="O56" s="745"/>
      <c r="P56" s="745"/>
      <c r="Q56" s="745"/>
      <c r="R56" s="745"/>
      <c r="S56" s="746"/>
    </row>
    <row r="57" spans="1:19" ht="20.100000000000001" customHeight="1">
      <c r="A57" s="723" t="s">
        <v>48</v>
      </c>
      <c r="B57" s="724"/>
      <c r="C57" s="724" t="s">
        <v>461</v>
      </c>
      <c r="D57" s="724"/>
      <c r="E57" s="724"/>
      <c r="F57" s="724"/>
      <c r="G57" s="724"/>
      <c r="H57" s="724"/>
      <c r="I57" s="724"/>
      <c r="J57" s="724"/>
      <c r="K57" s="724"/>
      <c r="L57" s="724"/>
      <c r="M57" s="724"/>
      <c r="N57" s="724"/>
      <c r="O57" s="724"/>
      <c r="P57" s="724"/>
      <c r="Q57" s="724"/>
      <c r="R57" s="724"/>
      <c r="S57" s="738"/>
    </row>
    <row r="58" spans="1:19" ht="20.100000000000001" customHeight="1">
      <c r="A58" s="723" t="s">
        <v>49</v>
      </c>
      <c r="B58" s="724"/>
      <c r="C58" s="724">
        <v>201209</v>
      </c>
      <c r="D58" s="724"/>
      <c r="E58" s="724"/>
      <c r="F58" s="724"/>
      <c r="G58" s="724"/>
      <c r="H58" s="724"/>
      <c r="I58" s="724"/>
      <c r="J58" s="734" t="s">
        <v>50</v>
      </c>
      <c r="K58" s="735"/>
      <c r="L58" s="742"/>
      <c r="M58" s="724"/>
      <c r="N58" s="724"/>
      <c r="O58" s="724"/>
      <c r="P58" s="724"/>
      <c r="Q58" s="724"/>
      <c r="R58" s="724"/>
      <c r="S58" s="738"/>
    </row>
    <row r="59" spans="1:19" ht="20.100000000000001" customHeight="1">
      <c r="A59" s="723" t="s">
        <v>51</v>
      </c>
      <c r="B59" s="724"/>
      <c r="C59" s="724" t="s">
        <v>117</v>
      </c>
      <c r="D59" s="724"/>
      <c r="E59" s="724"/>
      <c r="F59" s="724"/>
      <c r="G59" s="724"/>
      <c r="H59" s="724"/>
      <c r="I59" s="724"/>
      <c r="J59" s="734" t="s">
        <v>52</v>
      </c>
      <c r="K59" s="735"/>
      <c r="L59" s="742"/>
      <c r="M59" s="724"/>
      <c r="N59" s="724"/>
      <c r="O59" s="724"/>
      <c r="P59" s="724"/>
      <c r="Q59" s="724"/>
      <c r="R59" s="724"/>
      <c r="S59" s="738"/>
    </row>
    <row r="60" spans="1:19" ht="13.5" customHeight="1">
      <c r="A60" s="739" t="s">
        <v>99</v>
      </c>
      <c r="B60" s="743"/>
      <c r="C60" s="734">
        <f>辅助!R10</f>
        <v>2903999090</v>
      </c>
      <c r="D60" s="735"/>
      <c r="E60" s="735"/>
      <c r="F60" s="735"/>
      <c r="G60" s="735"/>
      <c r="H60" s="735"/>
      <c r="I60" s="735"/>
      <c r="J60" s="735"/>
      <c r="K60" s="735"/>
      <c r="L60" s="735"/>
      <c r="M60" s="735"/>
      <c r="N60" s="735"/>
      <c r="O60" s="735"/>
      <c r="P60" s="735"/>
      <c r="Q60" s="735"/>
      <c r="R60" s="735"/>
      <c r="S60" s="736"/>
    </row>
    <row r="61" spans="1:19" ht="13.5" customHeight="1">
      <c r="A61" s="707"/>
      <c r="B61" s="708"/>
      <c r="C61" s="734">
        <f>辅助!R11</f>
        <v>2916399090</v>
      </c>
      <c r="D61" s="735"/>
      <c r="E61" s="735"/>
      <c r="F61" s="735"/>
      <c r="G61" s="735"/>
      <c r="H61" s="735"/>
      <c r="I61" s="735"/>
      <c r="J61" s="735"/>
      <c r="K61" s="735"/>
      <c r="L61" s="735"/>
      <c r="M61" s="735"/>
      <c r="N61" s="735"/>
      <c r="O61" s="735"/>
      <c r="P61" s="735"/>
      <c r="Q61" s="735"/>
      <c r="R61" s="735"/>
      <c r="S61" s="736"/>
    </row>
    <row r="62" spans="1:19" ht="13.5" customHeight="1">
      <c r="A62" s="707"/>
      <c r="B62" s="708"/>
      <c r="C62" s="734" t="str">
        <f>辅助!R12</f>
        <v/>
      </c>
      <c r="D62" s="735"/>
      <c r="E62" s="735"/>
      <c r="F62" s="735"/>
      <c r="G62" s="735"/>
      <c r="H62" s="735"/>
      <c r="I62" s="735"/>
      <c r="J62" s="735"/>
      <c r="K62" s="735"/>
      <c r="L62" s="735"/>
      <c r="M62" s="735"/>
      <c r="N62" s="735"/>
      <c r="O62" s="735"/>
      <c r="P62" s="735"/>
      <c r="Q62" s="735"/>
      <c r="R62" s="735"/>
      <c r="S62" s="736"/>
    </row>
    <row r="63" spans="1:19" ht="13.5" customHeight="1">
      <c r="A63" s="707"/>
      <c r="B63" s="708"/>
      <c r="C63" s="734" t="str">
        <f>辅助!R13</f>
        <v/>
      </c>
      <c r="D63" s="735"/>
      <c r="E63" s="735"/>
      <c r="F63" s="735"/>
      <c r="G63" s="735"/>
      <c r="H63" s="735"/>
      <c r="I63" s="735"/>
      <c r="J63" s="735"/>
      <c r="K63" s="735"/>
      <c r="L63" s="735"/>
      <c r="M63" s="735"/>
      <c r="N63" s="735"/>
      <c r="O63" s="735"/>
      <c r="P63" s="735"/>
      <c r="Q63" s="735"/>
      <c r="R63" s="735"/>
      <c r="S63" s="736"/>
    </row>
    <row r="64" spans="1:19" ht="13.5" customHeight="1">
      <c r="A64" s="707"/>
      <c r="B64" s="708"/>
      <c r="C64" s="734" t="str">
        <f>辅助!R14</f>
        <v/>
      </c>
      <c r="D64" s="735"/>
      <c r="E64" s="735"/>
      <c r="F64" s="735"/>
      <c r="G64" s="735"/>
      <c r="H64" s="735"/>
      <c r="I64" s="735"/>
      <c r="J64" s="735"/>
      <c r="K64" s="735"/>
      <c r="L64" s="735"/>
      <c r="M64" s="735"/>
      <c r="N64" s="735"/>
      <c r="O64" s="735"/>
      <c r="P64" s="735"/>
      <c r="Q64" s="735"/>
      <c r="R64" s="735"/>
      <c r="S64" s="736"/>
    </row>
    <row r="65" spans="1:19" ht="13.5" customHeight="1">
      <c r="A65" s="707"/>
      <c r="B65" s="708"/>
      <c r="C65" s="734" t="str">
        <f>辅助!R15</f>
        <v/>
      </c>
      <c r="D65" s="735"/>
      <c r="E65" s="735"/>
      <c r="F65" s="735"/>
      <c r="G65" s="735"/>
      <c r="H65" s="735"/>
      <c r="I65" s="735"/>
      <c r="J65" s="735"/>
      <c r="K65" s="735"/>
      <c r="L65" s="735"/>
      <c r="M65" s="735"/>
      <c r="N65" s="735"/>
      <c r="O65" s="735"/>
      <c r="P65" s="735"/>
      <c r="Q65" s="735"/>
      <c r="R65" s="735"/>
      <c r="S65" s="736"/>
    </row>
    <row r="66" spans="1:19" ht="13.5" customHeight="1">
      <c r="A66" s="707"/>
      <c r="B66" s="708"/>
      <c r="C66" s="734" t="str">
        <f>辅助!R16</f>
        <v/>
      </c>
      <c r="D66" s="735"/>
      <c r="E66" s="735"/>
      <c r="F66" s="735"/>
      <c r="G66" s="735"/>
      <c r="H66" s="735"/>
      <c r="I66" s="735"/>
      <c r="J66" s="735"/>
      <c r="K66" s="735"/>
      <c r="L66" s="735"/>
      <c r="M66" s="735"/>
      <c r="N66" s="735"/>
      <c r="O66" s="735"/>
      <c r="P66" s="735"/>
      <c r="Q66" s="735"/>
      <c r="R66" s="735"/>
      <c r="S66" s="736"/>
    </row>
    <row r="67" spans="1:19" ht="13.5" customHeight="1">
      <c r="A67" s="707"/>
      <c r="B67" s="708"/>
      <c r="C67" s="734" t="str">
        <f>辅助!R17</f>
        <v/>
      </c>
      <c r="D67" s="735"/>
      <c r="E67" s="735"/>
      <c r="F67" s="735"/>
      <c r="G67" s="735"/>
      <c r="H67" s="735"/>
      <c r="I67" s="735"/>
      <c r="J67" s="735"/>
      <c r="K67" s="735"/>
      <c r="L67" s="735"/>
      <c r="M67" s="735"/>
      <c r="N67" s="735"/>
      <c r="O67" s="735"/>
      <c r="P67" s="735"/>
      <c r="Q67" s="735"/>
      <c r="R67" s="735"/>
      <c r="S67" s="736"/>
    </row>
    <row r="68" spans="1:19" ht="13.5" customHeight="1">
      <c r="A68" s="739" t="s">
        <v>53</v>
      </c>
      <c r="B68" s="740"/>
      <c r="C68" s="748" t="str">
        <f>辅助!L10</f>
        <v>2-氟-5-碘硝基苯</v>
      </c>
      <c r="D68" s="748"/>
      <c r="E68" s="748"/>
      <c r="F68" s="748"/>
      <c r="G68" s="748"/>
      <c r="H68" s="748"/>
      <c r="I68" s="748"/>
      <c r="J68" s="748"/>
      <c r="K68" s="748"/>
      <c r="L68" s="748"/>
      <c r="M68" s="748"/>
      <c r="N68" s="748"/>
      <c r="O68" s="748"/>
      <c r="P68" s="748"/>
      <c r="Q68" s="748"/>
      <c r="R68" s="748"/>
      <c r="S68" s="749"/>
    </row>
    <row r="69" spans="1:19" ht="13.5" customHeight="1">
      <c r="A69" s="707"/>
      <c r="B69" s="741"/>
      <c r="C69" s="748" t="str">
        <f>辅助!L11</f>
        <v>2,4-双(三氟甲基)苯乙酸</v>
      </c>
      <c r="D69" s="748"/>
      <c r="E69" s="748"/>
      <c r="F69" s="748"/>
      <c r="G69" s="748"/>
      <c r="H69" s="748"/>
      <c r="I69" s="748"/>
      <c r="J69" s="748"/>
      <c r="K69" s="748"/>
      <c r="L69" s="748"/>
      <c r="M69" s="748"/>
      <c r="N69" s="748"/>
      <c r="O69" s="748"/>
      <c r="P69" s="748"/>
      <c r="Q69" s="748"/>
      <c r="R69" s="748"/>
      <c r="S69" s="749"/>
    </row>
    <row r="70" spans="1:19" ht="13.5" customHeight="1">
      <c r="A70" s="707"/>
      <c r="B70" s="741"/>
      <c r="C70" s="748" t="str">
        <f>辅助!L12</f>
        <v/>
      </c>
      <c r="D70" s="748"/>
      <c r="E70" s="748"/>
      <c r="F70" s="748"/>
      <c r="G70" s="748"/>
      <c r="H70" s="748"/>
      <c r="I70" s="748"/>
      <c r="J70" s="748"/>
      <c r="K70" s="748"/>
      <c r="L70" s="748"/>
      <c r="M70" s="748"/>
      <c r="N70" s="748"/>
      <c r="O70" s="748"/>
      <c r="P70" s="748"/>
      <c r="Q70" s="748"/>
      <c r="R70" s="748"/>
      <c r="S70" s="749"/>
    </row>
    <row r="71" spans="1:19" ht="13.5" customHeight="1">
      <c r="A71" s="707"/>
      <c r="B71" s="741"/>
      <c r="C71" s="748" t="str">
        <f>辅助!L13</f>
        <v/>
      </c>
      <c r="D71" s="748"/>
      <c r="E71" s="748"/>
      <c r="F71" s="748"/>
      <c r="G71" s="748"/>
      <c r="H71" s="748"/>
      <c r="I71" s="748"/>
      <c r="J71" s="748"/>
      <c r="K71" s="748"/>
      <c r="L71" s="748"/>
      <c r="M71" s="748"/>
      <c r="N71" s="748"/>
      <c r="O71" s="748"/>
      <c r="P71" s="748"/>
      <c r="Q71" s="748"/>
      <c r="R71" s="748"/>
      <c r="S71" s="749"/>
    </row>
    <row r="72" spans="1:19" ht="13.5" customHeight="1">
      <c r="A72" s="707"/>
      <c r="B72" s="741"/>
      <c r="C72" s="748" t="str">
        <f>辅助!L14</f>
        <v/>
      </c>
      <c r="D72" s="748"/>
      <c r="E72" s="748"/>
      <c r="F72" s="748"/>
      <c r="G72" s="748"/>
      <c r="H72" s="748"/>
      <c r="I72" s="748"/>
      <c r="J72" s="748"/>
      <c r="K72" s="748"/>
      <c r="L72" s="748"/>
      <c r="M72" s="748"/>
      <c r="N72" s="748"/>
      <c r="O72" s="748"/>
      <c r="P72" s="748"/>
      <c r="Q72" s="748"/>
      <c r="R72" s="748"/>
      <c r="S72" s="749"/>
    </row>
    <row r="73" spans="1:19" ht="13.5" customHeight="1">
      <c r="A73" s="707"/>
      <c r="B73" s="741"/>
      <c r="C73" s="748" t="str">
        <f>辅助!L15</f>
        <v/>
      </c>
      <c r="D73" s="748"/>
      <c r="E73" s="748"/>
      <c r="F73" s="748"/>
      <c r="G73" s="748"/>
      <c r="H73" s="748"/>
      <c r="I73" s="748"/>
      <c r="J73" s="748"/>
      <c r="K73" s="748"/>
      <c r="L73" s="748"/>
      <c r="M73" s="748"/>
      <c r="N73" s="748"/>
      <c r="O73" s="748"/>
      <c r="P73" s="748"/>
      <c r="Q73" s="748"/>
      <c r="R73" s="748"/>
      <c r="S73" s="749"/>
    </row>
    <row r="74" spans="1:19" ht="13.5" customHeight="1">
      <c r="A74" s="707"/>
      <c r="B74" s="741"/>
      <c r="C74" s="748" t="str">
        <f>辅助!L16</f>
        <v/>
      </c>
      <c r="D74" s="748"/>
      <c r="E74" s="748"/>
      <c r="F74" s="748"/>
      <c r="G74" s="748"/>
      <c r="H74" s="748"/>
      <c r="I74" s="748"/>
      <c r="J74" s="748"/>
      <c r="K74" s="748"/>
      <c r="L74" s="748"/>
      <c r="M74" s="748"/>
      <c r="N74" s="748"/>
      <c r="O74" s="748"/>
      <c r="P74" s="748"/>
      <c r="Q74" s="748"/>
      <c r="R74" s="748"/>
      <c r="S74" s="749"/>
    </row>
    <row r="75" spans="1:19" ht="13.5" customHeight="1">
      <c r="A75" s="707"/>
      <c r="B75" s="741"/>
      <c r="C75" s="748" t="str">
        <f>辅助!L17</f>
        <v/>
      </c>
      <c r="D75" s="748"/>
      <c r="E75" s="748"/>
      <c r="F75" s="748"/>
      <c r="G75" s="748"/>
      <c r="H75" s="748"/>
      <c r="I75" s="748"/>
      <c r="J75" s="748"/>
      <c r="K75" s="748"/>
      <c r="L75" s="748"/>
      <c r="M75" s="748"/>
      <c r="N75" s="748"/>
      <c r="O75" s="748"/>
      <c r="P75" s="748"/>
      <c r="Q75" s="748"/>
      <c r="R75" s="748"/>
      <c r="S75" s="749"/>
    </row>
    <row r="76" spans="1:19" ht="17.25" customHeight="1">
      <c r="A76" s="723" t="s">
        <v>54</v>
      </c>
      <c r="B76" s="724"/>
      <c r="C76" s="737">
        <v>0.99</v>
      </c>
      <c r="D76" s="724"/>
      <c r="E76" s="724"/>
      <c r="F76" s="724"/>
      <c r="G76" s="724"/>
      <c r="H76" s="724"/>
      <c r="I76" s="724"/>
      <c r="J76" s="724"/>
      <c r="K76" s="724"/>
      <c r="L76" s="724"/>
      <c r="M76" s="724"/>
      <c r="N76" s="724"/>
      <c r="O76" s="724"/>
      <c r="P76" s="724"/>
      <c r="Q76" s="724"/>
      <c r="R76" s="724"/>
      <c r="S76" s="738"/>
    </row>
    <row r="77" spans="1:19" ht="17.25" customHeight="1">
      <c r="A77" s="723" t="s">
        <v>55</v>
      </c>
      <c r="B77" s="724"/>
      <c r="C77" s="724"/>
      <c r="D77" s="724"/>
      <c r="E77" s="724"/>
      <c r="F77" s="724"/>
      <c r="G77" s="724"/>
      <c r="H77" s="724"/>
      <c r="I77" s="724"/>
      <c r="J77" s="724"/>
      <c r="K77" s="724"/>
      <c r="L77" s="724"/>
      <c r="M77" s="724"/>
      <c r="N77" s="724"/>
      <c r="O77" s="724"/>
      <c r="P77" s="724"/>
      <c r="Q77" s="724"/>
      <c r="R77" s="724"/>
      <c r="S77" s="738"/>
    </row>
    <row r="78" spans="1:19" ht="17.25" customHeight="1">
      <c r="A78" s="723" t="s">
        <v>56</v>
      </c>
      <c r="B78" s="724"/>
      <c r="C78" s="724"/>
      <c r="D78" s="724"/>
      <c r="E78" s="724"/>
      <c r="F78" s="724"/>
      <c r="G78" s="724"/>
      <c r="H78" s="724"/>
      <c r="I78" s="724"/>
      <c r="J78" s="724"/>
      <c r="K78" s="724"/>
      <c r="L78" s="724"/>
      <c r="M78" s="724"/>
      <c r="N78" s="724"/>
      <c r="O78" s="724"/>
      <c r="P78" s="724"/>
      <c r="Q78" s="724"/>
      <c r="R78" s="724"/>
      <c r="S78" s="738"/>
    </row>
    <row r="79" spans="1:19" ht="17.25" customHeight="1" thickBot="1">
      <c r="A79" s="725" t="s">
        <v>57</v>
      </c>
      <c r="B79" s="726"/>
      <c r="C79" s="726" t="s">
        <v>58</v>
      </c>
      <c r="D79" s="726"/>
      <c r="E79" s="726"/>
      <c r="F79" s="726"/>
      <c r="G79" s="726"/>
      <c r="H79" s="726"/>
      <c r="I79" s="726"/>
      <c r="J79" s="726"/>
      <c r="K79" s="726"/>
      <c r="L79" s="726"/>
      <c r="M79" s="726"/>
      <c r="N79" s="726"/>
      <c r="O79" s="726"/>
      <c r="P79" s="726"/>
      <c r="Q79" s="726"/>
      <c r="R79" s="726"/>
      <c r="S79" s="730"/>
    </row>
    <row r="80" spans="1:19" ht="20.100000000000001" customHeight="1" thickTop="1">
      <c r="A80" s="731" t="s">
        <v>59</v>
      </c>
      <c r="B80" s="732"/>
      <c r="C80" s="732"/>
      <c r="D80" s="732"/>
      <c r="E80" s="732"/>
      <c r="F80" s="732"/>
      <c r="G80" s="732"/>
      <c r="H80" s="732"/>
      <c r="I80" s="732"/>
      <c r="J80" s="732"/>
      <c r="K80" s="732"/>
      <c r="L80" s="732"/>
      <c r="M80" s="732"/>
      <c r="N80" s="732"/>
      <c r="O80" s="732"/>
      <c r="P80" s="732"/>
      <c r="Q80" s="732"/>
      <c r="R80" s="732"/>
      <c r="S80" s="733"/>
    </row>
    <row r="81" spans="1:19" ht="20.100000000000001" customHeight="1">
      <c r="A81" s="723" t="s">
        <v>60</v>
      </c>
      <c r="B81" s="724"/>
      <c r="C81" s="314"/>
      <c r="D81" s="315"/>
      <c r="E81" s="315"/>
      <c r="F81" s="315" t="s">
        <v>61</v>
      </c>
      <c r="G81" s="315"/>
      <c r="H81" s="315"/>
      <c r="I81" s="315"/>
      <c r="J81" s="315"/>
      <c r="K81" s="315"/>
      <c r="L81" s="315"/>
      <c r="M81" s="315" t="s">
        <v>62</v>
      </c>
      <c r="N81" s="315"/>
      <c r="O81" s="315"/>
      <c r="P81" s="315"/>
      <c r="Q81" s="315"/>
      <c r="R81" s="315"/>
      <c r="S81" s="316"/>
    </row>
    <row r="82" spans="1:19" ht="20.100000000000001" customHeight="1">
      <c r="A82" s="723" t="s">
        <v>63</v>
      </c>
      <c r="B82" s="724"/>
      <c r="C82" s="314"/>
      <c r="D82" s="315"/>
      <c r="E82" s="315"/>
      <c r="F82" s="315" t="s">
        <v>61</v>
      </c>
      <c r="G82" s="315"/>
      <c r="H82" s="315"/>
      <c r="I82" s="315"/>
      <c r="J82" s="315"/>
      <c r="K82" s="315"/>
      <c r="L82" s="315"/>
      <c r="M82" s="315" t="s">
        <v>62</v>
      </c>
      <c r="N82" s="315"/>
      <c r="O82" s="315"/>
      <c r="P82" s="315"/>
      <c r="Q82" s="315"/>
      <c r="R82" s="315"/>
      <c r="S82" s="316"/>
    </row>
    <row r="83" spans="1:19" ht="20.100000000000001" customHeight="1">
      <c r="A83" s="723" t="s">
        <v>64</v>
      </c>
      <c r="B83" s="724"/>
      <c r="C83" s="314"/>
      <c r="D83" s="315"/>
      <c r="E83" s="315"/>
      <c r="F83" s="315" t="s">
        <v>61</v>
      </c>
      <c r="G83" s="315"/>
      <c r="H83" s="315"/>
      <c r="I83" s="315"/>
      <c r="J83" s="315"/>
      <c r="K83" s="315"/>
      <c r="L83" s="315"/>
      <c r="M83" s="315" t="s">
        <v>62</v>
      </c>
      <c r="N83" s="315"/>
      <c r="O83" s="315"/>
      <c r="P83" s="315"/>
      <c r="Q83" s="315"/>
      <c r="R83" s="315"/>
      <c r="S83" s="316"/>
    </row>
    <row r="84" spans="1:19" ht="20.100000000000001" customHeight="1">
      <c r="A84" s="723" t="s">
        <v>65</v>
      </c>
      <c r="B84" s="724"/>
      <c r="C84" s="314"/>
      <c r="D84" s="315"/>
      <c r="E84" s="315"/>
      <c r="F84" s="315" t="s">
        <v>61</v>
      </c>
      <c r="G84" s="315"/>
      <c r="H84" s="315"/>
      <c r="I84" s="315"/>
      <c r="J84" s="315"/>
      <c r="K84" s="315"/>
      <c r="L84" s="315"/>
      <c r="M84" s="315" t="s">
        <v>62</v>
      </c>
      <c r="N84" s="315"/>
      <c r="O84" s="315"/>
      <c r="P84" s="315"/>
      <c r="Q84" s="315"/>
      <c r="R84" s="315"/>
      <c r="S84" s="316"/>
    </row>
    <row r="85" spans="1:19" ht="20.100000000000001" customHeight="1">
      <c r="A85" s="723" t="s">
        <v>66</v>
      </c>
      <c r="B85" s="724"/>
      <c r="C85" s="315"/>
      <c r="D85" s="315"/>
      <c r="E85" s="315"/>
      <c r="F85" s="315" t="s">
        <v>61</v>
      </c>
      <c r="G85" s="315"/>
      <c r="H85" s="315"/>
      <c r="I85" s="315"/>
      <c r="J85" s="315"/>
      <c r="K85" s="315"/>
      <c r="L85" s="315"/>
      <c r="M85" s="315" t="s">
        <v>62</v>
      </c>
      <c r="N85" s="315"/>
      <c r="O85" s="315"/>
      <c r="P85" s="315"/>
      <c r="Q85" s="315"/>
      <c r="R85" s="315"/>
      <c r="S85" s="316"/>
    </row>
    <row r="86" spans="1:19" ht="19.5" customHeight="1" thickBot="1">
      <c r="A86" s="725" t="s">
        <v>67</v>
      </c>
      <c r="B86" s="726"/>
      <c r="C86" s="45"/>
      <c r="D86" s="45"/>
      <c r="E86" s="45"/>
      <c r="F86" s="45" t="s">
        <v>61</v>
      </c>
      <c r="G86" s="45"/>
      <c r="H86" s="45"/>
      <c r="I86" s="45"/>
      <c r="J86" s="45"/>
      <c r="K86" s="45"/>
      <c r="L86" s="45"/>
      <c r="M86" s="45" t="s">
        <v>62</v>
      </c>
      <c r="N86" s="45"/>
      <c r="O86" s="45"/>
      <c r="P86" s="45"/>
      <c r="Q86" s="45"/>
      <c r="R86" s="45"/>
      <c r="S86" s="46"/>
    </row>
    <row r="87" spans="1:19" ht="15" thickTop="1">
      <c r="A87" s="727" t="s">
        <v>68</v>
      </c>
      <c r="B87" s="728"/>
      <c r="C87" s="728"/>
      <c r="D87" s="728"/>
      <c r="E87" s="728"/>
      <c r="F87" s="728"/>
      <c r="G87" s="728"/>
      <c r="H87" s="728"/>
      <c r="I87" s="728"/>
      <c r="J87" s="728"/>
      <c r="K87" s="728"/>
      <c r="L87" s="728"/>
      <c r="M87" s="728"/>
      <c r="N87" s="728"/>
      <c r="O87" s="728"/>
      <c r="P87" s="728"/>
      <c r="Q87" s="728"/>
      <c r="R87" s="728"/>
      <c r="S87" s="729"/>
    </row>
    <row r="88" spans="1:19" ht="8.25" customHeight="1">
      <c r="A88" s="707"/>
      <c r="B88" s="708"/>
      <c r="C88" s="708"/>
      <c r="D88" s="708"/>
      <c r="E88" s="708"/>
      <c r="F88" s="708"/>
      <c r="G88" s="708"/>
      <c r="H88" s="708"/>
      <c r="I88" s="708"/>
      <c r="J88" s="708"/>
      <c r="K88" s="708"/>
      <c r="L88" s="708"/>
      <c r="M88" s="708"/>
      <c r="N88" s="708"/>
      <c r="O88" s="708"/>
      <c r="P88" s="708"/>
      <c r="Q88" s="708"/>
      <c r="R88" s="708"/>
      <c r="S88" s="709"/>
    </row>
    <row r="89" spans="1:19" ht="8.25" customHeight="1">
      <c r="A89" s="707"/>
      <c r="B89" s="708"/>
      <c r="C89" s="708"/>
      <c r="D89" s="708"/>
      <c r="E89" s="708"/>
      <c r="F89" s="708"/>
      <c r="G89" s="708"/>
      <c r="H89" s="708"/>
      <c r="I89" s="708"/>
      <c r="J89" s="708"/>
      <c r="K89" s="708"/>
      <c r="L89" s="708"/>
      <c r="M89" s="708"/>
      <c r="N89" s="708"/>
      <c r="O89" s="708"/>
      <c r="P89" s="708"/>
      <c r="Q89" s="708"/>
      <c r="R89" s="708"/>
      <c r="S89" s="709"/>
    </row>
    <row r="90" spans="1:19" ht="8.25" customHeight="1">
      <c r="A90" s="707"/>
      <c r="B90" s="708"/>
      <c r="C90" s="708"/>
      <c r="D90" s="708"/>
      <c r="E90" s="708"/>
      <c r="F90" s="708"/>
      <c r="G90" s="708"/>
      <c r="H90" s="708"/>
      <c r="I90" s="708"/>
      <c r="J90" s="708"/>
      <c r="K90" s="708"/>
      <c r="L90" s="708"/>
      <c r="M90" s="708"/>
      <c r="N90" s="708"/>
      <c r="O90" s="708"/>
      <c r="P90" s="708"/>
      <c r="Q90" s="708"/>
      <c r="R90" s="708"/>
      <c r="S90" s="709"/>
    </row>
    <row r="91" spans="1:19" ht="8.25" customHeight="1">
      <c r="A91" s="707"/>
      <c r="B91" s="708"/>
      <c r="C91" s="708"/>
      <c r="D91" s="708"/>
      <c r="E91" s="708"/>
      <c r="F91" s="708"/>
      <c r="G91" s="708"/>
      <c r="H91" s="708"/>
      <c r="I91" s="708"/>
      <c r="J91" s="708"/>
      <c r="K91" s="708"/>
      <c r="L91" s="708"/>
      <c r="M91" s="708"/>
      <c r="N91" s="708"/>
      <c r="O91" s="708"/>
      <c r="P91" s="708"/>
      <c r="Q91" s="708"/>
      <c r="R91" s="708"/>
      <c r="S91" s="709"/>
    </row>
    <row r="92" spans="1:19" ht="8.25" customHeight="1">
      <c r="A92" s="707"/>
      <c r="B92" s="708"/>
      <c r="C92" s="708"/>
      <c r="D92" s="708"/>
      <c r="E92" s="708"/>
      <c r="F92" s="708"/>
      <c r="G92" s="708"/>
      <c r="H92" s="708"/>
      <c r="I92" s="708"/>
      <c r="J92" s="708"/>
      <c r="K92" s="708"/>
      <c r="L92" s="708"/>
      <c r="M92" s="708"/>
      <c r="N92" s="708"/>
      <c r="O92" s="708"/>
      <c r="P92" s="708"/>
      <c r="Q92" s="708"/>
      <c r="R92" s="708"/>
      <c r="S92" s="709"/>
    </row>
    <row r="93" spans="1:19" ht="8.25" customHeight="1">
      <c r="A93" s="707"/>
      <c r="B93" s="708"/>
      <c r="C93" s="708"/>
      <c r="D93" s="708"/>
      <c r="E93" s="708"/>
      <c r="F93" s="708"/>
      <c r="G93" s="708"/>
      <c r="H93" s="708"/>
      <c r="I93" s="708"/>
      <c r="J93" s="708"/>
      <c r="K93" s="708"/>
      <c r="L93" s="708"/>
      <c r="M93" s="708"/>
      <c r="N93" s="708"/>
      <c r="O93" s="708"/>
      <c r="P93" s="708"/>
      <c r="Q93" s="708"/>
      <c r="R93" s="708"/>
      <c r="S93" s="709"/>
    </row>
    <row r="94" spans="1:19" ht="8.25" customHeight="1" thickBot="1">
      <c r="A94" s="710"/>
      <c r="B94" s="711"/>
      <c r="C94" s="711"/>
      <c r="D94" s="711"/>
      <c r="E94" s="711"/>
      <c r="F94" s="711"/>
      <c r="G94" s="711"/>
      <c r="H94" s="711"/>
      <c r="I94" s="711"/>
      <c r="J94" s="711"/>
      <c r="K94" s="711"/>
      <c r="L94" s="711"/>
      <c r="M94" s="711"/>
      <c r="N94" s="711"/>
      <c r="O94" s="711"/>
      <c r="P94" s="711"/>
      <c r="Q94" s="711"/>
      <c r="R94" s="711"/>
      <c r="S94" s="712"/>
    </row>
    <row r="95" spans="1:19" ht="20.100000000000001" customHeight="1" thickTop="1">
      <c r="A95" s="713" t="s">
        <v>69</v>
      </c>
      <c r="B95" s="714"/>
      <c r="C95" s="714"/>
      <c r="D95" s="714"/>
      <c r="E95" s="714"/>
      <c r="F95" s="714"/>
      <c r="G95" s="714"/>
      <c r="H95" s="714"/>
      <c r="I95" s="714"/>
      <c r="J95" s="714"/>
      <c r="K95" s="714"/>
      <c r="L95" s="714"/>
      <c r="M95" s="714"/>
      <c r="N95" s="714"/>
      <c r="O95" s="714"/>
      <c r="P95" s="714"/>
      <c r="Q95" s="714"/>
      <c r="R95" s="714"/>
      <c r="S95" s="715"/>
    </row>
    <row r="96" spans="1:19" ht="12" customHeight="1">
      <c r="A96" s="707"/>
      <c r="B96" s="708"/>
      <c r="C96" s="708"/>
      <c r="D96" s="708"/>
      <c r="E96" s="708"/>
      <c r="F96" s="708"/>
      <c r="G96" s="708"/>
      <c r="H96" s="708"/>
      <c r="I96" s="708"/>
      <c r="J96" s="708"/>
      <c r="K96" s="708"/>
      <c r="L96" s="708"/>
      <c r="M96" s="708"/>
      <c r="N96" s="708"/>
      <c r="O96" s="708"/>
      <c r="P96" s="708"/>
      <c r="Q96" s="708"/>
      <c r="R96" s="708"/>
      <c r="S96" s="709"/>
    </row>
    <row r="97" spans="1:19" ht="12" customHeight="1">
      <c r="A97" s="707"/>
      <c r="B97" s="708"/>
      <c r="C97" s="708"/>
      <c r="D97" s="708"/>
      <c r="E97" s="708"/>
      <c r="F97" s="708"/>
      <c r="G97" s="708"/>
      <c r="H97" s="708"/>
      <c r="I97" s="708"/>
      <c r="J97" s="708"/>
      <c r="K97" s="708"/>
      <c r="L97" s="708"/>
      <c r="M97" s="708"/>
      <c r="N97" s="708"/>
      <c r="O97" s="708"/>
      <c r="P97" s="708"/>
      <c r="Q97" s="708"/>
      <c r="R97" s="708"/>
      <c r="S97" s="709"/>
    </row>
    <row r="98" spans="1:19" ht="12" customHeight="1">
      <c r="A98" s="707"/>
      <c r="B98" s="708"/>
      <c r="C98" s="708"/>
      <c r="D98" s="708"/>
      <c r="E98" s="708"/>
      <c r="F98" s="708"/>
      <c r="G98" s="708"/>
      <c r="H98" s="708"/>
      <c r="I98" s="708"/>
      <c r="J98" s="708"/>
      <c r="K98" s="708"/>
      <c r="L98" s="708"/>
      <c r="M98" s="708"/>
      <c r="N98" s="708"/>
      <c r="O98" s="708"/>
      <c r="P98" s="708"/>
      <c r="Q98" s="708"/>
      <c r="R98" s="708"/>
      <c r="S98" s="709"/>
    </row>
    <row r="99" spans="1:19" ht="12" customHeight="1">
      <c r="A99" s="707"/>
      <c r="B99" s="708"/>
      <c r="C99" s="708"/>
      <c r="D99" s="708"/>
      <c r="E99" s="708"/>
      <c r="F99" s="708"/>
      <c r="G99" s="708"/>
      <c r="H99" s="708"/>
      <c r="I99" s="708"/>
      <c r="J99" s="708"/>
      <c r="K99" s="708"/>
      <c r="L99" s="708"/>
      <c r="M99" s="708"/>
      <c r="N99" s="708"/>
      <c r="O99" s="708"/>
      <c r="P99" s="708"/>
      <c r="Q99" s="708"/>
      <c r="R99" s="708"/>
      <c r="S99" s="709"/>
    </row>
    <row r="100" spans="1:19" ht="12" customHeight="1" thickBot="1">
      <c r="A100" s="716"/>
      <c r="B100" s="717"/>
      <c r="C100" s="717"/>
      <c r="D100" s="717"/>
      <c r="E100" s="717"/>
      <c r="F100" s="717"/>
      <c r="G100" s="717"/>
      <c r="H100" s="717"/>
      <c r="I100" s="717"/>
      <c r="J100" s="717"/>
      <c r="K100" s="717"/>
      <c r="L100" s="717"/>
      <c r="M100" s="717"/>
      <c r="N100" s="717"/>
      <c r="O100" s="717"/>
      <c r="P100" s="717"/>
      <c r="Q100" s="717"/>
      <c r="R100" s="717"/>
      <c r="S100" s="718"/>
    </row>
    <row r="101" spans="1:19" ht="19.5" customHeight="1">
      <c r="A101" s="719" t="s">
        <v>98</v>
      </c>
      <c r="B101" s="720"/>
      <c r="C101" s="720"/>
      <c r="D101" s="720"/>
      <c r="E101" s="720"/>
      <c r="F101" s="720"/>
      <c r="G101" s="720"/>
      <c r="H101" s="720"/>
      <c r="I101" s="720"/>
      <c r="J101" s="720"/>
      <c r="K101" s="720"/>
      <c r="L101" s="720"/>
      <c r="M101" s="720"/>
      <c r="N101" s="720"/>
      <c r="O101" s="720"/>
      <c r="P101" s="720"/>
      <c r="Q101" s="720"/>
      <c r="R101" s="720"/>
      <c r="S101" s="721"/>
    </row>
    <row r="102" spans="1:19" ht="19.5" customHeight="1" thickBot="1">
      <c r="A102" s="722">
        <f ca="1">TODAY()</f>
        <v>43839</v>
      </c>
      <c r="B102" s="717"/>
      <c r="C102" s="717"/>
      <c r="D102" s="717"/>
      <c r="E102" s="717"/>
      <c r="F102" s="717"/>
      <c r="G102" s="717"/>
      <c r="H102" s="717"/>
      <c r="I102" s="717"/>
      <c r="J102" s="717"/>
      <c r="K102" s="717"/>
      <c r="L102" s="717"/>
      <c r="M102" s="717"/>
      <c r="N102" s="717"/>
      <c r="O102" s="717"/>
      <c r="P102" s="717"/>
      <c r="Q102" s="717"/>
      <c r="R102" s="717"/>
      <c r="S102" s="718"/>
    </row>
    <row r="104" spans="1:19" ht="12.75" customHeight="1"/>
    <row r="105" spans="1:19" ht="24">
      <c r="A105" s="747" t="s">
        <v>46</v>
      </c>
      <c r="B105" s="747"/>
      <c r="C105" s="747"/>
      <c r="D105" s="747"/>
      <c r="E105" s="747"/>
      <c r="F105" s="747"/>
      <c r="G105" s="747"/>
      <c r="H105" s="747"/>
      <c r="I105" s="747"/>
      <c r="J105" s="747"/>
      <c r="K105" s="747"/>
      <c r="L105" s="747"/>
      <c r="M105" s="747"/>
      <c r="N105" s="747"/>
      <c r="O105" s="747"/>
      <c r="P105" s="747"/>
      <c r="Q105" s="747"/>
      <c r="R105" s="747"/>
      <c r="S105" s="747"/>
    </row>
    <row r="106" spans="1:19" ht="9.75" customHeight="1" thickBot="1"/>
    <row r="107" spans="1:19" ht="20.100000000000001" customHeight="1">
      <c r="A107" s="744" t="s">
        <v>47</v>
      </c>
      <c r="B107" s="745"/>
      <c r="C107" s="745" t="s">
        <v>74</v>
      </c>
      <c r="D107" s="745"/>
      <c r="E107" s="745"/>
      <c r="F107" s="745"/>
      <c r="G107" s="745"/>
      <c r="H107" s="745"/>
      <c r="I107" s="745"/>
      <c r="J107" s="745"/>
      <c r="K107" s="745"/>
      <c r="L107" s="745"/>
      <c r="M107" s="745"/>
      <c r="N107" s="745"/>
      <c r="O107" s="745"/>
      <c r="P107" s="745"/>
      <c r="Q107" s="745"/>
      <c r="R107" s="745"/>
      <c r="S107" s="746"/>
    </row>
    <row r="108" spans="1:19" ht="20.100000000000001" customHeight="1">
      <c r="A108" s="723" t="s">
        <v>48</v>
      </c>
      <c r="B108" s="724"/>
      <c r="C108" s="724" t="s">
        <v>461</v>
      </c>
      <c r="D108" s="724"/>
      <c r="E108" s="724"/>
      <c r="F108" s="724"/>
      <c r="G108" s="724"/>
      <c r="H108" s="724"/>
      <c r="I108" s="724"/>
      <c r="J108" s="724"/>
      <c r="K108" s="724"/>
      <c r="L108" s="724"/>
      <c r="M108" s="724"/>
      <c r="N108" s="724"/>
      <c r="O108" s="724"/>
      <c r="P108" s="724"/>
      <c r="Q108" s="724"/>
      <c r="R108" s="724"/>
      <c r="S108" s="738"/>
    </row>
    <row r="109" spans="1:19" ht="20.100000000000001" customHeight="1">
      <c r="A109" s="723" t="s">
        <v>49</v>
      </c>
      <c r="B109" s="724"/>
      <c r="C109" s="724">
        <v>201209</v>
      </c>
      <c r="D109" s="724"/>
      <c r="E109" s="724"/>
      <c r="F109" s="724"/>
      <c r="G109" s="724"/>
      <c r="H109" s="724"/>
      <c r="I109" s="724"/>
      <c r="J109" s="734" t="s">
        <v>50</v>
      </c>
      <c r="K109" s="735"/>
      <c r="L109" s="742"/>
      <c r="M109" s="724"/>
      <c r="N109" s="724"/>
      <c r="O109" s="724"/>
      <c r="P109" s="724"/>
      <c r="Q109" s="724"/>
      <c r="R109" s="724"/>
      <c r="S109" s="738"/>
    </row>
    <row r="110" spans="1:19" ht="20.100000000000001" customHeight="1">
      <c r="A110" s="723" t="s">
        <v>51</v>
      </c>
      <c r="B110" s="724"/>
      <c r="C110" s="724" t="s">
        <v>117</v>
      </c>
      <c r="D110" s="724"/>
      <c r="E110" s="724"/>
      <c r="F110" s="724"/>
      <c r="G110" s="724"/>
      <c r="H110" s="724"/>
      <c r="I110" s="724"/>
      <c r="J110" s="734" t="s">
        <v>52</v>
      </c>
      <c r="K110" s="735"/>
      <c r="L110" s="742"/>
      <c r="M110" s="724"/>
      <c r="N110" s="724"/>
      <c r="O110" s="724"/>
      <c r="P110" s="724"/>
      <c r="Q110" s="724"/>
      <c r="R110" s="724"/>
      <c r="S110" s="738"/>
    </row>
    <row r="111" spans="1:19" ht="13.5" customHeight="1">
      <c r="A111" s="739" t="s">
        <v>99</v>
      </c>
      <c r="B111" s="743"/>
      <c r="C111" s="734" t="str">
        <f>辅助!R18</f>
        <v/>
      </c>
      <c r="D111" s="735"/>
      <c r="E111" s="735"/>
      <c r="F111" s="735"/>
      <c r="G111" s="735"/>
      <c r="H111" s="735"/>
      <c r="I111" s="735"/>
      <c r="J111" s="735"/>
      <c r="K111" s="735"/>
      <c r="L111" s="735"/>
      <c r="M111" s="735"/>
      <c r="N111" s="735"/>
      <c r="O111" s="735"/>
      <c r="P111" s="735"/>
      <c r="Q111" s="735"/>
      <c r="R111" s="735"/>
      <c r="S111" s="736"/>
    </row>
    <row r="112" spans="1:19" ht="13.5" customHeight="1">
      <c r="A112" s="707"/>
      <c r="B112" s="708"/>
      <c r="C112" s="734" t="str">
        <f>辅助!R19</f>
        <v/>
      </c>
      <c r="D112" s="735"/>
      <c r="E112" s="735"/>
      <c r="F112" s="735"/>
      <c r="G112" s="735"/>
      <c r="H112" s="735"/>
      <c r="I112" s="735"/>
      <c r="J112" s="735"/>
      <c r="K112" s="735"/>
      <c r="L112" s="735"/>
      <c r="M112" s="735"/>
      <c r="N112" s="735"/>
      <c r="O112" s="735"/>
      <c r="P112" s="735"/>
      <c r="Q112" s="735"/>
      <c r="R112" s="735"/>
      <c r="S112" s="736"/>
    </row>
    <row r="113" spans="1:19" ht="13.5" customHeight="1">
      <c r="A113" s="707"/>
      <c r="B113" s="708"/>
      <c r="C113" s="734" t="str">
        <f>辅助!R20</f>
        <v/>
      </c>
      <c r="D113" s="735"/>
      <c r="E113" s="735"/>
      <c r="F113" s="735"/>
      <c r="G113" s="735"/>
      <c r="H113" s="735"/>
      <c r="I113" s="735"/>
      <c r="J113" s="735"/>
      <c r="K113" s="735"/>
      <c r="L113" s="735"/>
      <c r="M113" s="735"/>
      <c r="N113" s="735"/>
      <c r="O113" s="735"/>
      <c r="P113" s="735"/>
      <c r="Q113" s="735"/>
      <c r="R113" s="735"/>
      <c r="S113" s="736"/>
    </row>
    <row r="114" spans="1:19" ht="13.5" customHeight="1">
      <c r="A114" s="707"/>
      <c r="B114" s="708"/>
      <c r="C114" s="734" t="str">
        <f>辅助!R21</f>
        <v/>
      </c>
      <c r="D114" s="735"/>
      <c r="E114" s="735"/>
      <c r="F114" s="735"/>
      <c r="G114" s="735"/>
      <c r="H114" s="735"/>
      <c r="I114" s="735"/>
      <c r="J114" s="735"/>
      <c r="K114" s="735"/>
      <c r="L114" s="735"/>
      <c r="M114" s="735"/>
      <c r="N114" s="735"/>
      <c r="O114" s="735"/>
      <c r="P114" s="735"/>
      <c r="Q114" s="735"/>
      <c r="R114" s="735"/>
      <c r="S114" s="736"/>
    </row>
    <row r="115" spans="1:19" ht="13.5" customHeight="1">
      <c r="A115" s="707"/>
      <c r="B115" s="708"/>
      <c r="C115" s="734" t="str">
        <f>辅助!R22</f>
        <v/>
      </c>
      <c r="D115" s="735"/>
      <c r="E115" s="735"/>
      <c r="F115" s="735"/>
      <c r="G115" s="735"/>
      <c r="H115" s="735"/>
      <c r="I115" s="735"/>
      <c r="J115" s="735"/>
      <c r="K115" s="735"/>
      <c r="L115" s="735"/>
      <c r="M115" s="735"/>
      <c r="N115" s="735"/>
      <c r="O115" s="735"/>
      <c r="P115" s="735"/>
      <c r="Q115" s="735"/>
      <c r="R115" s="735"/>
      <c r="S115" s="736"/>
    </row>
    <row r="116" spans="1:19" ht="13.5" customHeight="1">
      <c r="A116" s="707"/>
      <c r="B116" s="708"/>
      <c r="C116" s="734" t="str">
        <f>辅助!R23</f>
        <v/>
      </c>
      <c r="D116" s="735"/>
      <c r="E116" s="735"/>
      <c r="F116" s="735"/>
      <c r="G116" s="735"/>
      <c r="H116" s="735"/>
      <c r="I116" s="735"/>
      <c r="J116" s="735"/>
      <c r="K116" s="735"/>
      <c r="L116" s="735"/>
      <c r="M116" s="735"/>
      <c r="N116" s="735"/>
      <c r="O116" s="735"/>
      <c r="P116" s="735"/>
      <c r="Q116" s="735"/>
      <c r="R116" s="735"/>
      <c r="S116" s="736"/>
    </row>
    <row r="117" spans="1:19" ht="13.5" customHeight="1">
      <c r="A117" s="707"/>
      <c r="B117" s="708"/>
      <c r="C117" s="734" t="str">
        <f>辅助!R24</f>
        <v/>
      </c>
      <c r="D117" s="735"/>
      <c r="E117" s="735"/>
      <c r="F117" s="735"/>
      <c r="G117" s="735"/>
      <c r="H117" s="735"/>
      <c r="I117" s="735"/>
      <c r="J117" s="735"/>
      <c r="K117" s="735"/>
      <c r="L117" s="735"/>
      <c r="M117" s="735"/>
      <c r="N117" s="735"/>
      <c r="O117" s="735"/>
      <c r="P117" s="735"/>
      <c r="Q117" s="735"/>
      <c r="R117" s="735"/>
      <c r="S117" s="736"/>
    </row>
    <row r="118" spans="1:19" ht="13.5" customHeight="1">
      <c r="A118" s="707"/>
      <c r="B118" s="708"/>
      <c r="C118" s="734" t="str">
        <f>辅助!R25</f>
        <v/>
      </c>
      <c r="D118" s="735"/>
      <c r="E118" s="735"/>
      <c r="F118" s="735"/>
      <c r="G118" s="735"/>
      <c r="H118" s="735"/>
      <c r="I118" s="735"/>
      <c r="J118" s="735"/>
      <c r="K118" s="735"/>
      <c r="L118" s="735"/>
      <c r="M118" s="735"/>
      <c r="N118" s="735"/>
      <c r="O118" s="735"/>
      <c r="P118" s="735"/>
      <c r="Q118" s="735"/>
      <c r="R118" s="735"/>
      <c r="S118" s="736"/>
    </row>
    <row r="119" spans="1:19" ht="13.5" customHeight="1">
      <c r="A119" s="739" t="s">
        <v>53</v>
      </c>
      <c r="B119" s="740"/>
      <c r="C119" s="748" t="str">
        <f>辅助!L18</f>
        <v/>
      </c>
      <c r="D119" s="748"/>
      <c r="E119" s="748"/>
      <c r="F119" s="748"/>
      <c r="G119" s="748"/>
      <c r="H119" s="748"/>
      <c r="I119" s="748"/>
      <c r="J119" s="748"/>
      <c r="K119" s="748"/>
      <c r="L119" s="748"/>
      <c r="M119" s="748"/>
      <c r="N119" s="748"/>
      <c r="O119" s="748"/>
      <c r="P119" s="748"/>
      <c r="Q119" s="748"/>
      <c r="R119" s="748"/>
      <c r="S119" s="749"/>
    </row>
    <row r="120" spans="1:19" ht="13.5" customHeight="1">
      <c r="A120" s="707"/>
      <c r="B120" s="741"/>
      <c r="C120" s="748" t="str">
        <f>辅助!L19</f>
        <v/>
      </c>
      <c r="D120" s="748"/>
      <c r="E120" s="748"/>
      <c r="F120" s="748"/>
      <c r="G120" s="748"/>
      <c r="H120" s="748"/>
      <c r="I120" s="748"/>
      <c r="J120" s="748"/>
      <c r="K120" s="748"/>
      <c r="L120" s="748"/>
      <c r="M120" s="748"/>
      <c r="N120" s="748"/>
      <c r="O120" s="748"/>
      <c r="P120" s="748"/>
      <c r="Q120" s="748"/>
      <c r="R120" s="748"/>
      <c r="S120" s="749"/>
    </row>
    <row r="121" spans="1:19" ht="13.5" customHeight="1">
      <c r="A121" s="707"/>
      <c r="B121" s="741"/>
      <c r="C121" s="748" t="str">
        <f>辅助!L20</f>
        <v/>
      </c>
      <c r="D121" s="748"/>
      <c r="E121" s="748"/>
      <c r="F121" s="748"/>
      <c r="G121" s="748"/>
      <c r="H121" s="748"/>
      <c r="I121" s="748"/>
      <c r="J121" s="748"/>
      <c r="K121" s="748"/>
      <c r="L121" s="748"/>
      <c r="M121" s="748"/>
      <c r="N121" s="748"/>
      <c r="O121" s="748"/>
      <c r="P121" s="748"/>
      <c r="Q121" s="748"/>
      <c r="R121" s="748"/>
      <c r="S121" s="749"/>
    </row>
    <row r="122" spans="1:19" ht="13.5" customHeight="1">
      <c r="A122" s="707"/>
      <c r="B122" s="741"/>
      <c r="C122" s="748" t="str">
        <f>辅助!L21</f>
        <v/>
      </c>
      <c r="D122" s="748"/>
      <c r="E122" s="748"/>
      <c r="F122" s="748"/>
      <c r="G122" s="748"/>
      <c r="H122" s="748"/>
      <c r="I122" s="748"/>
      <c r="J122" s="748"/>
      <c r="K122" s="748"/>
      <c r="L122" s="748"/>
      <c r="M122" s="748"/>
      <c r="N122" s="748"/>
      <c r="O122" s="748"/>
      <c r="P122" s="748"/>
      <c r="Q122" s="748"/>
      <c r="R122" s="748"/>
      <c r="S122" s="749"/>
    </row>
    <row r="123" spans="1:19" ht="13.5" customHeight="1">
      <c r="A123" s="707"/>
      <c r="B123" s="741"/>
      <c r="C123" s="748" t="str">
        <f>辅助!L22</f>
        <v/>
      </c>
      <c r="D123" s="748"/>
      <c r="E123" s="748"/>
      <c r="F123" s="748"/>
      <c r="G123" s="748"/>
      <c r="H123" s="748"/>
      <c r="I123" s="748"/>
      <c r="J123" s="748"/>
      <c r="K123" s="748"/>
      <c r="L123" s="748"/>
      <c r="M123" s="748"/>
      <c r="N123" s="748"/>
      <c r="O123" s="748"/>
      <c r="P123" s="748"/>
      <c r="Q123" s="748"/>
      <c r="R123" s="748"/>
      <c r="S123" s="749"/>
    </row>
    <row r="124" spans="1:19" ht="13.5" customHeight="1">
      <c r="A124" s="707"/>
      <c r="B124" s="741"/>
      <c r="C124" s="748" t="str">
        <f>辅助!L23</f>
        <v/>
      </c>
      <c r="D124" s="748"/>
      <c r="E124" s="748"/>
      <c r="F124" s="748"/>
      <c r="G124" s="748"/>
      <c r="H124" s="748"/>
      <c r="I124" s="748"/>
      <c r="J124" s="748"/>
      <c r="K124" s="748"/>
      <c r="L124" s="748"/>
      <c r="M124" s="748"/>
      <c r="N124" s="748"/>
      <c r="O124" s="748"/>
      <c r="P124" s="748"/>
      <c r="Q124" s="748"/>
      <c r="R124" s="748"/>
      <c r="S124" s="749"/>
    </row>
    <row r="125" spans="1:19" ht="13.5" customHeight="1">
      <c r="A125" s="707"/>
      <c r="B125" s="741"/>
      <c r="C125" s="748" t="str">
        <f>辅助!L24</f>
        <v/>
      </c>
      <c r="D125" s="748"/>
      <c r="E125" s="748"/>
      <c r="F125" s="748"/>
      <c r="G125" s="748"/>
      <c r="H125" s="748"/>
      <c r="I125" s="748"/>
      <c r="J125" s="748"/>
      <c r="K125" s="748"/>
      <c r="L125" s="748"/>
      <c r="M125" s="748"/>
      <c r="N125" s="748"/>
      <c r="O125" s="748"/>
      <c r="P125" s="748"/>
      <c r="Q125" s="748"/>
      <c r="R125" s="748"/>
      <c r="S125" s="749"/>
    </row>
    <row r="126" spans="1:19" ht="13.5" customHeight="1">
      <c r="A126" s="707"/>
      <c r="B126" s="741"/>
      <c r="C126" s="748" t="str">
        <f>辅助!L25</f>
        <v/>
      </c>
      <c r="D126" s="748"/>
      <c r="E126" s="748"/>
      <c r="F126" s="748"/>
      <c r="G126" s="748"/>
      <c r="H126" s="748"/>
      <c r="I126" s="748"/>
      <c r="J126" s="748"/>
      <c r="K126" s="748"/>
      <c r="L126" s="748"/>
      <c r="M126" s="748"/>
      <c r="N126" s="748"/>
      <c r="O126" s="748"/>
      <c r="P126" s="748"/>
      <c r="Q126" s="748"/>
      <c r="R126" s="748"/>
      <c r="S126" s="749"/>
    </row>
    <row r="127" spans="1:19" ht="17.25" customHeight="1">
      <c r="A127" s="723" t="s">
        <v>54</v>
      </c>
      <c r="B127" s="724"/>
      <c r="C127" s="737">
        <v>0.99</v>
      </c>
      <c r="D127" s="724"/>
      <c r="E127" s="724"/>
      <c r="F127" s="724"/>
      <c r="G127" s="724"/>
      <c r="H127" s="724"/>
      <c r="I127" s="724"/>
      <c r="J127" s="724"/>
      <c r="K127" s="724"/>
      <c r="L127" s="724"/>
      <c r="M127" s="724"/>
      <c r="N127" s="724"/>
      <c r="O127" s="724"/>
      <c r="P127" s="724"/>
      <c r="Q127" s="724"/>
      <c r="R127" s="724"/>
      <c r="S127" s="738"/>
    </row>
    <row r="128" spans="1:19" ht="17.25" customHeight="1">
      <c r="A128" s="723" t="s">
        <v>55</v>
      </c>
      <c r="B128" s="724"/>
      <c r="C128" s="724"/>
      <c r="D128" s="724"/>
      <c r="E128" s="724"/>
      <c r="F128" s="724"/>
      <c r="G128" s="724"/>
      <c r="H128" s="724"/>
      <c r="I128" s="724"/>
      <c r="J128" s="724"/>
      <c r="K128" s="724"/>
      <c r="L128" s="724"/>
      <c r="M128" s="724"/>
      <c r="N128" s="724"/>
      <c r="O128" s="724"/>
      <c r="P128" s="724"/>
      <c r="Q128" s="724"/>
      <c r="R128" s="724"/>
      <c r="S128" s="738"/>
    </row>
    <row r="129" spans="1:19" ht="17.25" customHeight="1">
      <c r="A129" s="723" t="s">
        <v>56</v>
      </c>
      <c r="B129" s="724"/>
      <c r="C129" s="724"/>
      <c r="D129" s="724"/>
      <c r="E129" s="724"/>
      <c r="F129" s="724"/>
      <c r="G129" s="724"/>
      <c r="H129" s="724"/>
      <c r="I129" s="724"/>
      <c r="J129" s="724"/>
      <c r="K129" s="724"/>
      <c r="L129" s="724"/>
      <c r="M129" s="724"/>
      <c r="N129" s="724"/>
      <c r="O129" s="724"/>
      <c r="P129" s="724"/>
      <c r="Q129" s="724"/>
      <c r="R129" s="724"/>
      <c r="S129" s="738"/>
    </row>
    <row r="130" spans="1:19" ht="17.25" customHeight="1" thickBot="1">
      <c r="A130" s="725" t="s">
        <v>57</v>
      </c>
      <c r="B130" s="726"/>
      <c r="C130" s="726" t="s">
        <v>58</v>
      </c>
      <c r="D130" s="726"/>
      <c r="E130" s="726"/>
      <c r="F130" s="726"/>
      <c r="G130" s="726"/>
      <c r="H130" s="726"/>
      <c r="I130" s="726"/>
      <c r="J130" s="726"/>
      <c r="K130" s="726"/>
      <c r="L130" s="726"/>
      <c r="M130" s="726"/>
      <c r="N130" s="726"/>
      <c r="O130" s="726"/>
      <c r="P130" s="726"/>
      <c r="Q130" s="726"/>
      <c r="R130" s="726"/>
      <c r="S130" s="730"/>
    </row>
    <row r="131" spans="1:19" ht="20.100000000000001" customHeight="1" thickTop="1">
      <c r="A131" s="731" t="s">
        <v>59</v>
      </c>
      <c r="B131" s="732"/>
      <c r="C131" s="732"/>
      <c r="D131" s="732"/>
      <c r="E131" s="732"/>
      <c r="F131" s="732"/>
      <c r="G131" s="732"/>
      <c r="H131" s="732"/>
      <c r="I131" s="732"/>
      <c r="J131" s="732"/>
      <c r="K131" s="732"/>
      <c r="L131" s="732"/>
      <c r="M131" s="732"/>
      <c r="N131" s="732"/>
      <c r="O131" s="732"/>
      <c r="P131" s="732"/>
      <c r="Q131" s="732"/>
      <c r="R131" s="732"/>
      <c r="S131" s="733"/>
    </row>
    <row r="132" spans="1:19" ht="20.100000000000001" customHeight="1">
      <c r="A132" s="723" t="s">
        <v>60</v>
      </c>
      <c r="B132" s="724"/>
      <c r="C132" s="314"/>
      <c r="D132" s="315"/>
      <c r="E132" s="315"/>
      <c r="F132" s="315" t="s">
        <v>61</v>
      </c>
      <c r="G132" s="315"/>
      <c r="H132" s="315"/>
      <c r="I132" s="315"/>
      <c r="J132" s="315"/>
      <c r="K132" s="315"/>
      <c r="L132" s="315"/>
      <c r="M132" s="315" t="s">
        <v>62</v>
      </c>
      <c r="N132" s="315"/>
      <c r="O132" s="315"/>
      <c r="P132" s="315"/>
      <c r="Q132" s="315"/>
      <c r="R132" s="315"/>
      <c r="S132" s="316"/>
    </row>
    <row r="133" spans="1:19" ht="20.100000000000001" customHeight="1">
      <c r="A133" s="723" t="s">
        <v>63</v>
      </c>
      <c r="B133" s="724"/>
      <c r="C133" s="314"/>
      <c r="D133" s="315"/>
      <c r="E133" s="315"/>
      <c r="F133" s="315" t="s">
        <v>61</v>
      </c>
      <c r="G133" s="315"/>
      <c r="H133" s="315"/>
      <c r="I133" s="315"/>
      <c r="J133" s="315"/>
      <c r="K133" s="315"/>
      <c r="L133" s="315"/>
      <c r="M133" s="315" t="s">
        <v>62</v>
      </c>
      <c r="N133" s="315"/>
      <c r="O133" s="315"/>
      <c r="P133" s="315"/>
      <c r="Q133" s="315"/>
      <c r="R133" s="315"/>
      <c r="S133" s="316"/>
    </row>
    <row r="134" spans="1:19" ht="20.100000000000001" customHeight="1">
      <c r="A134" s="723" t="s">
        <v>64</v>
      </c>
      <c r="B134" s="724"/>
      <c r="C134" s="314"/>
      <c r="D134" s="315"/>
      <c r="E134" s="315"/>
      <c r="F134" s="315" t="s">
        <v>61</v>
      </c>
      <c r="G134" s="315"/>
      <c r="H134" s="315"/>
      <c r="I134" s="315"/>
      <c r="J134" s="315"/>
      <c r="K134" s="315"/>
      <c r="L134" s="315"/>
      <c r="M134" s="315" t="s">
        <v>62</v>
      </c>
      <c r="N134" s="315"/>
      <c r="O134" s="315"/>
      <c r="P134" s="315"/>
      <c r="Q134" s="315"/>
      <c r="R134" s="315"/>
      <c r="S134" s="316"/>
    </row>
    <row r="135" spans="1:19" ht="20.100000000000001" customHeight="1">
      <c r="A135" s="723" t="s">
        <v>65</v>
      </c>
      <c r="B135" s="724"/>
      <c r="C135" s="314"/>
      <c r="D135" s="315"/>
      <c r="E135" s="315"/>
      <c r="F135" s="315" t="s">
        <v>61</v>
      </c>
      <c r="G135" s="315"/>
      <c r="H135" s="315"/>
      <c r="I135" s="315"/>
      <c r="J135" s="315"/>
      <c r="K135" s="315"/>
      <c r="L135" s="315"/>
      <c r="M135" s="315" t="s">
        <v>62</v>
      </c>
      <c r="N135" s="315"/>
      <c r="O135" s="315"/>
      <c r="P135" s="315"/>
      <c r="Q135" s="315"/>
      <c r="R135" s="315"/>
      <c r="S135" s="316"/>
    </row>
    <row r="136" spans="1:19" ht="20.100000000000001" customHeight="1">
      <c r="A136" s="723" t="s">
        <v>66</v>
      </c>
      <c r="B136" s="724"/>
      <c r="C136" s="315"/>
      <c r="D136" s="315"/>
      <c r="E136" s="315"/>
      <c r="F136" s="315" t="s">
        <v>61</v>
      </c>
      <c r="G136" s="315"/>
      <c r="H136" s="315"/>
      <c r="I136" s="315"/>
      <c r="J136" s="315"/>
      <c r="K136" s="315"/>
      <c r="L136" s="315"/>
      <c r="M136" s="315" t="s">
        <v>62</v>
      </c>
      <c r="N136" s="315"/>
      <c r="O136" s="315"/>
      <c r="P136" s="315"/>
      <c r="Q136" s="315"/>
      <c r="R136" s="315"/>
      <c r="S136" s="316"/>
    </row>
    <row r="137" spans="1:19" ht="19.5" customHeight="1" thickBot="1">
      <c r="A137" s="725" t="s">
        <v>67</v>
      </c>
      <c r="B137" s="726"/>
      <c r="C137" s="45"/>
      <c r="D137" s="45"/>
      <c r="E137" s="45"/>
      <c r="F137" s="45" t="s">
        <v>61</v>
      </c>
      <c r="G137" s="45"/>
      <c r="H137" s="45"/>
      <c r="I137" s="45"/>
      <c r="J137" s="45"/>
      <c r="K137" s="45"/>
      <c r="L137" s="45"/>
      <c r="M137" s="45" t="s">
        <v>62</v>
      </c>
      <c r="N137" s="45"/>
      <c r="O137" s="45"/>
      <c r="P137" s="45"/>
      <c r="Q137" s="45"/>
      <c r="R137" s="45"/>
      <c r="S137" s="46"/>
    </row>
    <row r="138" spans="1:19" ht="15" thickTop="1">
      <c r="A138" s="727" t="s">
        <v>68</v>
      </c>
      <c r="B138" s="728"/>
      <c r="C138" s="728"/>
      <c r="D138" s="728"/>
      <c r="E138" s="728"/>
      <c r="F138" s="728"/>
      <c r="G138" s="728"/>
      <c r="H138" s="728"/>
      <c r="I138" s="728"/>
      <c r="J138" s="728"/>
      <c r="K138" s="728"/>
      <c r="L138" s="728"/>
      <c r="M138" s="728"/>
      <c r="N138" s="728"/>
      <c r="O138" s="728"/>
      <c r="P138" s="728"/>
      <c r="Q138" s="728"/>
      <c r="R138" s="728"/>
      <c r="S138" s="729"/>
    </row>
    <row r="139" spans="1:19" ht="8.25" customHeight="1">
      <c r="A139" s="707"/>
      <c r="B139" s="708"/>
      <c r="C139" s="708"/>
      <c r="D139" s="708"/>
      <c r="E139" s="708"/>
      <c r="F139" s="708"/>
      <c r="G139" s="708"/>
      <c r="H139" s="708"/>
      <c r="I139" s="708"/>
      <c r="J139" s="708"/>
      <c r="K139" s="708"/>
      <c r="L139" s="708"/>
      <c r="M139" s="708"/>
      <c r="N139" s="708"/>
      <c r="O139" s="708"/>
      <c r="P139" s="708"/>
      <c r="Q139" s="708"/>
      <c r="R139" s="708"/>
      <c r="S139" s="709"/>
    </row>
    <row r="140" spans="1:19" ht="8.25" customHeight="1">
      <c r="A140" s="707"/>
      <c r="B140" s="708"/>
      <c r="C140" s="708"/>
      <c r="D140" s="708"/>
      <c r="E140" s="708"/>
      <c r="F140" s="708"/>
      <c r="G140" s="708"/>
      <c r="H140" s="708"/>
      <c r="I140" s="708"/>
      <c r="J140" s="708"/>
      <c r="K140" s="708"/>
      <c r="L140" s="708"/>
      <c r="M140" s="708"/>
      <c r="N140" s="708"/>
      <c r="O140" s="708"/>
      <c r="P140" s="708"/>
      <c r="Q140" s="708"/>
      <c r="R140" s="708"/>
      <c r="S140" s="709"/>
    </row>
    <row r="141" spans="1:19" ht="15.75" customHeight="1">
      <c r="A141" s="707"/>
      <c r="B141" s="708"/>
      <c r="C141" s="708"/>
      <c r="D141" s="708"/>
      <c r="E141" s="708"/>
      <c r="F141" s="708"/>
      <c r="G141" s="708"/>
      <c r="H141" s="708"/>
      <c r="I141" s="708"/>
      <c r="J141" s="708"/>
      <c r="K141" s="708"/>
      <c r="L141" s="708"/>
      <c r="M141" s="708"/>
      <c r="N141" s="708"/>
      <c r="O141" s="708"/>
      <c r="P141" s="708"/>
      <c r="Q141" s="708"/>
      <c r="R141" s="708"/>
      <c r="S141" s="709"/>
    </row>
    <row r="142" spans="1:19" ht="8.25" customHeight="1">
      <c r="A142" s="707"/>
      <c r="B142" s="708"/>
      <c r="C142" s="708"/>
      <c r="D142" s="708"/>
      <c r="E142" s="708"/>
      <c r="F142" s="708"/>
      <c r="G142" s="708"/>
      <c r="H142" s="708"/>
      <c r="I142" s="708"/>
      <c r="J142" s="708"/>
      <c r="K142" s="708"/>
      <c r="L142" s="708"/>
      <c r="M142" s="708"/>
      <c r="N142" s="708"/>
      <c r="O142" s="708"/>
      <c r="P142" s="708"/>
      <c r="Q142" s="708"/>
      <c r="R142" s="708"/>
      <c r="S142" s="709"/>
    </row>
    <row r="143" spans="1:19" ht="8.25" customHeight="1">
      <c r="A143" s="707"/>
      <c r="B143" s="708"/>
      <c r="C143" s="708"/>
      <c r="D143" s="708"/>
      <c r="E143" s="708"/>
      <c r="F143" s="708"/>
      <c r="G143" s="708"/>
      <c r="H143" s="708"/>
      <c r="I143" s="708"/>
      <c r="J143" s="708"/>
      <c r="K143" s="708"/>
      <c r="L143" s="708"/>
      <c r="M143" s="708"/>
      <c r="N143" s="708"/>
      <c r="O143" s="708"/>
      <c r="P143" s="708"/>
      <c r="Q143" s="708"/>
      <c r="R143" s="708"/>
      <c r="S143" s="709"/>
    </row>
    <row r="144" spans="1:19" ht="8.25" customHeight="1">
      <c r="A144" s="707"/>
      <c r="B144" s="708"/>
      <c r="C144" s="708"/>
      <c r="D144" s="708"/>
      <c r="E144" s="708"/>
      <c r="F144" s="708"/>
      <c r="G144" s="708"/>
      <c r="H144" s="708"/>
      <c r="I144" s="708"/>
      <c r="J144" s="708"/>
      <c r="K144" s="708"/>
      <c r="L144" s="708"/>
      <c r="M144" s="708"/>
      <c r="N144" s="708"/>
      <c r="O144" s="708"/>
      <c r="P144" s="708"/>
      <c r="Q144" s="708"/>
      <c r="R144" s="708"/>
      <c r="S144" s="709"/>
    </row>
    <row r="145" spans="1:19" ht="8.25" customHeight="1" thickBot="1">
      <c r="A145" s="710"/>
      <c r="B145" s="711"/>
      <c r="C145" s="711"/>
      <c r="D145" s="711"/>
      <c r="E145" s="711"/>
      <c r="F145" s="711"/>
      <c r="G145" s="711"/>
      <c r="H145" s="711"/>
      <c r="I145" s="711"/>
      <c r="J145" s="711"/>
      <c r="K145" s="711"/>
      <c r="L145" s="711"/>
      <c r="M145" s="711"/>
      <c r="N145" s="711"/>
      <c r="O145" s="711"/>
      <c r="P145" s="711"/>
      <c r="Q145" s="711"/>
      <c r="R145" s="711"/>
      <c r="S145" s="712"/>
    </row>
    <row r="146" spans="1:19" ht="20.100000000000001" customHeight="1" thickTop="1">
      <c r="A146" s="713" t="s">
        <v>69</v>
      </c>
      <c r="B146" s="714"/>
      <c r="C146" s="714"/>
      <c r="D146" s="714"/>
      <c r="E146" s="714"/>
      <c r="F146" s="714"/>
      <c r="G146" s="714"/>
      <c r="H146" s="714"/>
      <c r="I146" s="714"/>
      <c r="J146" s="714"/>
      <c r="K146" s="714"/>
      <c r="L146" s="714"/>
      <c r="M146" s="714"/>
      <c r="N146" s="714"/>
      <c r="O146" s="714"/>
      <c r="P146" s="714"/>
      <c r="Q146" s="714"/>
      <c r="R146" s="714"/>
      <c r="S146" s="715"/>
    </row>
    <row r="147" spans="1:19" ht="12" customHeight="1">
      <c r="A147" s="707"/>
      <c r="B147" s="708"/>
      <c r="C147" s="708"/>
      <c r="D147" s="708"/>
      <c r="E147" s="708"/>
      <c r="F147" s="708"/>
      <c r="G147" s="708"/>
      <c r="H147" s="708"/>
      <c r="I147" s="708"/>
      <c r="J147" s="708"/>
      <c r="K147" s="708"/>
      <c r="L147" s="708"/>
      <c r="M147" s="708"/>
      <c r="N147" s="708"/>
      <c r="O147" s="708"/>
      <c r="P147" s="708"/>
      <c r="Q147" s="708"/>
      <c r="R147" s="708"/>
      <c r="S147" s="709"/>
    </row>
    <row r="148" spans="1:19" ht="12" customHeight="1">
      <c r="A148" s="707"/>
      <c r="B148" s="708"/>
      <c r="C148" s="708"/>
      <c r="D148" s="708"/>
      <c r="E148" s="708"/>
      <c r="F148" s="708"/>
      <c r="G148" s="708"/>
      <c r="H148" s="708"/>
      <c r="I148" s="708"/>
      <c r="J148" s="708"/>
      <c r="K148" s="708"/>
      <c r="L148" s="708"/>
      <c r="M148" s="708"/>
      <c r="N148" s="708"/>
      <c r="O148" s="708"/>
      <c r="P148" s="708"/>
      <c r="Q148" s="708"/>
      <c r="R148" s="708"/>
      <c r="S148" s="709"/>
    </row>
    <row r="149" spans="1:19" ht="12" customHeight="1">
      <c r="A149" s="707"/>
      <c r="B149" s="708"/>
      <c r="C149" s="708"/>
      <c r="D149" s="708"/>
      <c r="E149" s="708"/>
      <c r="F149" s="708"/>
      <c r="G149" s="708"/>
      <c r="H149" s="708"/>
      <c r="I149" s="708"/>
      <c r="J149" s="708"/>
      <c r="K149" s="708"/>
      <c r="L149" s="708"/>
      <c r="M149" s="708"/>
      <c r="N149" s="708"/>
      <c r="O149" s="708"/>
      <c r="P149" s="708"/>
      <c r="Q149" s="708"/>
      <c r="R149" s="708"/>
      <c r="S149" s="709"/>
    </row>
    <row r="150" spans="1:19" ht="19.5" customHeight="1">
      <c r="A150" s="707"/>
      <c r="B150" s="708"/>
      <c r="C150" s="708"/>
      <c r="D150" s="708"/>
      <c r="E150" s="708"/>
      <c r="F150" s="708"/>
      <c r="G150" s="708"/>
      <c r="H150" s="708"/>
      <c r="I150" s="708"/>
      <c r="J150" s="708"/>
      <c r="K150" s="708"/>
      <c r="L150" s="708"/>
      <c r="M150" s="708"/>
      <c r="N150" s="708"/>
      <c r="O150" s="708"/>
      <c r="P150" s="708"/>
      <c r="Q150" s="708"/>
      <c r="R150" s="708"/>
      <c r="S150" s="709"/>
    </row>
    <row r="151" spans="1:19" ht="12" customHeight="1" thickBot="1">
      <c r="A151" s="716"/>
      <c r="B151" s="717"/>
      <c r="C151" s="717"/>
      <c r="D151" s="717"/>
      <c r="E151" s="717"/>
      <c r="F151" s="717"/>
      <c r="G151" s="717"/>
      <c r="H151" s="717"/>
      <c r="I151" s="717"/>
      <c r="J151" s="717"/>
      <c r="K151" s="717"/>
      <c r="L151" s="717"/>
      <c r="M151" s="717"/>
      <c r="N151" s="717"/>
      <c r="O151" s="717"/>
      <c r="P151" s="717"/>
      <c r="Q151" s="717"/>
      <c r="R151" s="717"/>
      <c r="S151" s="718"/>
    </row>
    <row r="152" spans="1:19" ht="19.5" customHeight="1">
      <c r="A152" s="719" t="s">
        <v>98</v>
      </c>
      <c r="B152" s="720"/>
      <c r="C152" s="720"/>
      <c r="D152" s="720"/>
      <c r="E152" s="720"/>
      <c r="F152" s="720"/>
      <c r="G152" s="720"/>
      <c r="H152" s="720"/>
      <c r="I152" s="720"/>
      <c r="J152" s="720"/>
      <c r="K152" s="720"/>
      <c r="L152" s="720"/>
      <c r="M152" s="720"/>
      <c r="N152" s="720"/>
      <c r="O152" s="720"/>
      <c r="P152" s="720"/>
      <c r="Q152" s="720"/>
      <c r="R152" s="720"/>
      <c r="S152" s="721"/>
    </row>
    <row r="153" spans="1:19" ht="19.5" customHeight="1" thickBot="1">
      <c r="A153" s="722">
        <f ca="1">TODAY()</f>
        <v>43839</v>
      </c>
      <c r="B153" s="717"/>
      <c r="C153" s="717"/>
      <c r="D153" s="717"/>
      <c r="E153" s="717"/>
      <c r="F153" s="717"/>
      <c r="G153" s="717"/>
      <c r="H153" s="717"/>
      <c r="I153" s="717"/>
      <c r="J153" s="717"/>
      <c r="K153" s="717"/>
      <c r="L153" s="717"/>
      <c r="M153" s="717"/>
      <c r="N153" s="717"/>
      <c r="O153" s="717"/>
      <c r="P153" s="717"/>
      <c r="Q153" s="717"/>
      <c r="R153" s="717"/>
      <c r="S153" s="718"/>
    </row>
    <row r="154" spans="1:19" ht="27.75" customHeight="1"/>
    <row r="155" spans="1:19" ht="24">
      <c r="A155" s="747" t="s">
        <v>46</v>
      </c>
      <c r="B155" s="747"/>
      <c r="C155" s="747"/>
      <c r="D155" s="747"/>
      <c r="E155" s="747"/>
      <c r="F155" s="747"/>
      <c r="G155" s="747"/>
      <c r="H155" s="747"/>
      <c r="I155" s="747"/>
      <c r="J155" s="747"/>
      <c r="K155" s="747"/>
      <c r="L155" s="747"/>
      <c r="M155" s="747"/>
      <c r="N155" s="747"/>
      <c r="O155" s="747"/>
      <c r="P155" s="747"/>
      <c r="Q155" s="747"/>
      <c r="R155" s="747"/>
      <c r="S155" s="747"/>
    </row>
    <row r="156" spans="1:19" ht="9.75" customHeight="1" thickBot="1"/>
    <row r="157" spans="1:19" ht="20.100000000000001" customHeight="1">
      <c r="A157" s="744" t="s">
        <v>47</v>
      </c>
      <c r="B157" s="745"/>
      <c r="C157" s="745" t="s">
        <v>74</v>
      </c>
      <c r="D157" s="745"/>
      <c r="E157" s="745"/>
      <c r="F157" s="745"/>
      <c r="G157" s="745"/>
      <c r="H157" s="745"/>
      <c r="I157" s="745"/>
      <c r="J157" s="745"/>
      <c r="K157" s="745"/>
      <c r="L157" s="745"/>
      <c r="M157" s="745"/>
      <c r="N157" s="745"/>
      <c r="O157" s="745"/>
      <c r="P157" s="745"/>
      <c r="Q157" s="745"/>
      <c r="R157" s="745"/>
      <c r="S157" s="746"/>
    </row>
    <row r="158" spans="1:19" ht="20.100000000000001" customHeight="1">
      <c r="A158" s="723" t="s">
        <v>48</v>
      </c>
      <c r="B158" s="724"/>
      <c r="C158" s="724" t="s">
        <v>461</v>
      </c>
      <c r="D158" s="724"/>
      <c r="E158" s="724"/>
      <c r="F158" s="724"/>
      <c r="G158" s="724"/>
      <c r="H158" s="724"/>
      <c r="I158" s="724"/>
      <c r="J158" s="724"/>
      <c r="K158" s="724"/>
      <c r="L158" s="724"/>
      <c r="M158" s="724"/>
      <c r="N158" s="724"/>
      <c r="O158" s="724"/>
      <c r="P158" s="724"/>
      <c r="Q158" s="724"/>
      <c r="R158" s="724"/>
      <c r="S158" s="738"/>
    </row>
    <row r="159" spans="1:19" ht="20.100000000000001" customHeight="1">
      <c r="A159" s="723" t="s">
        <v>49</v>
      </c>
      <c r="B159" s="724"/>
      <c r="C159" s="724">
        <v>201209</v>
      </c>
      <c r="D159" s="724"/>
      <c r="E159" s="724"/>
      <c r="F159" s="724"/>
      <c r="G159" s="724"/>
      <c r="H159" s="724"/>
      <c r="I159" s="724"/>
      <c r="J159" s="734" t="s">
        <v>50</v>
      </c>
      <c r="K159" s="735"/>
      <c r="L159" s="742"/>
      <c r="M159" s="724"/>
      <c r="N159" s="724"/>
      <c r="O159" s="724"/>
      <c r="P159" s="724"/>
      <c r="Q159" s="724"/>
      <c r="R159" s="724"/>
      <c r="S159" s="738"/>
    </row>
    <row r="160" spans="1:19" ht="20.100000000000001" customHeight="1">
      <c r="A160" s="723" t="s">
        <v>51</v>
      </c>
      <c r="B160" s="724"/>
      <c r="C160" s="724" t="s">
        <v>117</v>
      </c>
      <c r="D160" s="724"/>
      <c r="E160" s="724"/>
      <c r="F160" s="724"/>
      <c r="G160" s="724"/>
      <c r="H160" s="724"/>
      <c r="I160" s="724"/>
      <c r="J160" s="734" t="s">
        <v>52</v>
      </c>
      <c r="K160" s="735"/>
      <c r="L160" s="742"/>
      <c r="M160" s="724"/>
      <c r="N160" s="724"/>
      <c r="O160" s="724"/>
      <c r="P160" s="724"/>
      <c r="Q160" s="724"/>
      <c r="R160" s="724"/>
      <c r="S160" s="738"/>
    </row>
    <row r="161" spans="1:19" ht="13.5" customHeight="1">
      <c r="A161" s="739" t="s">
        <v>99</v>
      </c>
      <c r="B161" s="743"/>
      <c r="C161" s="734" t="str">
        <f>辅助!R26</f>
        <v/>
      </c>
      <c r="D161" s="735"/>
      <c r="E161" s="735"/>
      <c r="F161" s="735"/>
      <c r="G161" s="735"/>
      <c r="H161" s="735"/>
      <c r="I161" s="735"/>
      <c r="J161" s="735"/>
      <c r="K161" s="735"/>
      <c r="L161" s="735"/>
      <c r="M161" s="735"/>
      <c r="N161" s="735"/>
      <c r="O161" s="735"/>
      <c r="P161" s="735"/>
      <c r="Q161" s="735"/>
      <c r="R161" s="735"/>
      <c r="S161" s="736"/>
    </row>
    <row r="162" spans="1:19" ht="13.5" customHeight="1">
      <c r="A162" s="707"/>
      <c r="B162" s="708"/>
      <c r="C162" s="734" t="str">
        <f>辅助!R27</f>
        <v/>
      </c>
      <c r="D162" s="735"/>
      <c r="E162" s="735"/>
      <c r="F162" s="735"/>
      <c r="G162" s="735"/>
      <c r="H162" s="735"/>
      <c r="I162" s="735"/>
      <c r="J162" s="735"/>
      <c r="K162" s="735"/>
      <c r="L162" s="735"/>
      <c r="M162" s="735"/>
      <c r="N162" s="735"/>
      <c r="O162" s="735"/>
      <c r="P162" s="735"/>
      <c r="Q162" s="735"/>
      <c r="R162" s="735"/>
      <c r="S162" s="736"/>
    </row>
    <row r="163" spans="1:19" ht="13.5" customHeight="1">
      <c r="A163" s="707"/>
      <c r="B163" s="708"/>
      <c r="C163" s="734" t="str">
        <f>辅助!R28</f>
        <v/>
      </c>
      <c r="D163" s="735"/>
      <c r="E163" s="735"/>
      <c r="F163" s="735"/>
      <c r="G163" s="735"/>
      <c r="H163" s="735"/>
      <c r="I163" s="735"/>
      <c r="J163" s="735"/>
      <c r="K163" s="735"/>
      <c r="L163" s="735"/>
      <c r="M163" s="735"/>
      <c r="N163" s="735"/>
      <c r="O163" s="735"/>
      <c r="P163" s="735"/>
      <c r="Q163" s="735"/>
      <c r="R163" s="735"/>
      <c r="S163" s="736"/>
    </row>
    <row r="164" spans="1:19" ht="13.5" customHeight="1">
      <c r="A164" s="707"/>
      <c r="B164" s="708"/>
      <c r="C164" s="734" t="str">
        <f>辅助!R29</f>
        <v/>
      </c>
      <c r="D164" s="735"/>
      <c r="E164" s="735"/>
      <c r="F164" s="735"/>
      <c r="G164" s="735"/>
      <c r="H164" s="735"/>
      <c r="I164" s="735"/>
      <c r="J164" s="735"/>
      <c r="K164" s="735"/>
      <c r="L164" s="735"/>
      <c r="M164" s="735"/>
      <c r="N164" s="735"/>
      <c r="O164" s="735"/>
      <c r="P164" s="735"/>
      <c r="Q164" s="735"/>
      <c r="R164" s="735"/>
      <c r="S164" s="736"/>
    </row>
    <row r="165" spans="1:19" ht="13.5" customHeight="1">
      <c r="A165" s="707"/>
      <c r="B165" s="708"/>
      <c r="C165" s="734" t="str">
        <f>辅助!R30</f>
        <v/>
      </c>
      <c r="D165" s="735"/>
      <c r="E165" s="735"/>
      <c r="F165" s="735"/>
      <c r="G165" s="735"/>
      <c r="H165" s="735"/>
      <c r="I165" s="735"/>
      <c r="J165" s="735"/>
      <c r="K165" s="735"/>
      <c r="L165" s="735"/>
      <c r="M165" s="735"/>
      <c r="N165" s="735"/>
      <c r="O165" s="735"/>
      <c r="P165" s="735"/>
      <c r="Q165" s="735"/>
      <c r="R165" s="735"/>
      <c r="S165" s="736"/>
    </row>
    <row r="166" spans="1:19" ht="13.5" customHeight="1">
      <c r="A166" s="707"/>
      <c r="B166" s="708"/>
      <c r="C166" s="734" t="str">
        <f>辅助!R31</f>
        <v/>
      </c>
      <c r="D166" s="735"/>
      <c r="E166" s="735"/>
      <c r="F166" s="735"/>
      <c r="G166" s="735"/>
      <c r="H166" s="735"/>
      <c r="I166" s="735"/>
      <c r="J166" s="735"/>
      <c r="K166" s="735"/>
      <c r="L166" s="735"/>
      <c r="M166" s="735"/>
      <c r="N166" s="735"/>
      <c r="O166" s="735"/>
      <c r="P166" s="735"/>
      <c r="Q166" s="735"/>
      <c r="R166" s="735"/>
      <c r="S166" s="736"/>
    </row>
    <row r="167" spans="1:19" ht="13.5" customHeight="1">
      <c r="A167" s="707"/>
      <c r="B167" s="708"/>
      <c r="C167" s="734" t="str">
        <f>辅助!R32</f>
        <v/>
      </c>
      <c r="D167" s="735"/>
      <c r="E167" s="735"/>
      <c r="F167" s="735"/>
      <c r="G167" s="735"/>
      <c r="H167" s="735"/>
      <c r="I167" s="735"/>
      <c r="J167" s="735"/>
      <c r="K167" s="735"/>
      <c r="L167" s="735"/>
      <c r="M167" s="735"/>
      <c r="N167" s="735"/>
      <c r="O167" s="735"/>
      <c r="P167" s="735"/>
      <c r="Q167" s="735"/>
      <c r="R167" s="735"/>
      <c r="S167" s="736"/>
    </row>
    <row r="168" spans="1:19" ht="13.5" customHeight="1">
      <c r="A168" s="707"/>
      <c r="B168" s="708"/>
      <c r="C168" s="734" t="str">
        <f>辅助!R33</f>
        <v/>
      </c>
      <c r="D168" s="735"/>
      <c r="E168" s="735"/>
      <c r="F168" s="735"/>
      <c r="G168" s="735"/>
      <c r="H168" s="735"/>
      <c r="I168" s="735"/>
      <c r="J168" s="735"/>
      <c r="K168" s="735"/>
      <c r="L168" s="735"/>
      <c r="M168" s="735"/>
      <c r="N168" s="735"/>
      <c r="O168" s="735"/>
      <c r="P168" s="735"/>
      <c r="Q168" s="735"/>
      <c r="R168" s="735"/>
      <c r="S168" s="736"/>
    </row>
    <row r="169" spans="1:19" ht="13.5" customHeight="1">
      <c r="A169" s="739" t="s">
        <v>53</v>
      </c>
      <c r="B169" s="740"/>
      <c r="C169" s="734" t="str">
        <f>辅助!L26</f>
        <v/>
      </c>
      <c r="D169" s="735"/>
      <c r="E169" s="735"/>
      <c r="F169" s="735"/>
      <c r="G169" s="735"/>
      <c r="H169" s="735"/>
      <c r="I169" s="735"/>
      <c r="J169" s="735"/>
      <c r="K169" s="735"/>
      <c r="L169" s="735"/>
      <c r="M169" s="735"/>
      <c r="N169" s="735"/>
      <c r="O169" s="735"/>
      <c r="P169" s="735"/>
      <c r="Q169" s="735"/>
      <c r="R169" s="735"/>
      <c r="S169" s="736"/>
    </row>
    <row r="170" spans="1:19" ht="13.5" customHeight="1">
      <c r="A170" s="707"/>
      <c r="B170" s="741"/>
      <c r="C170" s="734" t="str">
        <f>辅助!L27</f>
        <v/>
      </c>
      <c r="D170" s="735"/>
      <c r="E170" s="735"/>
      <c r="F170" s="735"/>
      <c r="G170" s="735"/>
      <c r="H170" s="735"/>
      <c r="I170" s="735"/>
      <c r="J170" s="735"/>
      <c r="K170" s="735"/>
      <c r="L170" s="735"/>
      <c r="M170" s="735"/>
      <c r="N170" s="735"/>
      <c r="O170" s="735"/>
      <c r="P170" s="735"/>
      <c r="Q170" s="735"/>
      <c r="R170" s="735"/>
      <c r="S170" s="736"/>
    </row>
    <row r="171" spans="1:19" ht="13.5" customHeight="1">
      <c r="A171" s="707"/>
      <c r="B171" s="741"/>
      <c r="C171" s="734" t="str">
        <f>辅助!L28</f>
        <v/>
      </c>
      <c r="D171" s="735"/>
      <c r="E171" s="735"/>
      <c r="F171" s="735"/>
      <c r="G171" s="735"/>
      <c r="H171" s="735"/>
      <c r="I171" s="735"/>
      <c r="J171" s="735"/>
      <c r="K171" s="735"/>
      <c r="L171" s="735"/>
      <c r="M171" s="735"/>
      <c r="N171" s="735"/>
      <c r="O171" s="735"/>
      <c r="P171" s="735"/>
      <c r="Q171" s="735"/>
      <c r="R171" s="735"/>
      <c r="S171" s="736"/>
    </row>
    <row r="172" spans="1:19" ht="13.5" customHeight="1">
      <c r="A172" s="707"/>
      <c r="B172" s="741"/>
      <c r="C172" s="734" t="str">
        <f>辅助!L29</f>
        <v/>
      </c>
      <c r="D172" s="735"/>
      <c r="E172" s="735"/>
      <c r="F172" s="735"/>
      <c r="G172" s="735"/>
      <c r="H172" s="735"/>
      <c r="I172" s="735"/>
      <c r="J172" s="735"/>
      <c r="K172" s="735"/>
      <c r="L172" s="735"/>
      <c r="M172" s="735"/>
      <c r="N172" s="735"/>
      <c r="O172" s="735"/>
      <c r="P172" s="735"/>
      <c r="Q172" s="735"/>
      <c r="R172" s="735"/>
      <c r="S172" s="736"/>
    </row>
    <row r="173" spans="1:19" ht="13.5" customHeight="1">
      <c r="A173" s="707"/>
      <c r="B173" s="741"/>
      <c r="C173" s="734" t="str">
        <f>辅助!L30</f>
        <v/>
      </c>
      <c r="D173" s="735"/>
      <c r="E173" s="735"/>
      <c r="F173" s="735"/>
      <c r="G173" s="735"/>
      <c r="H173" s="735"/>
      <c r="I173" s="735"/>
      <c r="J173" s="735"/>
      <c r="K173" s="735"/>
      <c r="L173" s="735"/>
      <c r="M173" s="735"/>
      <c r="N173" s="735"/>
      <c r="O173" s="735"/>
      <c r="P173" s="735"/>
      <c r="Q173" s="735"/>
      <c r="R173" s="735"/>
      <c r="S173" s="736"/>
    </row>
    <row r="174" spans="1:19" ht="13.5" customHeight="1">
      <c r="A174" s="707"/>
      <c r="B174" s="741"/>
      <c r="C174" s="734" t="str">
        <f>辅助!L31</f>
        <v/>
      </c>
      <c r="D174" s="735"/>
      <c r="E174" s="735"/>
      <c r="F174" s="735"/>
      <c r="G174" s="735"/>
      <c r="H174" s="735"/>
      <c r="I174" s="735"/>
      <c r="J174" s="735"/>
      <c r="K174" s="735"/>
      <c r="L174" s="735"/>
      <c r="M174" s="735"/>
      <c r="N174" s="735"/>
      <c r="O174" s="735"/>
      <c r="P174" s="735"/>
      <c r="Q174" s="735"/>
      <c r="R174" s="735"/>
      <c r="S174" s="736"/>
    </row>
    <row r="175" spans="1:19" ht="13.5" customHeight="1">
      <c r="A175" s="707"/>
      <c r="B175" s="741"/>
      <c r="C175" s="734" t="str">
        <f>辅助!L32</f>
        <v/>
      </c>
      <c r="D175" s="735"/>
      <c r="E175" s="735"/>
      <c r="F175" s="735"/>
      <c r="G175" s="735"/>
      <c r="H175" s="735"/>
      <c r="I175" s="735"/>
      <c r="J175" s="735"/>
      <c r="K175" s="735"/>
      <c r="L175" s="735"/>
      <c r="M175" s="735"/>
      <c r="N175" s="735"/>
      <c r="O175" s="735"/>
      <c r="P175" s="735"/>
      <c r="Q175" s="735"/>
      <c r="R175" s="735"/>
      <c r="S175" s="736"/>
    </row>
    <row r="176" spans="1:19" ht="13.5" customHeight="1">
      <c r="A176" s="707"/>
      <c r="B176" s="741"/>
      <c r="C176" s="734" t="str">
        <f>辅助!L33</f>
        <v/>
      </c>
      <c r="D176" s="735"/>
      <c r="E176" s="735"/>
      <c r="F176" s="735"/>
      <c r="G176" s="735"/>
      <c r="H176" s="735"/>
      <c r="I176" s="735"/>
      <c r="J176" s="735"/>
      <c r="K176" s="735"/>
      <c r="L176" s="735"/>
      <c r="M176" s="735"/>
      <c r="N176" s="735"/>
      <c r="O176" s="735"/>
      <c r="P176" s="735"/>
      <c r="Q176" s="735"/>
      <c r="R176" s="735"/>
      <c r="S176" s="736"/>
    </row>
    <row r="177" spans="1:19" ht="17.25" customHeight="1">
      <c r="A177" s="723" t="s">
        <v>54</v>
      </c>
      <c r="B177" s="724"/>
      <c r="C177" s="737">
        <v>0.99</v>
      </c>
      <c r="D177" s="724"/>
      <c r="E177" s="724"/>
      <c r="F177" s="724"/>
      <c r="G177" s="724"/>
      <c r="H177" s="724"/>
      <c r="I177" s="724"/>
      <c r="J177" s="724"/>
      <c r="K177" s="724"/>
      <c r="L177" s="724"/>
      <c r="M177" s="724"/>
      <c r="N177" s="724"/>
      <c r="O177" s="724"/>
      <c r="P177" s="724"/>
      <c r="Q177" s="724"/>
      <c r="R177" s="724"/>
      <c r="S177" s="738"/>
    </row>
    <row r="178" spans="1:19" ht="17.25" customHeight="1">
      <c r="A178" s="723" t="s">
        <v>55</v>
      </c>
      <c r="B178" s="724"/>
      <c r="C178" s="724"/>
      <c r="D178" s="724"/>
      <c r="E178" s="724"/>
      <c r="F178" s="724"/>
      <c r="G178" s="724"/>
      <c r="H178" s="724"/>
      <c r="I178" s="724"/>
      <c r="J178" s="724"/>
      <c r="K178" s="724"/>
      <c r="L178" s="724"/>
      <c r="M178" s="724"/>
      <c r="N178" s="724"/>
      <c r="O178" s="724"/>
      <c r="P178" s="724"/>
      <c r="Q178" s="724"/>
      <c r="R178" s="724"/>
      <c r="S178" s="738"/>
    </row>
    <row r="179" spans="1:19" ht="17.25" customHeight="1">
      <c r="A179" s="723" t="s">
        <v>56</v>
      </c>
      <c r="B179" s="724"/>
      <c r="C179" s="724"/>
      <c r="D179" s="724"/>
      <c r="E179" s="724"/>
      <c r="F179" s="724"/>
      <c r="G179" s="724"/>
      <c r="H179" s="724"/>
      <c r="I179" s="724"/>
      <c r="J179" s="724"/>
      <c r="K179" s="724"/>
      <c r="L179" s="724"/>
      <c r="M179" s="724"/>
      <c r="N179" s="724"/>
      <c r="O179" s="724"/>
      <c r="P179" s="724"/>
      <c r="Q179" s="724"/>
      <c r="R179" s="724"/>
      <c r="S179" s="738"/>
    </row>
    <row r="180" spans="1:19" ht="17.25" customHeight="1" thickBot="1">
      <c r="A180" s="725" t="s">
        <v>57</v>
      </c>
      <c r="B180" s="726"/>
      <c r="C180" s="726" t="s">
        <v>58</v>
      </c>
      <c r="D180" s="726"/>
      <c r="E180" s="726"/>
      <c r="F180" s="726"/>
      <c r="G180" s="726"/>
      <c r="H180" s="726"/>
      <c r="I180" s="726"/>
      <c r="J180" s="726"/>
      <c r="K180" s="726"/>
      <c r="L180" s="726"/>
      <c r="M180" s="726"/>
      <c r="N180" s="726"/>
      <c r="O180" s="726"/>
      <c r="P180" s="726"/>
      <c r="Q180" s="726"/>
      <c r="R180" s="726"/>
      <c r="S180" s="730"/>
    </row>
    <row r="181" spans="1:19" ht="20.100000000000001" customHeight="1" thickTop="1">
      <c r="A181" s="731" t="s">
        <v>59</v>
      </c>
      <c r="B181" s="732"/>
      <c r="C181" s="732"/>
      <c r="D181" s="732"/>
      <c r="E181" s="732"/>
      <c r="F181" s="732"/>
      <c r="G181" s="732"/>
      <c r="H181" s="732"/>
      <c r="I181" s="732"/>
      <c r="J181" s="732"/>
      <c r="K181" s="732"/>
      <c r="L181" s="732"/>
      <c r="M181" s="732"/>
      <c r="N181" s="732"/>
      <c r="O181" s="732"/>
      <c r="P181" s="732"/>
      <c r="Q181" s="732"/>
      <c r="R181" s="732"/>
      <c r="S181" s="733"/>
    </row>
    <row r="182" spans="1:19" ht="20.100000000000001" customHeight="1">
      <c r="A182" s="723" t="s">
        <v>60</v>
      </c>
      <c r="B182" s="724"/>
      <c r="C182" s="314"/>
      <c r="D182" s="315"/>
      <c r="E182" s="315"/>
      <c r="F182" s="315" t="s">
        <v>61</v>
      </c>
      <c r="G182" s="315"/>
      <c r="H182" s="315"/>
      <c r="I182" s="315"/>
      <c r="J182" s="315"/>
      <c r="K182" s="315"/>
      <c r="L182" s="315"/>
      <c r="M182" s="315" t="s">
        <v>62</v>
      </c>
      <c r="N182" s="315"/>
      <c r="O182" s="315"/>
      <c r="P182" s="315"/>
      <c r="Q182" s="315"/>
      <c r="R182" s="315"/>
      <c r="S182" s="316"/>
    </row>
    <row r="183" spans="1:19" ht="20.100000000000001" customHeight="1">
      <c r="A183" s="723" t="s">
        <v>63</v>
      </c>
      <c r="B183" s="724"/>
      <c r="C183" s="314"/>
      <c r="D183" s="315"/>
      <c r="E183" s="315"/>
      <c r="F183" s="315" t="s">
        <v>61</v>
      </c>
      <c r="G183" s="315"/>
      <c r="H183" s="315"/>
      <c r="I183" s="315"/>
      <c r="J183" s="315"/>
      <c r="K183" s="315"/>
      <c r="L183" s="315"/>
      <c r="M183" s="315" t="s">
        <v>62</v>
      </c>
      <c r="N183" s="315"/>
      <c r="O183" s="315"/>
      <c r="P183" s="315"/>
      <c r="Q183" s="315"/>
      <c r="R183" s="315"/>
      <c r="S183" s="316"/>
    </row>
    <row r="184" spans="1:19" ht="20.100000000000001" customHeight="1">
      <c r="A184" s="723" t="s">
        <v>64</v>
      </c>
      <c r="B184" s="724"/>
      <c r="C184" s="314"/>
      <c r="D184" s="315"/>
      <c r="E184" s="315"/>
      <c r="F184" s="315" t="s">
        <v>61</v>
      </c>
      <c r="G184" s="315"/>
      <c r="H184" s="315"/>
      <c r="I184" s="315"/>
      <c r="J184" s="315"/>
      <c r="K184" s="315"/>
      <c r="L184" s="315"/>
      <c r="M184" s="315" t="s">
        <v>62</v>
      </c>
      <c r="N184" s="315"/>
      <c r="O184" s="315"/>
      <c r="P184" s="315"/>
      <c r="Q184" s="315"/>
      <c r="R184" s="315"/>
      <c r="S184" s="316"/>
    </row>
    <row r="185" spans="1:19" ht="20.100000000000001" customHeight="1">
      <c r="A185" s="723" t="s">
        <v>65</v>
      </c>
      <c r="B185" s="724"/>
      <c r="C185" s="314"/>
      <c r="D185" s="315"/>
      <c r="E185" s="315"/>
      <c r="F185" s="315" t="s">
        <v>61</v>
      </c>
      <c r="G185" s="315"/>
      <c r="H185" s="315"/>
      <c r="I185" s="315"/>
      <c r="J185" s="315"/>
      <c r="K185" s="315"/>
      <c r="L185" s="315"/>
      <c r="M185" s="315" t="s">
        <v>62</v>
      </c>
      <c r="N185" s="315"/>
      <c r="O185" s="315"/>
      <c r="P185" s="315"/>
      <c r="Q185" s="315"/>
      <c r="R185" s="315"/>
      <c r="S185" s="316"/>
    </row>
    <row r="186" spans="1:19" ht="20.100000000000001" customHeight="1">
      <c r="A186" s="723" t="s">
        <v>66</v>
      </c>
      <c r="B186" s="724"/>
      <c r="C186" s="315"/>
      <c r="D186" s="315"/>
      <c r="E186" s="315"/>
      <c r="F186" s="315" t="s">
        <v>61</v>
      </c>
      <c r="G186" s="315"/>
      <c r="H186" s="315"/>
      <c r="I186" s="315"/>
      <c r="J186" s="315"/>
      <c r="K186" s="315"/>
      <c r="L186" s="315"/>
      <c r="M186" s="315" t="s">
        <v>62</v>
      </c>
      <c r="N186" s="315"/>
      <c r="O186" s="315"/>
      <c r="P186" s="315"/>
      <c r="Q186" s="315"/>
      <c r="R186" s="315"/>
      <c r="S186" s="316"/>
    </row>
    <row r="187" spans="1:19" ht="19.5" customHeight="1" thickBot="1">
      <c r="A187" s="725" t="s">
        <v>67</v>
      </c>
      <c r="B187" s="726"/>
      <c r="C187" s="45"/>
      <c r="D187" s="45"/>
      <c r="E187" s="45"/>
      <c r="F187" s="45" t="s">
        <v>61</v>
      </c>
      <c r="G187" s="45"/>
      <c r="H187" s="45"/>
      <c r="I187" s="45"/>
      <c r="J187" s="45"/>
      <c r="K187" s="45"/>
      <c r="L187" s="45"/>
      <c r="M187" s="45" t="s">
        <v>62</v>
      </c>
      <c r="N187" s="45"/>
      <c r="O187" s="45"/>
      <c r="P187" s="45"/>
      <c r="Q187" s="45"/>
      <c r="R187" s="45"/>
      <c r="S187" s="46"/>
    </row>
    <row r="188" spans="1:19" ht="15" thickTop="1">
      <c r="A188" s="727" t="s">
        <v>68</v>
      </c>
      <c r="B188" s="728"/>
      <c r="C188" s="728"/>
      <c r="D188" s="728"/>
      <c r="E188" s="728"/>
      <c r="F188" s="728"/>
      <c r="G188" s="728"/>
      <c r="H188" s="728"/>
      <c r="I188" s="728"/>
      <c r="J188" s="728"/>
      <c r="K188" s="728"/>
      <c r="L188" s="728"/>
      <c r="M188" s="728"/>
      <c r="N188" s="728"/>
      <c r="O188" s="728"/>
      <c r="P188" s="728"/>
      <c r="Q188" s="728"/>
      <c r="R188" s="728"/>
      <c r="S188" s="729"/>
    </row>
    <row r="189" spans="1:19" ht="8.25" customHeight="1">
      <c r="A189" s="707"/>
      <c r="B189" s="708"/>
      <c r="C189" s="708"/>
      <c r="D189" s="708"/>
      <c r="E189" s="708"/>
      <c r="F189" s="708"/>
      <c r="G189" s="708"/>
      <c r="H189" s="708"/>
      <c r="I189" s="708"/>
      <c r="J189" s="708"/>
      <c r="K189" s="708"/>
      <c r="L189" s="708"/>
      <c r="M189" s="708"/>
      <c r="N189" s="708"/>
      <c r="O189" s="708"/>
      <c r="P189" s="708"/>
      <c r="Q189" s="708"/>
      <c r="R189" s="708"/>
      <c r="S189" s="709"/>
    </row>
    <row r="190" spans="1:19" ht="8.25" customHeight="1">
      <c r="A190" s="707"/>
      <c r="B190" s="708"/>
      <c r="C190" s="708"/>
      <c r="D190" s="708"/>
      <c r="E190" s="708"/>
      <c r="F190" s="708"/>
      <c r="G190" s="708"/>
      <c r="H190" s="708"/>
      <c r="I190" s="708"/>
      <c r="J190" s="708"/>
      <c r="K190" s="708"/>
      <c r="L190" s="708"/>
      <c r="M190" s="708"/>
      <c r="N190" s="708"/>
      <c r="O190" s="708"/>
      <c r="P190" s="708"/>
      <c r="Q190" s="708"/>
      <c r="R190" s="708"/>
      <c r="S190" s="709"/>
    </row>
    <row r="191" spans="1:19" ht="8.25" customHeight="1">
      <c r="A191" s="707"/>
      <c r="B191" s="708"/>
      <c r="C191" s="708"/>
      <c r="D191" s="708"/>
      <c r="E191" s="708"/>
      <c r="F191" s="708"/>
      <c r="G191" s="708"/>
      <c r="H191" s="708"/>
      <c r="I191" s="708"/>
      <c r="J191" s="708"/>
      <c r="K191" s="708"/>
      <c r="L191" s="708"/>
      <c r="M191" s="708"/>
      <c r="N191" s="708"/>
      <c r="O191" s="708"/>
      <c r="P191" s="708"/>
      <c r="Q191" s="708"/>
      <c r="R191" s="708"/>
      <c r="S191" s="709"/>
    </row>
    <row r="192" spans="1:19" ht="8.25" customHeight="1">
      <c r="A192" s="707"/>
      <c r="B192" s="708"/>
      <c r="C192" s="708"/>
      <c r="D192" s="708"/>
      <c r="E192" s="708"/>
      <c r="F192" s="708"/>
      <c r="G192" s="708"/>
      <c r="H192" s="708"/>
      <c r="I192" s="708"/>
      <c r="J192" s="708"/>
      <c r="K192" s="708"/>
      <c r="L192" s="708"/>
      <c r="M192" s="708"/>
      <c r="N192" s="708"/>
      <c r="O192" s="708"/>
      <c r="P192" s="708"/>
      <c r="Q192" s="708"/>
      <c r="R192" s="708"/>
      <c r="S192" s="709"/>
    </row>
    <row r="193" spans="1:19" ht="8.25" customHeight="1">
      <c r="A193" s="707"/>
      <c r="B193" s="708"/>
      <c r="C193" s="708"/>
      <c r="D193" s="708"/>
      <c r="E193" s="708"/>
      <c r="F193" s="708"/>
      <c r="G193" s="708"/>
      <c r="H193" s="708"/>
      <c r="I193" s="708"/>
      <c r="J193" s="708"/>
      <c r="K193" s="708"/>
      <c r="L193" s="708"/>
      <c r="M193" s="708"/>
      <c r="N193" s="708"/>
      <c r="O193" s="708"/>
      <c r="P193" s="708"/>
      <c r="Q193" s="708"/>
      <c r="R193" s="708"/>
      <c r="S193" s="709"/>
    </row>
    <row r="194" spans="1:19" ht="8.25" customHeight="1">
      <c r="A194" s="707"/>
      <c r="B194" s="708"/>
      <c r="C194" s="708"/>
      <c r="D194" s="708"/>
      <c r="E194" s="708"/>
      <c r="F194" s="708"/>
      <c r="G194" s="708"/>
      <c r="H194" s="708"/>
      <c r="I194" s="708"/>
      <c r="J194" s="708"/>
      <c r="K194" s="708"/>
      <c r="L194" s="708"/>
      <c r="M194" s="708"/>
      <c r="N194" s="708"/>
      <c r="O194" s="708"/>
      <c r="P194" s="708"/>
      <c r="Q194" s="708"/>
      <c r="R194" s="708"/>
      <c r="S194" s="709"/>
    </row>
    <row r="195" spans="1:19" ht="8.25" customHeight="1" thickBot="1">
      <c r="A195" s="710"/>
      <c r="B195" s="711"/>
      <c r="C195" s="711"/>
      <c r="D195" s="711"/>
      <c r="E195" s="711"/>
      <c r="F195" s="711"/>
      <c r="G195" s="711"/>
      <c r="H195" s="711"/>
      <c r="I195" s="711"/>
      <c r="J195" s="711"/>
      <c r="K195" s="711"/>
      <c r="L195" s="711"/>
      <c r="M195" s="711"/>
      <c r="N195" s="711"/>
      <c r="O195" s="711"/>
      <c r="P195" s="711"/>
      <c r="Q195" s="711"/>
      <c r="R195" s="711"/>
      <c r="S195" s="712"/>
    </row>
    <row r="196" spans="1:19" ht="20.100000000000001" customHeight="1" thickTop="1">
      <c r="A196" s="713" t="s">
        <v>69</v>
      </c>
      <c r="B196" s="714"/>
      <c r="C196" s="714"/>
      <c r="D196" s="714"/>
      <c r="E196" s="714"/>
      <c r="F196" s="714"/>
      <c r="G196" s="714"/>
      <c r="H196" s="714"/>
      <c r="I196" s="714"/>
      <c r="J196" s="714"/>
      <c r="K196" s="714"/>
      <c r="L196" s="714"/>
      <c r="M196" s="714"/>
      <c r="N196" s="714"/>
      <c r="O196" s="714"/>
      <c r="P196" s="714"/>
      <c r="Q196" s="714"/>
      <c r="R196" s="714"/>
      <c r="S196" s="715"/>
    </row>
    <row r="197" spans="1:19" ht="12" customHeight="1">
      <c r="A197" s="707"/>
      <c r="B197" s="708"/>
      <c r="C197" s="708"/>
      <c r="D197" s="708"/>
      <c r="E197" s="708"/>
      <c r="F197" s="708"/>
      <c r="G197" s="708"/>
      <c r="H197" s="708"/>
      <c r="I197" s="708"/>
      <c r="J197" s="708"/>
      <c r="K197" s="708"/>
      <c r="L197" s="708"/>
      <c r="M197" s="708"/>
      <c r="N197" s="708"/>
      <c r="O197" s="708"/>
      <c r="P197" s="708"/>
      <c r="Q197" s="708"/>
      <c r="R197" s="708"/>
      <c r="S197" s="709"/>
    </row>
    <row r="198" spans="1:19" ht="12" customHeight="1">
      <c r="A198" s="707"/>
      <c r="B198" s="708"/>
      <c r="C198" s="708"/>
      <c r="D198" s="708"/>
      <c r="E198" s="708"/>
      <c r="F198" s="708"/>
      <c r="G198" s="708"/>
      <c r="H198" s="708"/>
      <c r="I198" s="708"/>
      <c r="J198" s="708"/>
      <c r="K198" s="708"/>
      <c r="L198" s="708"/>
      <c r="M198" s="708"/>
      <c r="N198" s="708"/>
      <c r="O198" s="708"/>
      <c r="P198" s="708"/>
      <c r="Q198" s="708"/>
      <c r="R198" s="708"/>
      <c r="S198" s="709"/>
    </row>
    <row r="199" spans="1:19" ht="12" customHeight="1">
      <c r="A199" s="707"/>
      <c r="B199" s="708"/>
      <c r="C199" s="708"/>
      <c r="D199" s="708"/>
      <c r="E199" s="708"/>
      <c r="F199" s="708"/>
      <c r="G199" s="708"/>
      <c r="H199" s="708"/>
      <c r="I199" s="708"/>
      <c r="J199" s="708"/>
      <c r="K199" s="708"/>
      <c r="L199" s="708"/>
      <c r="M199" s="708"/>
      <c r="N199" s="708"/>
      <c r="O199" s="708"/>
      <c r="P199" s="708"/>
      <c r="Q199" s="708"/>
      <c r="R199" s="708"/>
      <c r="S199" s="709"/>
    </row>
    <row r="200" spans="1:19" ht="12" customHeight="1">
      <c r="A200" s="707"/>
      <c r="B200" s="708"/>
      <c r="C200" s="708"/>
      <c r="D200" s="708"/>
      <c r="E200" s="708"/>
      <c r="F200" s="708"/>
      <c r="G200" s="708"/>
      <c r="H200" s="708"/>
      <c r="I200" s="708"/>
      <c r="J200" s="708"/>
      <c r="K200" s="708"/>
      <c r="L200" s="708"/>
      <c r="M200" s="708"/>
      <c r="N200" s="708"/>
      <c r="O200" s="708"/>
      <c r="P200" s="708"/>
      <c r="Q200" s="708"/>
      <c r="R200" s="708"/>
      <c r="S200" s="709"/>
    </row>
    <row r="201" spans="1:19" ht="12" customHeight="1" thickBot="1">
      <c r="A201" s="716"/>
      <c r="B201" s="717"/>
      <c r="C201" s="717"/>
      <c r="D201" s="717"/>
      <c r="E201" s="717"/>
      <c r="F201" s="717"/>
      <c r="G201" s="717"/>
      <c r="H201" s="717"/>
      <c r="I201" s="717"/>
      <c r="J201" s="717"/>
      <c r="K201" s="717"/>
      <c r="L201" s="717"/>
      <c r="M201" s="717"/>
      <c r="N201" s="717"/>
      <c r="O201" s="717"/>
      <c r="P201" s="717"/>
      <c r="Q201" s="717"/>
      <c r="R201" s="717"/>
      <c r="S201" s="718"/>
    </row>
    <row r="202" spans="1:19" ht="19.5" customHeight="1">
      <c r="A202" s="719" t="s">
        <v>98</v>
      </c>
      <c r="B202" s="720"/>
      <c r="C202" s="720"/>
      <c r="D202" s="720"/>
      <c r="E202" s="720"/>
      <c r="F202" s="720"/>
      <c r="G202" s="720"/>
      <c r="H202" s="720"/>
      <c r="I202" s="720"/>
      <c r="J202" s="720"/>
      <c r="K202" s="720"/>
      <c r="L202" s="720"/>
      <c r="M202" s="720"/>
      <c r="N202" s="720"/>
      <c r="O202" s="720"/>
      <c r="P202" s="720"/>
      <c r="Q202" s="720"/>
      <c r="R202" s="720"/>
      <c r="S202" s="721"/>
    </row>
    <row r="203" spans="1:19" ht="19.5" customHeight="1" thickBot="1">
      <c r="A203" s="722">
        <f ca="1">TODAY()</f>
        <v>43839</v>
      </c>
      <c r="B203" s="717"/>
      <c r="C203" s="717"/>
      <c r="D203" s="717"/>
      <c r="E203" s="717"/>
      <c r="F203" s="717"/>
      <c r="G203" s="717"/>
      <c r="H203" s="717"/>
      <c r="I203" s="717"/>
      <c r="J203" s="717"/>
      <c r="K203" s="717"/>
      <c r="L203" s="717"/>
      <c r="M203" s="717"/>
      <c r="N203" s="717"/>
      <c r="O203" s="717"/>
      <c r="P203" s="717"/>
      <c r="Q203" s="717"/>
      <c r="R203" s="717"/>
      <c r="S203" s="718"/>
    </row>
  </sheetData>
  <mergeCells count="208">
    <mergeCell ref="A3:S3"/>
    <mergeCell ref="A5:B5"/>
    <mergeCell ref="C5:S5"/>
    <mergeCell ref="A6:B6"/>
    <mergeCell ref="C6:S6"/>
    <mergeCell ref="A7:B7"/>
    <mergeCell ref="C7:I7"/>
    <mergeCell ref="J7:L7"/>
    <mergeCell ref="M7:S7"/>
    <mergeCell ref="A8:B8"/>
    <mergeCell ref="C8:I8"/>
    <mergeCell ref="J8:L8"/>
    <mergeCell ref="M8:S8"/>
    <mergeCell ref="A9:B16"/>
    <mergeCell ref="C9:S9"/>
    <mergeCell ref="C10:S10"/>
    <mergeCell ref="C11:S11"/>
    <mergeCell ref="C12:S12"/>
    <mergeCell ref="C13:S13"/>
    <mergeCell ref="C23:S23"/>
    <mergeCell ref="C24:S24"/>
    <mergeCell ref="A25:B25"/>
    <mergeCell ref="C25:S25"/>
    <mergeCell ref="A26:B26"/>
    <mergeCell ref="C26:S26"/>
    <mergeCell ref="C14:S14"/>
    <mergeCell ref="C15:S15"/>
    <mergeCell ref="C16:S16"/>
    <mergeCell ref="A17:B24"/>
    <mergeCell ref="C17:S17"/>
    <mergeCell ref="C18:S18"/>
    <mergeCell ref="C19:S19"/>
    <mergeCell ref="C20:S20"/>
    <mergeCell ref="C21:S21"/>
    <mergeCell ref="C22:S22"/>
    <mergeCell ref="A31:B31"/>
    <mergeCell ref="A32:B32"/>
    <mergeCell ref="A33:B33"/>
    <mergeCell ref="A34:B34"/>
    <mergeCell ref="A35:B35"/>
    <mergeCell ref="A36:S36"/>
    <mergeCell ref="A27:B27"/>
    <mergeCell ref="C27:S27"/>
    <mergeCell ref="A28:B28"/>
    <mergeCell ref="C28:S28"/>
    <mergeCell ref="A29:S29"/>
    <mergeCell ref="A30:B30"/>
    <mergeCell ref="A56:B56"/>
    <mergeCell ref="C56:S56"/>
    <mergeCell ref="A57:B57"/>
    <mergeCell ref="C57:S57"/>
    <mergeCell ref="A58:B58"/>
    <mergeCell ref="C58:I58"/>
    <mergeCell ref="J58:L58"/>
    <mergeCell ref="M58:S58"/>
    <mergeCell ref="A37:S43"/>
    <mergeCell ref="A44:S44"/>
    <mergeCell ref="A45:S49"/>
    <mergeCell ref="A50:S50"/>
    <mergeCell ref="A51:S51"/>
    <mergeCell ref="A54:S54"/>
    <mergeCell ref="A59:B59"/>
    <mergeCell ref="C59:I59"/>
    <mergeCell ref="J59:L59"/>
    <mergeCell ref="M59:S59"/>
    <mergeCell ref="A60:B67"/>
    <mergeCell ref="C60:S60"/>
    <mergeCell ref="C61:S61"/>
    <mergeCell ref="C62:S62"/>
    <mergeCell ref="C63:S63"/>
    <mergeCell ref="C64:S64"/>
    <mergeCell ref="C74:S74"/>
    <mergeCell ref="C75:S75"/>
    <mergeCell ref="A76:B76"/>
    <mergeCell ref="C76:S76"/>
    <mergeCell ref="A77:B77"/>
    <mergeCell ref="C77:S77"/>
    <mergeCell ref="C65:S65"/>
    <mergeCell ref="C66:S66"/>
    <mergeCell ref="C67:S67"/>
    <mergeCell ref="A68:B75"/>
    <mergeCell ref="C68:S68"/>
    <mergeCell ref="C69:S69"/>
    <mergeCell ref="C70:S70"/>
    <mergeCell ref="C71:S71"/>
    <mergeCell ref="C72:S72"/>
    <mergeCell ref="C73:S73"/>
    <mergeCell ref="A82:B82"/>
    <mergeCell ref="A83:B83"/>
    <mergeCell ref="A84:B84"/>
    <mergeCell ref="A85:B85"/>
    <mergeCell ref="A86:B86"/>
    <mergeCell ref="A87:S87"/>
    <mergeCell ref="A78:B78"/>
    <mergeCell ref="C78:S78"/>
    <mergeCell ref="A79:B79"/>
    <mergeCell ref="C79:S79"/>
    <mergeCell ref="A80:S80"/>
    <mergeCell ref="A81:B81"/>
    <mergeCell ref="A107:B107"/>
    <mergeCell ref="C107:S107"/>
    <mergeCell ref="A108:B108"/>
    <mergeCell ref="C108:S108"/>
    <mergeCell ref="A109:B109"/>
    <mergeCell ref="C109:I109"/>
    <mergeCell ref="J109:L109"/>
    <mergeCell ref="M109:S109"/>
    <mergeCell ref="A88:S94"/>
    <mergeCell ref="A95:S95"/>
    <mergeCell ref="A96:S100"/>
    <mergeCell ref="A101:S101"/>
    <mergeCell ref="A102:S102"/>
    <mergeCell ref="A105:S105"/>
    <mergeCell ref="A110:B110"/>
    <mergeCell ref="C110:I110"/>
    <mergeCell ref="J110:L110"/>
    <mergeCell ref="M110:S110"/>
    <mergeCell ref="A111:B118"/>
    <mergeCell ref="C111:S111"/>
    <mergeCell ref="C112:S112"/>
    <mergeCell ref="C113:S113"/>
    <mergeCell ref="C114:S114"/>
    <mergeCell ref="C115:S115"/>
    <mergeCell ref="C125:S125"/>
    <mergeCell ref="C126:S126"/>
    <mergeCell ref="A127:B127"/>
    <mergeCell ref="C127:S127"/>
    <mergeCell ref="A128:B128"/>
    <mergeCell ref="C128:S128"/>
    <mergeCell ref="C116:S116"/>
    <mergeCell ref="C117:S117"/>
    <mergeCell ref="C118:S118"/>
    <mergeCell ref="A119:B126"/>
    <mergeCell ref="C119:S119"/>
    <mergeCell ref="C120:S120"/>
    <mergeCell ref="C121:S121"/>
    <mergeCell ref="C122:S122"/>
    <mergeCell ref="C123:S123"/>
    <mergeCell ref="C124:S124"/>
    <mergeCell ref="A133:B133"/>
    <mergeCell ref="A134:B134"/>
    <mergeCell ref="A135:B135"/>
    <mergeCell ref="A136:B136"/>
    <mergeCell ref="A137:B137"/>
    <mergeCell ref="A138:S138"/>
    <mergeCell ref="A129:B129"/>
    <mergeCell ref="C129:S129"/>
    <mergeCell ref="A130:B130"/>
    <mergeCell ref="C130:S130"/>
    <mergeCell ref="A131:S131"/>
    <mergeCell ref="A132:B132"/>
    <mergeCell ref="A157:B157"/>
    <mergeCell ref="C157:S157"/>
    <mergeCell ref="A158:B158"/>
    <mergeCell ref="C158:S158"/>
    <mergeCell ref="A159:B159"/>
    <mergeCell ref="C159:I159"/>
    <mergeCell ref="J159:L159"/>
    <mergeCell ref="M159:S159"/>
    <mergeCell ref="A139:S145"/>
    <mergeCell ref="A146:S146"/>
    <mergeCell ref="A147:S151"/>
    <mergeCell ref="A152:S152"/>
    <mergeCell ref="A153:S153"/>
    <mergeCell ref="A155:S155"/>
    <mergeCell ref="A160:B160"/>
    <mergeCell ref="C160:I160"/>
    <mergeCell ref="J160:L160"/>
    <mergeCell ref="M160:S160"/>
    <mergeCell ref="A161:B168"/>
    <mergeCell ref="C161:S161"/>
    <mergeCell ref="C162:S162"/>
    <mergeCell ref="C163:S163"/>
    <mergeCell ref="C164:S164"/>
    <mergeCell ref="C165:S165"/>
    <mergeCell ref="C166:S166"/>
    <mergeCell ref="C167:S167"/>
    <mergeCell ref="C168:S168"/>
    <mergeCell ref="A180:B180"/>
    <mergeCell ref="C180:S180"/>
    <mergeCell ref="A181:S181"/>
    <mergeCell ref="A182:B182"/>
    <mergeCell ref="C175:S175"/>
    <mergeCell ref="C176:S176"/>
    <mergeCell ref="A177:B177"/>
    <mergeCell ref="C177:S177"/>
    <mergeCell ref="A178:B178"/>
    <mergeCell ref="C178:S178"/>
    <mergeCell ref="A169:B176"/>
    <mergeCell ref="C169:S169"/>
    <mergeCell ref="C170:S170"/>
    <mergeCell ref="C171:S171"/>
    <mergeCell ref="C172:S172"/>
    <mergeCell ref="C173:S173"/>
    <mergeCell ref="C174:S174"/>
    <mergeCell ref="A179:B179"/>
    <mergeCell ref="C179:S179"/>
    <mergeCell ref="A189:S195"/>
    <mergeCell ref="A196:S196"/>
    <mergeCell ref="A197:S201"/>
    <mergeCell ref="A202:S202"/>
    <mergeCell ref="A203:S203"/>
    <mergeCell ref="A183:B183"/>
    <mergeCell ref="A184:B184"/>
    <mergeCell ref="A185:B185"/>
    <mergeCell ref="A186:B186"/>
    <mergeCell ref="A187:B187"/>
    <mergeCell ref="A188:S188"/>
  </mergeCells>
  <phoneticPr fontId="1" type="noConversion"/>
  <conditionalFormatting sqref="C9:S24">
    <cfRule type="cellIs" dxfId="22" priority="7" operator="equal">
      <formula>0</formula>
    </cfRule>
  </conditionalFormatting>
  <conditionalFormatting sqref="C68:S75">
    <cfRule type="cellIs" dxfId="21" priority="5" operator="equal">
      <formula>0</formula>
    </cfRule>
  </conditionalFormatting>
  <conditionalFormatting sqref="C60:S67">
    <cfRule type="cellIs" dxfId="20" priority="6" operator="equal">
      <formula>0</formula>
    </cfRule>
  </conditionalFormatting>
  <conditionalFormatting sqref="C111:S118">
    <cfRule type="cellIs" dxfId="19" priority="4" operator="equal">
      <formula>0</formula>
    </cfRule>
  </conditionalFormatting>
  <conditionalFormatting sqref="C119:S126">
    <cfRule type="cellIs" dxfId="18" priority="3" operator="equal">
      <formula>0</formula>
    </cfRule>
  </conditionalFormatting>
  <conditionalFormatting sqref="C161:S168">
    <cfRule type="cellIs" dxfId="17" priority="2" operator="equal">
      <formula>0</formula>
    </cfRule>
  </conditionalFormatting>
  <conditionalFormatting sqref="C169:S176">
    <cfRule type="cellIs" dxfId="16" priority="1" operator="equal">
      <formula>0</formula>
    </cfRule>
  </conditionalFormatting>
  <printOptions horizontalCentered="1"/>
  <pageMargins left="0.70866141732283472" right="0.70866141732283472" top="0.15748031496062992" bottom="0.74803149606299213" header="0.31496062992125984" footer="0.31496062992125984"/>
  <pageSetup paperSize="9" scale="96" fitToWidth="0" orientation="portrait" horizontalDpi="4294967295" verticalDpi="4294967295" r:id="rId1"/>
  <rowBreaks count="1" manualBreakCount="1">
    <brk id="51" max="16383" man="1"/>
  </rowBreaks>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159"/>
  <sheetViews>
    <sheetView topLeftCell="A67" zoomScaleNormal="100" workbookViewId="0">
      <selection activeCell="M93" sqref="M93"/>
    </sheetView>
  </sheetViews>
  <sheetFormatPr defaultRowHeight="12.75"/>
  <cols>
    <col min="1" max="1" width="9" style="281" customWidth="1"/>
    <col min="2" max="2" width="9.625" style="281" customWidth="1"/>
    <col min="3" max="3" width="9" style="196"/>
    <col min="4" max="4" width="12.125" style="196" customWidth="1"/>
    <col min="5" max="5" width="7.875" style="196" customWidth="1"/>
    <col min="6" max="6" width="13.5" style="196" customWidth="1"/>
    <col min="7" max="7" width="7.375" style="196" customWidth="1"/>
    <col min="8" max="8" width="7.75" style="196" bestFit="1" customWidth="1"/>
    <col min="9" max="12" width="9" style="196"/>
    <col min="13" max="13" width="13.5" style="196" customWidth="1"/>
    <col min="14" max="14" width="5.625" style="196" customWidth="1"/>
    <col min="15" max="16" width="4.25" style="196" customWidth="1"/>
    <col min="17" max="17" width="5" style="196" customWidth="1"/>
    <col min="18" max="18" width="4.625" style="196" customWidth="1"/>
    <col min="19" max="16384" width="9" style="196"/>
  </cols>
  <sheetData>
    <row r="1" spans="1:18" ht="15" customHeight="1">
      <c r="A1" s="756" t="s">
        <v>385</v>
      </c>
      <c r="B1" s="756"/>
      <c r="C1" s="756"/>
      <c r="D1" s="756"/>
      <c r="E1" s="756"/>
      <c r="F1" s="756"/>
      <c r="G1" s="756"/>
      <c r="H1" s="756"/>
    </row>
    <row r="3" spans="1:18" ht="15" customHeight="1">
      <c r="A3" s="280" t="s">
        <v>384</v>
      </c>
      <c r="B3" s="204">
        <f ca="1">'Commercial Invoice3'!G15</f>
        <v>43839</v>
      </c>
      <c r="D3" s="757" t="s">
        <v>383</v>
      </c>
      <c r="E3" s="757"/>
      <c r="F3" s="279" t="str">
        <f>发货清单!F2</f>
        <v>2786337676</v>
      </c>
    </row>
    <row r="4" spans="1:18">
      <c r="A4" s="281" t="s">
        <v>382</v>
      </c>
    </row>
    <row r="6" spans="1:18">
      <c r="A6" s="280" t="s">
        <v>381</v>
      </c>
    </row>
    <row r="7" spans="1:18">
      <c r="A7" s="282" t="s">
        <v>380</v>
      </c>
    </row>
    <row r="8" spans="1:18" ht="25.5" customHeight="1">
      <c r="A8" s="283"/>
      <c r="B8" s="758" t="s">
        <v>379</v>
      </c>
      <c r="C8" s="758"/>
      <c r="D8" s="758"/>
      <c r="E8" s="758"/>
      <c r="F8" s="758"/>
      <c r="G8" s="758"/>
      <c r="H8" s="758"/>
      <c r="N8" s="196">
        <v>1</v>
      </c>
      <c r="O8" s="283"/>
      <c r="P8" s="283"/>
      <c r="Q8" s="196">
        <f>IF(LEFT(发货清单!R2,8)="WB000178",2,1)</f>
        <v>1</v>
      </c>
      <c r="R8" s="283"/>
    </row>
    <row r="9" spans="1:18" ht="14.25" customHeight="1">
      <c r="A9" s="284"/>
      <c r="B9" s="758"/>
      <c r="C9" s="758"/>
      <c r="D9" s="758"/>
      <c r="E9" s="758"/>
      <c r="F9" s="758"/>
      <c r="G9" s="758"/>
      <c r="H9" s="758"/>
    </row>
    <row r="10" spans="1:18" ht="18" customHeight="1">
      <c r="A10" s="282" t="s">
        <v>378</v>
      </c>
      <c r="B10" s="285"/>
      <c r="C10" s="202"/>
      <c r="D10" s="201"/>
      <c r="E10" s="201"/>
      <c r="F10" s="201"/>
      <c r="G10" s="201"/>
      <c r="H10" s="201"/>
    </row>
    <row r="11" spans="1:18" ht="23.25" customHeight="1">
      <c r="A11" s="286"/>
      <c r="B11" s="287" t="s">
        <v>377</v>
      </c>
      <c r="C11" s="202"/>
      <c r="D11" s="201"/>
      <c r="E11" s="201"/>
      <c r="F11" s="201"/>
      <c r="G11" s="201"/>
      <c r="H11" s="201"/>
      <c r="N11" s="196">
        <v>2</v>
      </c>
      <c r="O11" s="286"/>
      <c r="P11" s="286"/>
    </row>
    <row r="12" spans="1:18" ht="18" customHeight="1">
      <c r="B12" s="285"/>
      <c r="C12" s="202"/>
      <c r="D12" s="201"/>
      <c r="E12" s="201"/>
      <c r="F12" s="201"/>
      <c r="G12" s="201"/>
      <c r="H12" s="201"/>
    </row>
    <row r="13" spans="1:18" ht="28.5" customHeight="1">
      <c r="A13" s="759" t="s">
        <v>376</v>
      </c>
      <c r="B13" s="759"/>
      <c r="C13" s="760" t="s">
        <v>375</v>
      </c>
      <c r="D13" s="761"/>
      <c r="E13" s="761"/>
      <c r="F13" s="762"/>
      <c r="G13" s="763" t="s">
        <v>374</v>
      </c>
      <c r="H13" s="764"/>
      <c r="L13" s="196">
        <v>1</v>
      </c>
      <c r="O13" s="196">
        <f>IF(LEFT(发货清单!R2,5)="CV001",2,1)</f>
        <v>1</v>
      </c>
    </row>
    <row r="14" spans="1:18" ht="27.75" customHeight="1">
      <c r="A14" s="752" t="str">
        <f>IF(辅助!N2=0,"",VLOOKUP(辅助!P2,数据库!C:E,3,0))</f>
        <v>2917.19.70 50</v>
      </c>
      <c r="B14" s="752"/>
      <c r="C14" s="753" t="str">
        <f>辅助!P2</f>
        <v>Carboxylic acid compound category (AB-04)1</v>
      </c>
      <c r="D14" s="754"/>
      <c r="E14" s="754"/>
      <c r="F14" s="755"/>
      <c r="G14" s="753" t="str">
        <f>IF(辅助!N2=0,"","FOR LABORATORY RESEARCH ONLY!")</f>
        <v>FOR LABORATORY RESEARCH ONLY!</v>
      </c>
      <c r="H14" s="755"/>
      <c r="L14" s="196">
        <v>2</v>
      </c>
    </row>
    <row r="15" spans="1:18" ht="27.75" customHeight="1">
      <c r="A15" s="752" t="str">
        <f>IF(辅助!N3=0,"",VLOOKUP(辅助!P3,数据库!C:E,3,0))</f>
        <v>2917.19.70 50</v>
      </c>
      <c r="B15" s="752"/>
      <c r="C15" s="753" t="str">
        <f>辅助!P3</f>
        <v>Carboxylic acid compound category (AB-04)6</v>
      </c>
      <c r="D15" s="754"/>
      <c r="E15" s="754"/>
      <c r="F15" s="755"/>
      <c r="G15" s="753" t="str">
        <f>IF(辅助!N3=0,"","FOR LABORATORY RESEARCH ONLY!")</f>
        <v>FOR LABORATORY RESEARCH ONLY!</v>
      </c>
      <c r="H15" s="755"/>
    </row>
    <row r="16" spans="1:18" ht="27.75" customHeight="1">
      <c r="A16" s="752" t="str">
        <f>IF(辅助!N4=0,"",VLOOKUP(辅助!P4,数据库!C:E,3,0))</f>
        <v>2935.90.95 00</v>
      </c>
      <c r="B16" s="752"/>
      <c r="C16" s="753" t="str">
        <f>辅助!P4</f>
        <v>Sulfonamide compound category(AB-08)1</v>
      </c>
      <c r="D16" s="754"/>
      <c r="E16" s="754"/>
      <c r="F16" s="755"/>
      <c r="G16" s="753" t="str">
        <f>IF(辅助!N4=0,"","FOR LABORATORY RESEARCH ONLY!")</f>
        <v>FOR LABORATORY RESEARCH ONLY!</v>
      </c>
      <c r="H16" s="755"/>
    </row>
    <row r="17" spans="1:8" ht="27.75" customHeight="1">
      <c r="A17" s="752" t="str">
        <f>IF(辅助!N5=0,"",VLOOKUP(辅助!P5,数据库!C:E,3,0))</f>
        <v>2932.99.90 90</v>
      </c>
      <c r="B17" s="752"/>
      <c r="C17" s="753" t="str">
        <f>辅助!P5</f>
        <v>Heterocyclic with single or more oxygen atoms compound category （AB-15）4</v>
      </c>
      <c r="D17" s="754"/>
      <c r="E17" s="754"/>
      <c r="F17" s="755"/>
      <c r="G17" s="753" t="str">
        <f>IF(辅助!N5=0,"","FOR LABORATORY RESEARCH ONLY!")</f>
        <v>FOR LABORATORY RESEARCH ONLY!</v>
      </c>
      <c r="H17" s="755"/>
    </row>
    <row r="18" spans="1:8" ht="27.75" customHeight="1">
      <c r="A18" s="752" t="str">
        <f>IF(辅助!N6=0,"",VLOOKUP(辅助!P6,数据库!C:E,3,0))</f>
        <v>2903.39.20 50</v>
      </c>
      <c r="B18" s="752"/>
      <c r="C18" s="753" t="str">
        <f>辅助!P6</f>
        <v>Acyclic hydrocarbon compound category （AB-02）11</v>
      </c>
      <c r="D18" s="754"/>
      <c r="E18" s="754"/>
      <c r="F18" s="755"/>
      <c r="G18" s="753" t="str">
        <f>IF(辅助!N6=0,"","FOR LABORATORY RESEARCH ONLY!")</f>
        <v>FOR LABORATORY RESEARCH ONLY!</v>
      </c>
      <c r="H18" s="755"/>
    </row>
    <row r="19" spans="1:8" ht="27.75" customHeight="1">
      <c r="A19" s="752" t="str">
        <f>IF(辅助!N7=0,"",VLOOKUP(辅助!P7,数据库!C:E,3,0))</f>
        <v>2903.39.20 50</v>
      </c>
      <c r="B19" s="752"/>
      <c r="C19" s="753" t="str">
        <f>辅助!P7</f>
        <v>Acyclic hydrocarbon compound category （AB-02）13</v>
      </c>
      <c r="D19" s="754"/>
      <c r="E19" s="754"/>
      <c r="F19" s="755"/>
      <c r="G19" s="753" t="str">
        <f>IF(辅助!N7=0,"","FOR LABORATORY RESEARCH ONLY!")</f>
        <v>FOR LABORATORY RESEARCH ONLY!</v>
      </c>
      <c r="H19" s="755"/>
    </row>
    <row r="20" spans="1:8" ht="27.75" customHeight="1">
      <c r="A20" s="752" t="str">
        <f>IF(辅助!N8=0,"",VLOOKUP(辅助!P8,数据库!C:E,3,0))</f>
        <v>2933.99.97 01</v>
      </c>
      <c r="B20" s="752"/>
      <c r="C20" s="753" t="str">
        <f>辅助!P8</f>
        <v>Heterocyclic with nitrogen compound category (AB-06)46</v>
      </c>
      <c r="D20" s="754"/>
      <c r="E20" s="754"/>
      <c r="F20" s="755"/>
      <c r="G20" s="753" t="str">
        <f>IF(辅助!N8=0,"","FOR LABORATORY RESEARCH ONLY!")</f>
        <v>FOR LABORATORY RESEARCH ONLY!</v>
      </c>
      <c r="H20" s="755"/>
    </row>
    <row r="21" spans="1:8" ht="27.75" customHeight="1">
      <c r="A21" s="752" t="str">
        <f>IF(辅助!N9=0,"",VLOOKUP(辅助!P9,数据库!C:E,3,0))</f>
        <v>2933.99.97 01</v>
      </c>
      <c r="B21" s="752"/>
      <c r="C21" s="753" t="str">
        <f>辅助!P9</f>
        <v>Heterocyclic with nitrogen compound category (AB-06)53</v>
      </c>
      <c r="D21" s="754"/>
      <c r="E21" s="754"/>
      <c r="F21" s="755"/>
      <c r="G21" s="753" t="str">
        <f>IF(辅助!N9=0,"","FOR LABORATORY RESEARCH ONLY!")</f>
        <v>FOR LABORATORY RESEARCH ONLY!</v>
      </c>
      <c r="H21" s="755"/>
    </row>
    <row r="22" spans="1:8" ht="27.75" customHeight="1">
      <c r="A22" s="752" t="str">
        <f>IF(辅助!N10=0,"",VLOOKUP(辅助!P10,数据库!C:E,3,0))</f>
        <v>2903.99.80 01</v>
      </c>
      <c r="B22" s="752"/>
      <c r="C22" s="753" t="str">
        <f>辅助!P10</f>
        <v>Aromatic ring products without heteroatoms category （AB-16）33</v>
      </c>
      <c r="D22" s="754"/>
      <c r="E22" s="754"/>
      <c r="F22" s="755"/>
      <c r="G22" s="753" t="str">
        <f>IF(辅助!N10=0,"","FOR LABORATORY RESEARCH ONLY!")</f>
        <v>FOR LABORATORY RESEARCH ONLY!</v>
      </c>
      <c r="H22" s="755"/>
    </row>
    <row r="23" spans="1:8" ht="27.75" customHeight="1">
      <c r="A23" s="752" t="str">
        <f>IF(辅助!N11=0,"",VLOOKUP(辅助!P11,数据库!C:E,3,0))</f>
        <v>2916.39.79 00</v>
      </c>
      <c r="B23" s="752"/>
      <c r="C23" s="753" t="str">
        <f>辅助!P11</f>
        <v>Aromatic ring products without heteroatoms category （AB-16）36</v>
      </c>
      <c r="D23" s="754"/>
      <c r="E23" s="754"/>
      <c r="F23" s="755"/>
      <c r="G23" s="753" t="str">
        <f>IF(辅助!N11=0,"","FOR LABORATORY RESEARCH ONLY!")</f>
        <v>FOR LABORATORY RESEARCH ONLY!</v>
      </c>
      <c r="H23" s="755"/>
    </row>
    <row r="24" spans="1:8">
      <c r="B24" s="285"/>
      <c r="C24" s="202"/>
      <c r="D24" s="201"/>
      <c r="E24" s="201"/>
      <c r="F24" s="201"/>
      <c r="G24" s="201"/>
      <c r="H24" s="201"/>
    </row>
    <row r="25" spans="1:8" s="199" customFormat="1" ht="16.5" customHeight="1">
      <c r="A25" s="288" t="s">
        <v>491</v>
      </c>
      <c r="B25" s="289"/>
      <c r="C25" s="230" t="str">
        <f>IF(LEFT(发货清单!$R$2,5)="CV001","ARKPHARM","BLD Pharmatech Ltd.")</f>
        <v>BLD Pharmatech Ltd.</v>
      </c>
      <c r="D25" s="231"/>
      <c r="E25" s="231"/>
      <c r="F25" s="231"/>
      <c r="G25" s="231"/>
      <c r="H25" s="201"/>
    </row>
    <row r="26" spans="1:8" s="199" customFormat="1" ht="16.5" customHeight="1">
      <c r="A26" s="288" t="s">
        <v>492</v>
      </c>
      <c r="B26" s="289"/>
      <c r="C26" s="230" t="str">
        <f>IF(LEFT(发货清单!$R$2,5)="CV001","3860 North Ventura","488 Taoqiao Road, Building 5 ，5F")</f>
        <v>488 Taoqiao Road, Building 5 ，5F</v>
      </c>
      <c r="D26" s="231"/>
      <c r="E26" s="231"/>
      <c r="F26" s="231"/>
      <c r="G26" s="231"/>
      <c r="H26" s="201"/>
    </row>
    <row r="27" spans="1:8" s="199" customFormat="1" ht="16.5" customHeight="1">
      <c r="A27" s="288"/>
      <c r="B27" s="289"/>
      <c r="C27" s="230" t="str">
        <f>IF(LEFT(发货清单!$R$2,5)="CV001","Drive Arlington Heights","HuiNan Town Pudong New Area")</f>
        <v>HuiNan Town Pudong New Area</v>
      </c>
      <c r="D27" s="231"/>
      <c r="E27" s="231"/>
      <c r="F27" s="231"/>
      <c r="G27" s="231"/>
      <c r="H27" s="201"/>
    </row>
    <row r="28" spans="1:8" s="199" customFormat="1" ht="16.5" customHeight="1">
      <c r="A28" s="288"/>
      <c r="B28" s="289"/>
      <c r="C28" s="230" t="str">
        <f>IF(LEFT(发货清单!$R$2,5)="CV001","IL 60004 USA","Shanghai 201203 China")</f>
        <v>Shanghai 201203 China</v>
      </c>
      <c r="D28" s="231"/>
      <c r="E28" s="231"/>
      <c r="F28" s="231"/>
      <c r="G28" s="231"/>
      <c r="H28" s="198"/>
    </row>
    <row r="29" spans="1:8" s="199" customFormat="1" ht="16.5" customHeight="1">
      <c r="A29" s="288" t="str">
        <f>IF(LEFT(发货清单!$R$2,5)="CV001","Certifier name:Kai pei","Certifier name:Zhongtao Deng")</f>
        <v>Certifier name:Zhongtao Deng</v>
      </c>
      <c r="B29" s="289"/>
      <c r="C29" s="231"/>
      <c r="D29" s="231"/>
      <c r="E29" s="231"/>
      <c r="F29" s="231"/>
      <c r="G29" s="231"/>
      <c r="H29" s="200"/>
    </row>
    <row r="30" spans="1:8" s="199" customFormat="1" ht="16.5" customHeight="1">
      <c r="A30" s="290" t="s">
        <v>493</v>
      </c>
      <c r="B30" s="291"/>
      <c r="C30" s="232"/>
      <c r="D30" s="232"/>
      <c r="E30" s="232"/>
      <c r="F30" s="232"/>
      <c r="G30" s="232"/>
      <c r="H30" s="200"/>
    </row>
    <row r="31" spans="1:8" s="199" customFormat="1" ht="16.5" customHeight="1">
      <c r="A31" s="290" t="str">
        <f>IF(LEFT(发货清单!$R$2,5)="CV001","Certifier phone number:8473673680","Certifier phone number:+86-021-58255690")</f>
        <v>Certifier phone number:+86-021-58255690</v>
      </c>
      <c r="B31" s="292"/>
      <c r="C31" s="233"/>
      <c r="D31" s="233"/>
      <c r="E31" s="233"/>
      <c r="F31" s="233"/>
      <c r="G31" s="233"/>
      <c r="H31" s="198"/>
    </row>
    <row r="32" spans="1:8" ht="17.25" customHeight="1">
      <c r="A32" s="290" t="str">
        <f>IF(LEFT(发货清单!$R$2,5)="CV001","Certifier email address:kpei@arkpharmusa.com","Certifier email address:logistics@bldpharm.com")</f>
        <v>Certifier email address:logistics@bldpharm.com</v>
      </c>
      <c r="B32" s="292"/>
      <c r="C32" s="233"/>
      <c r="D32" s="233"/>
      <c r="E32" s="233"/>
      <c r="F32" s="233"/>
      <c r="G32" s="233"/>
      <c r="H32" s="197"/>
    </row>
    <row r="33" spans="1:8">
      <c r="A33" s="290" t="s">
        <v>494</v>
      </c>
      <c r="B33" s="291"/>
      <c r="C33" s="232"/>
      <c r="D33" s="232"/>
      <c r="E33" s="232"/>
      <c r="F33" s="232"/>
      <c r="G33" s="232"/>
      <c r="H33" s="197"/>
    </row>
    <row r="34" spans="1:8">
      <c r="A34" s="291"/>
      <c r="B34" s="293"/>
      <c r="C34" s="232"/>
      <c r="D34" s="234"/>
      <c r="E34" s="234"/>
      <c r="F34" s="234"/>
      <c r="G34" s="234"/>
      <c r="H34" s="197"/>
    </row>
    <row r="35" spans="1:8">
      <c r="A35" s="294" t="s">
        <v>495</v>
      </c>
      <c r="B35" s="293"/>
      <c r="C35" s="234"/>
      <c r="D35" s="232"/>
      <c r="E35" s="232"/>
      <c r="F35" s="232"/>
      <c r="G35" s="232"/>
      <c r="H35" s="197"/>
    </row>
    <row r="36" spans="1:8">
      <c r="A36" s="295" t="s">
        <v>496</v>
      </c>
      <c r="B36" s="293"/>
      <c r="C36" s="234"/>
      <c r="D36" s="232"/>
      <c r="E36" s="232"/>
      <c r="F36" s="232"/>
      <c r="G36" s="232"/>
      <c r="H36" s="197"/>
    </row>
    <row r="37" spans="1:8" ht="16.5" customHeight="1">
      <c r="A37" s="296" t="s">
        <v>373</v>
      </c>
      <c r="B37" s="293"/>
      <c r="C37" s="234"/>
      <c r="D37" s="232"/>
      <c r="E37" s="232"/>
      <c r="F37" s="232"/>
      <c r="G37" s="232"/>
      <c r="H37" s="197"/>
    </row>
    <row r="38" spans="1:8" ht="6" customHeight="1">
      <c r="A38" s="280"/>
      <c r="B38" s="284"/>
      <c r="C38" s="197"/>
      <c r="D38" s="750"/>
      <c r="E38" s="750"/>
      <c r="F38" s="750"/>
      <c r="G38" s="197"/>
      <c r="H38" s="197"/>
    </row>
    <row r="39" spans="1:8" ht="6" customHeight="1">
      <c r="A39" s="280"/>
      <c r="B39" s="284"/>
      <c r="C39" s="197"/>
      <c r="D39" s="751"/>
      <c r="E39" s="751"/>
      <c r="F39" s="751"/>
      <c r="G39" s="197"/>
      <c r="H39" s="197"/>
    </row>
    <row r="40" spans="1:8" ht="20.25" customHeight="1">
      <c r="A40" s="280"/>
      <c r="B40" s="284"/>
      <c r="C40" s="197"/>
      <c r="D40" s="765"/>
      <c r="E40" s="765"/>
      <c r="F40" s="765"/>
      <c r="G40" s="197"/>
      <c r="H40" s="197" t="s">
        <v>372</v>
      </c>
    </row>
    <row r="41" spans="1:8" ht="15" customHeight="1">
      <c r="A41" s="756" t="s">
        <v>385</v>
      </c>
      <c r="B41" s="756"/>
      <c r="C41" s="756"/>
      <c r="D41" s="756"/>
      <c r="E41" s="756"/>
      <c r="F41" s="756"/>
      <c r="G41" s="756"/>
      <c r="H41" s="756"/>
    </row>
    <row r="43" spans="1:8" ht="15" customHeight="1">
      <c r="A43" s="280" t="s">
        <v>384</v>
      </c>
      <c r="B43" s="204">
        <f ca="1">TODAY()</f>
        <v>43839</v>
      </c>
      <c r="D43" s="757" t="s">
        <v>383</v>
      </c>
      <c r="E43" s="757"/>
      <c r="F43" s="279" t="str">
        <f>F3</f>
        <v>2786337676</v>
      </c>
    </row>
    <row r="44" spans="1:8">
      <c r="A44" s="281" t="s">
        <v>382</v>
      </c>
    </row>
    <row r="46" spans="1:8">
      <c r="A46" s="280" t="s">
        <v>381</v>
      </c>
    </row>
    <row r="47" spans="1:8">
      <c r="A47" s="282" t="s">
        <v>380</v>
      </c>
    </row>
    <row r="48" spans="1:8" ht="25.5" customHeight="1">
      <c r="A48" s="283"/>
      <c r="B48" s="758" t="s">
        <v>379</v>
      </c>
      <c r="C48" s="758"/>
      <c r="D48" s="758"/>
      <c r="E48" s="758"/>
      <c r="F48" s="758"/>
      <c r="G48" s="758"/>
      <c r="H48" s="758"/>
    </row>
    <row r="49" spans="1:8" ht="14.25" customHeight="1">
      <c r="A49" s="284"/>
      <c r="B49" s="758"/>
      <c r="C49" s="758"/>
      <c r="D49" s="758"/>
      <c r="E49" s="758"/>
      <c r="F49" s="758"/>
      <c r="G49" s="758"/>
      <c r="H49" s="758"/>
    </row>
    <row r="50" spans="1:8" ht="18" customHeight="1">
      <c r="A50" s="282" t="s">
        <v>378</v>
      </c>
      <c r="B50" s="285"/>
      <c r="C50" s="202"/>
      <c r="D50" s="201"/>
      <c r="E50" s="201"/>
      <c r="F50" s="201"/>
      <c r="G50" s="201"/>
      <c r="H50" s="201"/>
    </row>
    <row r="51" spans="1:8" ht="23.25" customHeight="1">
      <c r="A51" s="286"/>
      <c r="B51" s="287" t="s">
        <v>377</v>
      </c>
      <c r="C51" s="202"/>
      <c r="D51" s="201"/>
      <c r="E51" s="201"/>
      <c r="F51" s="201"/>
      <c r="G51" s="201"/>
      <c r="H51" s="201"/>
    </row>
    <row r="52" spans="1:8" ht="18" customHeight="1">
      <c r="B52" s="285"/>
      <c r="C52" s="202"/>
      <c r="D52" s="201"/>
      <c r="E52" s="201"/>
      <c r="F52" s="201"/>
      <c r="G52" s="201"/>
      <c r="H52" s="201"/>
    </row>
    <row r="53" spans="1:8" ht="28.5" customHeight="1">
      <c r="A53" s="759" t="s">
        <v>376</v>
      </c>
      <c r="B53" s="759"/>
      <c r="C53" s="760" t="s">
        <v>375</v>
      </c>
      <c r="D53" s="761"/>
      <c r="E53" s="761"/>
      <c r="F53" s="762"/>
      <c r="G53" s="763" t="s">
        <v>374</v>
      </c>
      <c r="H53" s="764"/>
    </row>
    <row r="54" spans="1:8" ht="27.75" customHeight="1">
      <c r="A54" s="752" t="str">
        <f>IF(辅助!N12=0,"",VLOOKUP(辅助!P12,数据库!C:E,3,0))</f>
        <v/>
      </c>
      <c r="B54" s="752"/>
      <c r="C54" s="753" t="str">
        <f>辅助!P12</f>
        <v/>
      </c>
      <c r="D54" s="754"/>
      <c r="E54" s="754"/>
      <c r="F54" s="755"/>
      <c r="G54" s="753" t="str">
        <f>IF(辅助!N12=0,"","FOR LABORATORY RESEARCH ONLY!")</f>
        <v/>
      </c>
      <c r="H54" s="755"/>
    </row>
    <row r="55" spans="1:8" ht="27.75" customHeight="1">
      <c r="A55" s="752" t="str">
        <f>IF(辅助!N13=0,"",VLOOKUP(辅助!P13,数据库!C:E,3,0))</f>
        <v/>
      </c>
      <c r="B55" s="752"/>
      <c r="C55" s="753" t="str">
        <f>辅助!P13</f>
        <v/>
      </c>
      <c r="D55" s="754"/>
      <c r="E55" s="754"/>
      <c r="F55" s="755"/>
      <c r="G55" s="753" t="str">
        <f>IF(辅助!N13=0,"","FOR LABORATORY RESEARCH ONLY!")</f>
        <v/>
      </c>
      <c r="H55" s="755"/>
    </row>
    <row r="56" spans="1:8" ht="27.75" customHeight="1">
      <c r="A56" s="752" t="str">
        <f>IF(辅助!N14=0,"",VLOOKUP(辅助!P14,数据库!C:E,3,0))</f>
        <v/>
      </c>
      <c r="B56" s="752"/>
      <c r="C56" s="753" t="str">
        <f>辅助!P14</f>
        <v/>
      </c>
      <c r="D56" s="754"/>
      <c r="E56" s="754"/>
      <c r="F56" s="755"/>
      <c r="G56" s="753" t="str">
        <f>IF(辅助!N14=0,"","FOR LABORATORY RESEARCH ONLY!")</f>
        <v/>
      </c>
      <c r="H56" s="755"/>
    </row>
    <row r="57" spans="1:8" ht="27.75" customHeight="1">
      <c r="A57" s="752" t="str">
        <f>IF(辅助!N15=0,"",VLOOKUP(辅助!P15,数据库!C:E,3,0))</f>
        <v/>
      </c>
      <c r="B57" s="752"/>
      <c r="C57" s="753" t="str">
        <f>辅助!P15</f>
        <v/>
      </c>
      <c r="D57" s="754"/>
      <c r="E57" s="754"/>
      <c r="F57" s="755"/>
      <c r="G57" s="753" t="str">
        <f>IF(辅助!N15=0,"","FOR LABORATORY RESEARCH ONLY!")</f>
        <v/>
      </c>
      <c r="H57" s="755"/>
    </row>
    <row r="58" spans="1:8" ht="27.75" customHeight="1">
      <c r="A58" s="752" t="str">
        <f>IF(辅助!N16=0,"",VLOOKUP(辅助!P16,数据库!C:E,3,0))</f>
        <v/>
      </c>
      <c r="B58" s="752"/>
      <c r="C58" s="753" t="str">
        <f>辅助!P16</f>
        <v/>
      </c>
      <c r="D58" s="754"/>
      <c r="E58" s="754"/>
      <c r="F58" s="755"/>
      <c r="G58" s="753" t="str">
        <f>IF(辅助!N16=0,"","FOR LABORATORY RESEARCH ONLY!")</f>
        <v/>
      </c>
      <c r="H58" s="755"/>
    </row>
    <row r="59" spans="1:8" ht="27.75" customHeight="1">
      <c r="A59" s="752" t="str">
        <f>IF(辅助!N17=0,"",VLOOKUP(辅助!P17,数据库!C:E,3,0))</f>
        <v/>
      </c>
      <c r="B59" s="752"/>
      <c r="C59" s="753" t="str">
        <f>辅助!P17</f>
        <v/>
      </c>
      <c r="D59" s="754"/>
      <c r="E59" s="754"/>
      <c r="F59" s="755"/>
      <c r="G59" s="753" t="str">
        <f>IF(辅助!N17=0,"","FOR LABORATORY RESEARCH ONLY!")</f>
        <v/>
      </c>
      <c r="H59" s="755"/>
    </row>
    <row r="60" spans="1:8" ht="27.75" customHeight="1">
      <c r="A60" s="752" t="str">
        <f>IF(辅助!N18=0,"",VLOOKUP(辅助!P18,数据库!C:E,3,0))</f>
        <v/>
      </c>
      <c r="B60" s="752"/>
      <c r="C60" s="753" t="str">
        <f>辅助!P18</f>
        <v/>
      </c>
      <c r="D60" s="754"/>
      <c r="E60" s="754"/>
      <c r="F60" s="755"/>
      <c r="G60" s="753" t="str">
        <f>IF(辅助!N18=0,"","FOR LABORATORY RESEARCH ONLY!")</f>
        <v/>
      </c>
      <c r="H60" s="755"/>
    </row>
    <row r="61" spans="1:8" ht="27.75" customHeight="1">
      <c r="A61" s="752" t="str">
        <f>IF(辅助!N19=0,"",VLOOKUP(辅助!P19,数据库!C:E,3,0))</f>
        <v/>
      </c>
      <c r="B61" s="752"/>
      <c r="C61" s="753" t="str">
        <f>辅助!P19</f>
        <v/>
      </c>
      <c r="D61" s="754"/>
      <c r="E61" s="754"/>
      <c r="F61" s="755"/>
      <c r="G61" s="753" t="str">
        <f>IF(辅助!N19=0,"","FOR LABORATORY RESEARCH ONLY!")</f>
        <v/>
      </c>
      <c r="H61" s="755"/>
    </row>
    <row r="62" spans="1:8" ht="27.75" customHeight="1">
      <c r="A62" s="752" t="str">
        <f>IF(辅助!N20=0,"",VLOOKUP(辅助!P20,数据库!C:E,3,0))</f>
        <v/>
      </c>
      <c r="B62" s="752"/>
      <c r="C62" s="753" t="str">
        <f>辅助!P20</f>
        <v/>
      </c>
      <c r="D62" s="754"/>
      <c r="E62" s="754"/>
      <c r="F62" s="755"/>
      <c r="G62" s="753" t="str">
        <f>IF(辅助!N20=0,"","FOR LABORATORY RESEARCH ONLY!")</f>
        <v/>
      </c>
      <c r="H62" s="755"/>
    </row>
    <row r="63" spans="1:8" ht="27.75" customHeight="1">
      <c r="A63" s="752" t="str">
        <f>IF(辅助!N21=0,"",VLOOKUP(辅助!P21,数据库!C:E,3,0))</f>
        <v/>
      </c>
      <c r="B63" s="752"/>
      <c r="C63" s="753" t="str">
        <f>辅助!P21</f>
        <v/>
      </c>
      <c r="D63" s="754"/>
      <c r="E63" s="754"/>
      <c r="F63" s="755"/>
      <c r="G63" s="753" t="str">
        <f>IF(辅助!N21=0,"","FOR LABORATORY RESEARCH ONLY!")</f>
        <v/>
      </c>
      <c r="H63" s="755"/>
    </row>
    <row r="64" spans="1:8">
      <c r="B64" s="285"/>
      <c r="C64" s="202"/>
      <c r="D64" s="201"/>
      <c r="E64" s="201"/>
      <c r="F64" s="201"/>
      <c r="G64" s="201"/>
      <c r="H64" s="201"/>
    </row>
    <row r="65" spans="1:8" s="199" customFormat="1" ht="16.5" customHeight="1">
      <c r="A65" s="288" t="s">
        <v>497</v>
      </c>
      <c r="B65" s="289"/>
      <c r="C65" s="230" t="str">
        <f>C25</f>
        <v>BLD Pharmatech Ltd.</v>
      </c>
      <c r="D65" s="231"/>
      <c r="E65" s="231"/>
      <c r="F65" s="231"/>
      <c r="G65" s="231"/>
      <c r="H65" s="201"/>
    </row>
    <row r="66" spans="1:8" s="199" customFormat="1" ht="16.5" customHeight="1">
      <c r="A66" s="288" t="s">
        <v>498</v>
      </c>
      <c r="B66" s="289"/>
      <c r="C66" s="230" t="str">
        <f>C26</f>
        <v>488 Taoqiao Road, Building 5 ，5F</v>
      </c>
      <c r="D66" s="231"/>
      <c r="E66" s="231"/>
      <c r="F66" s="231"/>
      <c r="G66" s="231"/>
      <c r="H66" s="201"/>
    </row>
    <row r="67" spans="1:8" s="199" customFormat="1" ht="16.5" customHeight="1">
      <c r="A67" s="288"/>
      <c r="B67" s="289"/>
      <c r="C67" s="230" t="str">
        <f>C27</f>
        <v>HuiNan Town Pudong New Area</v>
      </c>
      <c r="D67" s="231"/>
      <c r="E67" s="231"/>
      <c r="F67" s="231"/>
      <c r="G67" s="231"/>
      <c r="H67" s="201"/>
    </row>
    <row r="68" spans="1:8" s="199" customFormat="1" ht="16.5" customHeight="1">
      <c r="A68" s="288"/>
      <c r="B68" s="289"/>
      <c r="C68" s="230" t="str">
        <f>C28</f>
        <v>Shanghai 201203 China</v>
      </c>
      <c r="D68" s="231"/>
      <c r="E68" s="231"/>
      <c r="F68" s="231"/>
      <c r="G68" s="231"/>
      <c r="H68" s="198"/>
    </row>
    <row r="69" spans="1:8" s="199" customFormat="1" ht="16.5" customHeight="1">
      <c r="A69" s="288" t="str">
        <f>A29</f>
        <v>Certifier name:Zhongtao Deng</v>
      </c>
      <c r="B69" s="289"/>
      <c r="C69" s="231"/>
      <c r="D69" s="231"/>
      <c r="E69" s="231"/>
      <c r="F69" s="231"/>
      <c r="G69" s="231"/>
      <c r="H69" s="200"/>
    </row>
    <row r="70" spans="1:8" s="199" customFormat="1" ht="16.5" customHeight="1">
      <c r="A70" s="290" t="str">
        <f>A30</f>
        <v>Certifier title:Manager</v>
      </c>
      <c r="B70" s="291"/>
      <c r="C70" s="232"/>
      <c r="D70" s="232"/>
      <c r="E70" s="232"/>
      <c r="F70" s="232"/>
      <c r="G70" s="232"/>
      <c r="H70" s="200"/>
    </row>
    <row r="71" spans="1:8" s="199" customFormat="1" ht="16.5" customHeight="1">
      <c r="A71" s="290" t="str">
        <f>A31</f>
        <v>Certifier phone number:+86-021-58255690</v>
      </c>
      <c r="B71" s="292"/>
      <c r="C71" s="233"/>
      <c r="D71" s="233"/>
      <c r="E71" s="233"/>
      <c r="F71" s="233"/>
      <c r="G71" s="233"/>
      <c r="H71" s="198"/>
    </row>
    <row r="72" spans="1:8" ht="17.25" customHeight="1">
      <c r="A72" s="290" t="str">
        <f>A32</f>
        <v>Certifier email address:logistics@bldpharm.com</v>
      </c>
      <c r="B72" s="292"/>
      <c r="C72" s="233"/>
      <c r="D72" s="233"/>
      <c r="E72" s="233"/>
      <c r="F72" s="233"/>
      <c r="G72" s="233"/>
      <c r="H72" s="197"/>
    </row>
    <row r="73" spans="1:8">
      <c r="A73" s="290" t="s">
        <v>499</v>
      </c>
      <c r="B73" s="291"/>
      <c r="C73" s="232"/>
      <c r="D73" s="232"/>
      <c r="E73" s="232"/>
      <c r="F73" s="232"/>
      <c r="G73" s="232"/>
      <c r="H73" s="197"/>
    </row>
    <row r="74" spans="1:8">
      <c r="A74" s="291"/>
      <c r="B74" s="293"/>
      <c r="C74" s="232"/>
      <c r="D74" s="234"/>
      <c r="E74" s="234"/>
      <c r="F74" s="234"/>
      <c r="G74" s="234"/>
      <c r="H74" s="197"/>
    </row>
    <row r="75" spans="1:8">
      <c r="A75" s="294" t="s">
        <v>500</v>
      </c>
      <c r="B75" s="293"/>
      <c r="C75" s="234"/>
      <c r="D75" s="232"/>
      <c r="E75" s="232"/>
      <c r="F75" s="232"/>
      <c r="G75" s="232"/>
      <c r="H75" s="197"/>
    </row>
    <row r="76" spans="1:8">
      <c r="A76" s="295" t="s">
        <v>501</v>
      </c>
      <c r="B76" s="293"/>
      <c r="C76" s="234"/>
      <c r="D76" s="232"/>
      <c r="E76" s="232"/>
      <c r="F76" s="232"/>
      <c r="G76" s="232"/>
      <c r="H76" s="197"/>
    </row>
    <row r="77" spans="1:8" ht="16.5" customHeight="1">
      <c r="A77" s="296" t="s">
        <v>502</v>
      </c>
      <c r="B77" s="293"/>
      <c r="C77" s="234"/>
      <c r="D77" s="232"/>
      <c r="E77" s="232"/>
      <c r="F77" s="232"/>
      <c r="G77" s="232"/>
      <c r="H77" s="197"/>
    </row>
    <row r="78" spans="1:8">
      <c r="A78" s="280"/>
      <c r="B78" s="284"/>
      <c r="C78" s="197"/>
      <c r="D78" s="750"/>
      <c r="E78" s="750"/>
      <c r="F78" s="750"/>
      <c r="G78" s="197"/>
      <c r="H78" s="197"/>
    </row>
    <row r="79" spans="1:8" ht="5.25" customHeight="1">
      <c r="A79" s="280"/>
      <c r="B79" s="284"/>
      <c r="C79" s="197"/>
      <c r="D79" s="751"/>
      <c r="E79" s="751"/>
      <c r="F79" s="751"/>
      <c r="G79" s="197"/>
      <c r="H79" s="197"/>
    </row>
    <row r="80" spans="1:8" ht="20.25" customHeight="1">
      <c r="A80" s="280"/>
      <c r="B80" s="284"/>
      <c r="C80" s="197"/>
      <c r="D80" s="765"/>
      <c r="E80" s="765"/>
      <c r="F80" s="765"/>
      <c r="G80" s="197"/>
      <c r="H80" s="197" t="s">
        <v>372</v>
      </c>
    </row>
    <row r="81" spans="1:8" ht="15" customHeight="1">
      <c r="A81" s="756" t="s">
        <v>385</v>
      </c>
      <c r="B81" s="756"/>
      <c r="C81" s="756"/>
      <c r="D81" s="756"/>
      <c r="E81" s="756"/>
      <c r="F81" s="756"/>
      <c r="G81" s="756"/>
      <c r="H81" s="756"/>
    </row>
    <row r="83" spans="1:8" ht="15" customHeight="1">
      <c r="A83" s="280" t="s">
        <v>384</v>
      </c>
      <c r="B83" s="204">
        <f ca="1">TODAY()</f>
        <v>43839</v>
      </c>
      <c r="D83" s="757" t="s">
        <v>383</v>
      </c>
      <c r="E83" s="757"/>
      <c r="F83" s="203" t="str">
        <f>F3</f>
        <v>2786337676</v>
      </c>
    </row>
    <row r="84" spans="1:8">
      <c r="A84" s="281" t="s">
        <v>382</v>
      </c>
    </row>
    <row r="86" spans="1:8">
      <c r="A86" s="280" t="s">
        <v>381</v>
      </c>
    </row>
    <row r="87" spans="1:8">
      <c r="A87" s="282" t="s">
        <v>380</v>
      </c>
    </row>
    <row r="88" spans="1:8" ht="25.5" customHeight="1">
      <c r="A88" s="283"/>
      <c r="B88" s="758" t="s">
        <v>379</v>
      </c>
      <c r="C88" s="758"/>
      <c r="D88" s="758"/>
      <c r="E88" s="758"/>
      <c r="F88" s="758"/>
      <c r="G88" s="758"/>
      <c r="H88" s="758"/>
    </row>
    <row r="89" spans="1:8" ht="14.25" customHeight="1">
      <c r="A89" s="284"/>
      <c r="B89" s="758"/>
      <c r="C89" s="758"/>
      <c r="D89" s="758"/>
      <c r="E89" s="758"/>
      <c r="F89" s="758"/>
      <c r="G89" s="758"/>
      <c r="H89" s="758"/>
    </row>
    <row r="90" spans="1:8" ht="18" customHeight="1">
      <c r="A90" s="282" t="s">
        <v>378</v>
      </c>
      <c r="B90" s="285"/>
      <c r="C90" s="202"/>
      <c r="D90" s="201"/>
      <c r="E90" s="201"/>
      <c r="F90" s="201"/>
      <c r="G90" s="201"/>
      <c r="H90" s="201"/>
    </row>
    <row r="91" spans="1:8" ht="23.25" customHeight="1">
      <c r="A91" s="286"/>
      <c r="B91" s="287" t="s">
        <v>377</v>
      </c>
      <c r="C91" s="202"/>
      <c r="D91" s="201"/>
      <c r="E91" s="201"/>
      <c r="F91" s="201"/>
      <c r="G91" s="201"/>
      <c r="H91" s="201"/>
    </row>
    <row r="92" spans="1:8" ht="18" customHeight="1">
      <c r="B92" s="285"/>
      <c r="C92" s="202"/>
      <c r="D92" s="201"/>
      <c r="E92" s="201"/>
      <c r="F92" s="201"/>
      <c r="G92" s="201"/>
      <c r="H92" s="201"/>
    </row>
    <row r="93" spans="1:8" ht="28.5" customHeight="1">
      <c r="A93" s="759" t="s">
        <v>376</v>
      </c>
      <c r="B93" s="759"/>
      <c r="C93" s="760" t="s">
        <v>375</v>
      </c>
      <c r="D93" s="761"/>
      <c r="E93" s="761"/>
      <c r="F93" s="762"/>
      <c r="G93" s="763" t="s">
        <v>374</v>
      </c>
      <c r="H93" s="764"/>
    </row>
    <row r="94" spans="1:8" ht="27.75" customHeight="1">
      <c r="A94" s="752" t="str">
        <f>IF(辅助!N22=0,"",VLOOKUP(辅助!P22,数据库!C:E,3,0))</f>
        <v/>
      </c>
      <c r="B94" s="752"/>
      <c r="C94" s="753" t="str">
        <f>辅助!P22</f>
        <v/>
      </c>
      <c r="D94" s="754"/>
      <c r="E94" s="754"/>
      <c r="F94" s="755"/>
      <c r="G94" s="753" t="str">
        <f>IF(辅助!N22=0,"","FOR LABORATORY RESEARCH ONLY!")</f>
        <v/>
      </c>
      <c r="H94" s="755"/>
    </row>
    <row r="95" spans="1:8" ht="27.75" customHeight="1">
      <c r="A95" s="752" t="str">
        <f>IF(辅助!N23=0,"",VLOOKUP(辅助!P23,数据库!C:E,3,0))</f>
        <v/>
      </c>
      <c r="B95" s="752"/>
      <c r="C95" s="753" t="str">
        <f>辅助!P23</f>
        <v/>
      </c>
      <c r="D95" s="754"/>
      <c r="E95" s="754"/>
      <c r="F95" s="755"/>
      <c r="G95" s="753" t="str">
        <f>IF(辅助!N23=0,"","FOR LABORATORY RESEARCH ONLY!")</f>
        <v/>
      </c>
      <c r="H95" s="755"/>
    </row>
    <row r="96" spans="1:8" ht="27.75" customHeight="1">
      <c r="A96" s="752" t="str">
        <f>IF(辅助!N24=0,"",VLOOKUP(辅助!P24,数据库!C:E,3,0))</f>
        <v/>
      </c>
      <c r="B96" s="752"/>
      <c r="C96" s="753" t="str">
        <f>辅助!P24</f>
        <v/>
      </c>
      <c r="D96" s="754"/>
      <c r="E96" s="754"/>
      <c r="F96" s="755"/>
      <c r="G96" s="753" t="str">
        <f>IF(辅助!N24=0,"","FOR LABORATORY RESEARCH ONLY!")</f>
        <v/>
      </c>
      <c r="H96" s="755"/>
    </row>
    <row r="97" spans="1:8" ht="27.75" customHeight="1">
      <c r="A97" s="752" t="str">
        <f>IF(辅助!N25=0,"",VLOOKUP(辅助!P25,数据库!C:E,3,0))</f>
        <v/>
      </c>
      <c r="B97" s="752"/>
      <c r="C97" s="753" t="str">
        <f>辅助!P25</f>
        <v/>
      </c>
      <c r="D97" s="754"/>
      <c r="E97" s="754"/>
      <c r="F97" s="755"/>
      <c r="G97" s="753" t="str">
        <f>IF(辅助!N25=0,"","FOR LABORATORY RESEARCH ONLY!")</f>
        <v/>
      </c>
      <c r="H97" s="755"/>
    </row>
    <row r="98" spans="1:8" ht="27.75" customHeight="1">
      <c r="A98" s="752" t="str">
        <f>IF(辅助!N26=0,"",VLOOKUP(辅助!P26,数据库!C:E,3,0))</f>
        <v/>
      </c>
      <c r="B98" s="752"/>
      <c r="C98" s="753" t="str">
        <f>辅助!P26</f>
        <v/>
      </c>
      <c r="D98" s="754"/>
      <c r="E98" s="754"/>
      <c r="F98" s="755"/>
      <c r="G98" s="753" t="str">
        <f>IF(辅助!N26=0,"","FOR LABORATORY RESEARCH ONLY!")</f>
        <v/>
      </c>
      <c r="H98" s="755"/>
    </row>
    <row r="99" spans="1:8" ht="27.75" customHeight="1">
      <c r="A99" s="752" t="str">
        <f>IF(辅助!N27=0,"",VLOOKUP(辅助!P27,数据库!C:E,3,0))</f>
        <v/>
      </c>
      <c r="B99" s="752"/>
      <c r="C99" s="753" t="str">
        <f>辅助!P27</f>
        <v/>
      </c>
      <c r="D99" s="754"/>
      <c r="E99" s="754"/>
      <c r="F99" s="755"/>
      <c r="G99" s="753" t="str">
        <f>IF(辅助!N27=0,"","FOR LABORATORY RESEARCH ONLY!")</f>
        <v/>
      </c>
      <c r="H99" s="755"/>
    </row>
    <row r="100" spans="1:8" ht="27.75" customHeight="1">
      <c r="A100" s="752" t="str">
        <f>IF(辅助!N28=0,"",VLOOKUP(辅助!P28,数据库!C:E,3,0))</f>
        <v/>
      </c>
      <c r="B100" s="752"/>
      <c r="C100" s="753" t="str">
        <f>辅助!P28</f>
        <v/>
      </c>
      <c r="D100" s="754"/>
      <c r="E100" s="754"/>
      <c r="F100" s="755"/>
      <c r="G100" s="753" t="str">
        <f>IF(辅助!N28=0,"","FOR LABORATORY RESEARCH ONLY!")</f>
        <v/>
      </c>
      <c r="H100" s="755"/>
    </row>
    <row r="101" spans="1:8" ht="27.75" customHeight="1">
      <c r="A101" s="752" t="str">
        <f>IF(辅助!N29=0,"",VLOOKUP(辅助!P29,数据库!C:E,3,0))</f>
        <v/>
      </c>
      <c r="B101" s="752"/>
      <c r="C101" s="753" t="str">
        <f>辅助!P29</f>
        <v/>
      </c>
      <c r="D101" s="754"/>
      <c r="E101" s="754"/>
      <c r="F101" s="755"/>
      <c r="G101" s="753" t="str">
        <f>IF(辅助!N29=0,"","FOR LABORATORY RESEARCH ONLY!")</f>
        <v/>
      </c>
      <c r="H101" s="755"/>
    </row>
    <row r="102" spans="1:8" ht="27.75" customHeight="1">
      <c r="A102" s="752" t="str">
        <f>IF(辅助!N30=0,"",VLOOKUP(辅助!P30,数据库!C:E,3,0))</f>
        <v/>
      </c>
      <c r="B102" s="752"/>
      <c r="C102" s="753" t="str">
        <f>辅助!P30</f>
        <v/>
      </c>
      <c r="D102" s="754"/>
      <c r="E102" s="754"/>
      <c r="F102" s="755"/>
      <c r="G102" s="753" t="str">
        <f>IF(辅助!N30=0,"","FOR LABORATORY RESEARCH ONLY!")</f>
        <v/>
      </c>
      <c r="H102" s="755"/>
    </row>
    <row r="103" spans="1:8" ht="27.75" customHeight="1">
      <c r="A103" s="752" t="str">
        <f>IF(辅助!N31=0,"",VLOOKUP(辅助!P31,数据库!C:E,3,0))</f>
        <v/>
      </c>
      <c r="B103" s="752"/>
      <c r="C103" s="753" t="str">
        <f>辅助!P31</f>
        <v/>
      </c>
      <c r="D103" s="754"/>
      <c r="E103" s="754"/>
      <c r="F103" s="755"/>
      <c r="G103" s="753" t="str">
        <f>IF(辅助!N31=0,"","FOR LABORATORY RESEARCH ONLY!")</f>
        <v/>
      </c>
      <c r="H103" s="755"/>
    </row>
    <row r="104" spans="1:8">
      <c r="B104" s="285"/>
      <c r="C104" s="202"/>
      <c r="D104" s="201"/>
      <c r="E104" s="201"/>
      <c r="F104" s="201"/>
      <c r="G104" s="201"/>
      <c r="H104" s="201"/>
    </row>
    <row r="105" spans="1:8" s="199" customFormat="1" ht="16.5" customHeight="1">
      <c r="A105" s="288" t="s">
        <v>503</v>
      </c>
      <c r="B105" s="289"/>
      <c r="C105" s="230" t="str">
        <f>C65</f>
        <v>BLD Pharmatech Ltd.</v>
      </c>
      <c r="D105" s="231"/>
      <c r="E105" s="231"/>
      <c r="F105" s="231"/>
      <c r="G105" s="231"/>
      <c r="H105" s="201"/>
    </row>
    <row r="106" spans="1:8" s="199" customFormat="1" ht="16.5" customHeight="1">
      <c r="A106" s="288" t="s">
        <v>504</v>
      </c>
      <c r="B106" s="289"/>
      <c r="C106" s="230" t="str">
        <f>C66</f>
        <v>488 Taoqiao Road, Building 5 ，5F</v>
      </c>
      <c r="D106" s="231"/>
      <c r="E106" s="231"/>
      <c r="F106" s="231"/>
      <c r="G106" s="231"/>
      <c r="H106" s="201"/>
    </row>
    <row r="107" spans="1:8" s="199" customFormat="1" ht="16.5" customHeight="1">
      <c r="A107" s="288"/>
      <c r="B107" s="289"/>
      <c r="C107" s="230" t="str">
        <f>C67</f>
        <v>HuiNan Town Pudong New Area</v>
      </c>
      <c r="D107" s="231"/>
      <c r="E107" s="231"/>
      <c r="F107" s="231"/>
      <c r="G107" s="231"/>
      <c r="H107" s="201"/>
    </row>
    <row r="108" spans="1:8" s="199" customFormat="1" ht="16.5" customHeight="1">
      <c r="A108" s="288"/>
      <c r="B108" s="289"/>
      <c r="C108" s="230" t="str">
        <f>C68</f>
        <v>Shanghai 201203 China</v>
      </c>
      <c r="D108" s="231"/>
      <c r="E108" s="231"/>
      <c r="F108" s="231"/>
      <c r="G108" s="231"/>
      <c r="H108" s="198"/>
    </row>
    <row r="109" spans="1:8" s="199" customFormat="1" ht="16.5" customHeight="1">
      <c r="A109" s="288" t="str">
        <f>A69</f>
        <v>Certifier name:Zhongtao Deng</v>
      </c>
      <c r="B109" s="289"/>
      <c r="C109" s="231"/>
      <c r="D109" s="231"/>
      <c r="E109" s="231"/>
      <c r="F109" s="231"/>
      <c r="G109" s="231"/>
      <c r="H109" s="200"/>
    </row>
    <row r="110" spans="1:8" s="199" customFormat="1" ht="16.5" customHeight="1">
      <c r="A110" s="290" t="s">
        <v>505</v>
      </c>
      <c r="B110" s="291"/>
      <c r="C110" s="232"/>
      <c r="D110" s="232"/>
      <c r="E110" s="232"/>
      <c r="F110" s="232"/>
      <c r="G110" s="232"/>
      <c r="H110" s="200"/>
    </row>
    <row r="111" spans="1:8" s="199" customFormat="1" ht="16.5" customHeight="1">
      <c r="A111" s="290" t="str">
        <f>A71</f>
        <v>Certifier phone number:+86-021-58255690</v>
      </c>
      <c r="B111" s="292"/>
      <c r="C111" s="233"/>
      <c r="D111" s="233"/>
      <c r="E111" s="233"/>
      <c r="F111" s="233"/>
      <c r="G111" s="233"/>
      <c r="H111" s="198"/>
    </row>
    <row r="112" spans="1:8" ht="17.25" customHeight="1">
      <c r="A112" s="290" t="str">
        <f>A72</f>
        <v>Certifier email address:logistics@bldpharm.com</v>
      </c>
      <c r="B112" s="292"/>
      <c r="C112" s="233"/>
      <c r="D112" s="233"/>
      <c r="E112" s="233"/>
      <c r="F112" s="233"/>
      <c r="G112" s="233"/>
      <c r="H112" s="197"/>
    </row>
    <row r="113" spans="1:8">
      <c r="A113" s="290" t="s">
        <v>506</v>
      </c>
      <c r="B113" s="291"/>
      <c r="C113" s="232"/>
      <c r="D113" s="232"/>
      <c r="E113" s="232"/>
      <c r="F113" s="232"/>
      <c r="G113" s="232"/>
      <c r="H113" s="197"/>
    </row>
    <row r="114" spans="1:8">
      <c r="A114" s="291"/>
      <c r="B114" s="293"/>
      <c r="C114" s="232"/>
      <c r="D114" s="234"/>
      <c r="E114" s="234"/>
      <c r="F114" s="234"/>
      <c r="G114" s="234"/>
      <c r="H114" s="197"/>
    </row>
    <row r="115" spans="1:8">
      <c r="A115" s="294" t="s">
        <v>507</v>
      </c>
      <c r="B115" s="293"/>
      <c r="C115" s="234"/>
      <c r="D115" s="232"/>
      <c r="E115" s="232"/>
      <c r="F115" s="232"/>
      <c r="G115" s="232"/>
      <c r="H115" s="197"/>
    </row>
    <row r="116" spans="1:8">
      <c r="A116" s="295" t="s">
        <v>508</v>
      </c>
      <c r="B116" s="293"/>
      <c r="C116" s="234"/>
      <c r="D116" s="232"/>
      <c r="E116" s="232"/>
      <c r="F116" s="232"/>
      <c r="G116" s="232"/>
      <c r="H116" s="197"/>
    </row>
    <row r="117" spans="1:8" ht="16.5" customHeight="1">
      <c r="A117" s="296" t="s">
        <v>509</v>
      </c>
      <c r="B117" s="293"/>
      <c r="C117" s="234"/>
      <c r="D117" s="232"/>
      <c r="E117" s="232"/>
      <c r="F117" s="232"/>
      <c r="G117" s="232"/>
      <c r="H117" s="197"/>
    </row>
    <row r="118" spans="1:8" ht="3.75" customHeight="1">
      <c r="A118" s="280"/>
      <c r="B118" s="284"/>
      <c r="C118" s="197"/>
      <c r="D118" s="750"/>
      <c r="E118" s="750"/>
      <c r="F118" s="750"/>
      <c r="G118" s="197"/>
      <c r="H118" s="197"/>
    </row>
    <row r="119" spans="1:8" ht="3.75" customHeight="1">
      <c r="A119" s="280"/>
      <c r="B119" s="284"/>
      <c r="C119" s="197"/>
      <c r="D119" s="751"/>
      <c r="E119" s="751"/>
      <c r="F119" s="751"/>
      <c r="G119" s="197"/>
      <c r="H119" s="197"/>
    </row>
    <row r="120" spans="1:8" ht="20.25" customHeight="1">
      <c r="A120" s="280"/>
      <c r="B120" s="284"/>
      <c r="C120" s="197"/>
      <c r="D120" s="765"/>
      <c r="E120" s="765"/>
      <c r="F120" s="765"/>
      <c r="G120" s="197"/>
      <c r="H120" s="197" t="s">
        <v>372</v>
      </c>
    </row>
    <row r="121" spans="1:8" ht="15" customHeight="1">
      <c r="A121" s="756" t="s">
        <v>385</v>
      </c>
      <c r="B121" s="756"/>
      <c r="C121" s="756"/>
      <c r="D121" s="756"/>
      <c r="E121" s="756"/>
      <c r="F121" s="756"/>
      <c r="G121" s="756"/>
      <c r="H121" s="756"/>
    </row>
    <row r="123" spans="1:8" ht="15" customHeight="1">
      <c r="A123" s="280" t="s">
        <v>228</v>
      </c>
      <c r="B123" s="204">
        <f ca="1">TODAY()</f>
        <v>43839</v>
      </c>
      <c r="D123" s="757" t="s">
        <v>383</v>
      </c>
      <c r="E123" s="757"/>
      <c r="F123" s="203" t="str">
        <f>F43</f>
        <v>2786337676</v>
      </c>
    </row>
    <row r="124" spans="1:8">
      <c r="A124" s="281" t="s">
        <v>382</v>
      </c>
    </row>
    <row r="126" spans="1:8">
      <c r="A126" s="280" t="s">
        <v>381</v>
      </c>
    </row>
    <row r="127" spans="1:8">
      <c r="A127" s="282" t="s">
        <v>380</v>
      </c>
    </row>
    <row r="128" spans="1:8" ht="25.5" customHeight="1">
      <c r="A128" s="283"/>
      <c r="B128" s="758" t="s">
        <v>379</v>
      </c>
      <c r="C128" s="758"/>
      <c r="D128" s="758"/>
      <c r="E128" s="758"/>
      <c r="F128" s="758"/>
      <c r="G128" s="758"/>
      <c r="H128" s="758"/>
    </row>
    <row r="129" spans="1:8" ht="14.25" customHeight="1">
      <c r="A129" s="284"/>
      <c r="B129" s="758"/>
      <c r="C129" s="758"/>
      <c r="D129" s="758"/>
      <c r="E129" s="758"/>
      <c r="F129" s="758"/>
      <c r="G129" s="758"/>
      <c r="H129" s="758"/>
    </row>
    <row r="130" spans="1:8" ht="18" customHeight="1">
      <c r="A130" s="282" t="s">
        <v>378</v>
      </c>
      <c r="B130" s="285"/>
      <c r="C130" s="202"/>
      <c r="D130" s="201"/>
      <c r="E130" s="201"/>
      <c r="F130" s="201"/>
      <c r="G130" s="201"/>
      <c r="H130" s="201"/>
    </row>
    <row r="131" spans="1:8" ht="23.25" customHeight="1">
      <c r="A131" s="286"/>
      <c r="B131" s="287" t="s">
        <v>377</v>
      </c>
      <c r="C131" s="202"/>
      <c r="D131" s="201"/>
      <c r="E131" s="201"/>
      <c r="F131" s="201"/>
      <c r="G131" s="201"/>
      <c r="H131" s="201"/>
    </row>
    <row r="132" spans="1:8" ht="18" customHeight="1">
      <c r="B132" s="285"/>
      <c r="C132" s="202"/>
      <c r="D132" s="201"/>
      <c r="E132" s="201"/>
      <c r="F132" s="201"/>
      <c r="G132" s="201"/>
      <c r="H132" s="201"/>
    </row>
    <row r="133" spans="1:8" ht="28.5" customHeight="1">
      <c r="A133" s="759" t="s">
        <v>376</v>
      </c>
      <c r="B133" s="759"/>
      <c r="C133" s="760" t="s">
        <v>375</v>
      </c>
      <c r="D133" s="761"/>
      <c r="E133" s="761"/>
      <c r="F133" s="762"/>
      <c r="G133" s="763" t="s">
        <v>374</v>
      </c>
      <c r="H133" s="764"/>
    </row>
    <row r="134" spans="1:8" ht="27.75" customHeight="1">
      <c r="A134" s="752" t="str">
        <f>IF(辅助!N32=0,"",VLOOKUP(辅助!P32,数据库!C:E,3,0))</f>
        <v/>
      </c>
      <c r="B134" s="752"/>
      <c r="C134" s="753" t="str">
        <f>辅助!P32</f>
        <v/>
      </c>
      <c r="D134" s="754"/>
      <c r="E134" s="754"/>
      <c r="F134" s="755"/>
      <c r="G134" s="753" t="str">
        <f>IF(辅助!N32=0,"","FOR LABORATORY RESEARCH ONLY!")</f>
        <v/>
      </c>
      <c r="H134" s="755"/>
    </row>
    <row r="135" spans="1:8" ht="27.75" customHeight="1">
      <c r="A135" s="752" t="str">
        <f>IF(辅助!N33=0,"",VLOOKUP(辅助!P33,数据库!C:E,3,0))</f>
        <v/>
      </c>
      <c r="B135" s="752"/>
      <c r="C135" s="753" t="str">
        <f>辅助!P33</f>
        <v/>
      </c>
      <c r="D135" s="754"/>
      <c r="E135" s="754"/>
      <c r="F135" s="755"/>
      <c r="G135" s="753" t="str">
        <f>IF(辅助!N33=0,"","FOR LABORATORY RESEARCH ONLY!")</f>
        <v/>
      </c>
      <c r="H135" s="755"/>
    </row>
    <row r="136" spans="1:8" ht="27.75" customHeight="1">
      <c r="A136" s="752" t="str">
        <f>IF(辅助!N34=0,"",VLOOKUP(辅助!P34,数据库!C:E,3,0))</f>
        <v/>
      </c>
      <c r="B136" s="752"/>
      <c r="C136" s="753" t="str">
        <f>辅助!P34</f>
        <v/>
      </c>
      <c r="D136" s="754"/>
      <c r="E136" s="754"/>
      <c r="F136" s="755"/>
      <c r="G136" s="753" t="str">
        <f>IF(辅助!N34=0,"","FOR LABORATORY RESEARCH ONLY!")</f>
        <v/>
      </c>
      <c r="H136" s="755"/>
    </row>
    <row r="137" spans="1:8" ht="27.75" customHeight="1">
      <c r="A137" s="752" t="str">
        <f>IF(辅助!N35=0,"",VLOOKUP(辅助!P35,数据库!C:E,3,0))</f>
        <v/>
      </c>
      <c r="B137" s="752"/>
      <c r="C137" s="753" t="str">
        <f>辅助!P35</f>
        <v/>
      </c>
      <c r="D137" s="754"/>
      <c r="E137" s="754"/>
      <c r="F137" s="755"/>
      <c r="G137" s="753" t="str">
        <f>IF(辅助!N35=0,"","FOR LABORATORY RESEARCH ONLY!")</f>
        <v/>
      </c>
      <c r="H137" s="755"/>
    </row>
    <row r="138" spans="1:8" ht="27.75" customHeight="1">
      <c r="A138" s="752" t="str">
        <f>IF(辅助!N36=0,"",VLOOKUP(辅助!P36,数据库!C:E,3,0))</f>
        <v/>
      </c>
      <c r="B138" s="752"/>
      <c r="C138" s="753" t="str">
        <f>辅助!P36</f>
        <v/>
      </c>
      <c r="D138" s="754"/>
      <c r="E138" s="754"/>
      <c r="F138" s="755"/>
      <c r="G138" s="753" t="str">
        <f>IF(辅助!N36=0,"","FOR LABORATORY RESEARCH ONLY!")</f>
        <v/>
      </c>
      <c r="H138" s="755"/>
    </row>
    <row r="139" spans="1:8" ht="27.75" customHeight="1">
      <c r="A139" s="752" t="str">
        <f>IF(辅助!N37=0,"",VLOOKUP(辅助!P37,数据库!C:E,3,0))</f>
        <v/>
      </c>
      <c r="B139" s="752"/>
      <c r="C139" s="753" t="str">
        <f>辅助!P37</f>
        <v/>
      </c>
      <c r="D139" s="754"/>
      <c r="E139" s="754"/>
      <c r="F139" s="755"/>
      <c r="G139" s="753" t="str">
        <f>IF(辅助!N37=0,"","FOR LABORATORY RESEARCH ONLY!")</f>
        <v/>
      </c>
      <c r="H139" s="755"/>
    </row>
    <row r="140" spans="1:8" ht="27.75" customHeight="1">
      <c r="A140" s="752" t="str">
        <f>IF(辅助!N38=0,"",VLOOKUP(辅助!P38,数据库!C:E,3,0))</f>
        <v/>
      </c>
      <c r="B140" s="752"/>
      <c r="C140" s="753" t="str">
        <f>辅助!P38</f>
        <v/>
      </c>
      <c r="D140" s="754"/>
      <c r="E140" s="754"/>
      <c r="F140" s="755"/>
      <c r="G140" s="753" t="str">
        <f>IF(辅助!N38=0,"","FOR LABORATORY RESEARCH ONLY!")</f>
        <v/>
      </c>
      <c r="H140" s="755"/>
    </row>
    <row r="141" spans="1:8" ht="27.75" customHeight="1">
      <c r="A141" s="752" t="str">
        <f>IF(辅助!N39=0,"",VLOOKUP(辅助!P39,数据库!C:E,3,0))</f>
        <v/>
      </c>
      <c r="B141" s="752"/>
      <c r="C141" s="753" t="str">
        <f>辅助!P39</f>
        <v/>
      </c>
      <c r="D141" s="754"/>
      <c r="E141" s="754"/>
      <c r="F141" s="755"/>
      <c r="G141" s="753" t="str">
        <f>IF(辅助!N39=0,"","FOR LABORATORY RESEARCH ONLY!")</f>
        <v/>
      </c>
      <c r="H141" s="755"/>
    </row>
    <row r="142" spans="1:8" ht="27.75" customHeight="1">
      <c r="A142" s="752" t="str">
        <f>IF(辅助!N40=0,"",VLOOKUP(辅助!P40,数据库!C:E,3,0))</f>
        <v/>
      </c>
      <c r="B142" s="752"/>
      <c r="C142" s="753" t="str">
        <f>辅助!P40</f>
        <v/>
      </c>
      <c r="D142" s="754"/>
      <c r="E142" s="754"/>
      <c r="F142" s="755"/>
      <c r="G142" s="753" t="str">
        <f>IF(辅助!N40=0,"","FOR LABORATORY RESEARCH ONLY!")</f>
        <v/>
      </c>
      <c r="H142" s="755"/>
    </row>
    <row r="143" spans="1:8" ht="27.75" customHeight="1">
      <c r="A143" s="752" t="str">
        <f>IF(辅助!N41=0,"",VLOOKUP(辅助!P41,数据库!C:E,3,0))</f>
        <v/>
      </c>
      <c r="B143" s="752"/>
      <c r="C143" s="753" t="str">
        <f>辅助!P41</f>
        <v/>
      </c>
      <c r="D143" s="754"/>
      <c r="E143" s="754"/>
      <c r="F143" s="755"/>
      <c r="G143" s="753" t="str">
        <f>IF(辅助!N41=0,"","FOR LABORATORY RESEARCH ONLY!")</f>
        <v/>
      </c>
      <c r="H143" s="755"/>
    </row>
    <row r="144" spans="1:8">
      <c r="B144" s="285"/>
      <c r="C144" s="202"/>
      <c r="D144" s="201"/>
      <c r="E144" s="201"/>
      <c r="F144" s="201"/>
      <c r="G144" s="201"/>
      <c r="H144" s="201"/>
    </row>
    <row r="145" spans="1:8" s="199" customFormat="1" ht="16.5" customHeight="1">
      <c r="A145" s="288" t="s">
        <v>491</v>
      </c>
      <c r="B145" s="289"/>
      <c r="C145" s="230" t="str">
        <f>C105</f>
        <v>BLD Pharmatech Ltd.</v>
      </c>
      <c r="D145" s="231"/>
      <c r="E145" s="231"/>
      <c r="F145" s="231"/>
      <c r="G145" s="231"/>
      <c r="H145" s="201"/>
    </row>
    <row r="146" spans="1:8" s="199" customFormat="1" ht="16.5" customHeight="1">
      <c r="A146" s="288" t="s">
        <v>492</v>
      </c>
      <c r="B146" s="289"/>
      <c r="C146" s="230" t="str">
        <f>C106</f>
        <v>488 Taoqiao Road, Building 5 ，5F</v>
      </c>
      <c r="D146" s="231"/>
      <c r="E146" s="231"/>
      <c r="F146" s="231"/>
      <c r="G146" s="231"/>
      <c r="H146" s="201"/>
    </row>
    <row r="147" spans="1:8" s="199" customFormat="1" ht="16.5" customHeight="1">
      <c r="A147" s="288"/>
      <c r="B147" s="289"/>
      <c r="C147" s="230" t="str">
        <f>C107</f>
        <v>HuiNan Town Pudong New Area</v>
      </c>
      <c r="D147" s="231"/>
      <c r="E147" s="231"/>
      <c r="F147" s="231"/>
      <c r="G147" s="231"/>
      <c r="H147" s="201"/>
    </row>
    <row r="148" spans="1:8" s="199" customFormat="1" ht="16.5" customHeight="1">
      <c r="A148" s="288"/>
      <c r="B148" s="289"/>
      <c r="C148" s="230" t="str">
        <f>C108</f>
        <v>Shanghai 201203 China</v>
      </c>
      <c r="D148" s="231"/>
      <c r="E148" s="231"/>
      <c r="F148" s="231"/>
      <c r="G148" s="231"/>
      <c r="H148" s="198"/>
    </row>
    <row r="149" spans="1:8" s="199" customFormat="1" ht="16.5" customHeight="1">
      <c r="A149" s="288" t="str">
        <f>A109</f>
        <v>Certifier name:Zhongtao Deng</v>
      </c>
      <c r="B149" s="289"/>
      <c r="C149" s="231"/>
      <c r="D149" s="231"/>
      <c r="E149" s="231"/>
      <c r="F149" s="231"/>
      <c r="G149" s="231"/>
      <c r="H149" s="200"/>
    </row>
    <row r="150" spans="1:8" s="199" customFormat="1" ht="16.5" customHeight="1">
      <c r="A150" s="290" t="s">
        <v>493</v>
      </c>
      <c r="B150" s="291"/>
      <c r="C150" s="232"/>
      <c r="D150" s="232"/>
      <c r="E150" s="232"/>
      <c r="F150" s="232"/>
      <c r="G150" s="232"/>
      <c r="H150" s="200"/>
    </row>
    <row r="151" spans="1:8" s="199" customFormat="1" ht="16.5" customHeight="1">
      <c r="A151" s="290" t="str">
        <f>A111</f>
        <v>Certifier phone number:+86-021-58255690</v>
      </c>
      <c r="B151" s="292"/>
      <c r="C151" s="233"/>
      <c r="D151" s="233"/>
      <c r="E151" s="233"/>
      <c r="F151" s="233"/>
      <c r="G151" s="233"/>
      <c r="H151" s="198"/>
    </row>
    <row r="152" spans="1:8" ht="17.25" customHeight="1">
      <c r="A152" s="290" t="str">
        <f>A112</f>
        <v>Certifier email address:logistics@bldpharm.com</v>
      </c>
      <c r="B152" s="292"/>
      <c r="C152" s="233"/>
      <c r="D152" s="233"/>
      <c r="E152" s="233"/>
      <c r="F152" s="233"/>
      <c r="G152" s="233"/>
      <c r="H152" s="197"/>
    </row>
    <row r="153" spans="1:8">
      <c r="A153" s="290" t="s">
        <v>494</v>
      </c>
      <c r="B153" s="291"/>
      <c r="C153" s="232"/>
      <c r="D153" s="232"/>
      <c r="E153" s="232"/>
      <c r="F153" s="232"/>
      <c r="G153" s="232"/>
      <c r="H153" s="197"/>
    </row>
    <row r="154" spans="1:8">
      <c r="A154" s="291"/>
      <c r="B154" s="293"/>
      <c r="C154" s="232"/>
      <c r="D154" s="234"/>
      <c r="E154" s="234"/>
      <c r="F154" s="234"/>
      <c r="G154" s="234"/>
      <c r="H154" s="197"/>
    </row>
    <row r="155" spans="1:8">
      <c r="A155" s="294" t="s">
        <v>495</v>
      </c>
      <c r="B155" s="293"/>
      <c r="C155" s="234"/>
      <c r="D155" s="232"/>
      <c r="E155" s="232"/>
      <c r="F155" s="232"/>
      <c r="G155" s="232"/>
      <c r="H155" s="197"/>
    </row>
    <row r="156" spans="1:8">
      <c r="A156" s="295" t="s">
        <v>496</v>
      </c>
      <c r="B156" s="293"/>
      <c r="C156" s="234"/>
      <c r="D156" s="232"/>
      <c r="E156" s="232"/>
      <c r="F156" s="232"/>
      <c r="G156" s="232"/>
      <c r="H156" s="197"/>
    </row>
    <row r="157" spans="1:8" ht="16.5" customHeight="1">
      <c r="A157" s="296" t="s">
        <v>373</v>
      </c>
      <c r="B157" s="293"/>
      <c r="C157" s="234"/>
      <c r="D157" s="232"/>
      <c r="E157" s="232"/>
      <c r="F157" s="232"/>
      <c r="G157" s="232"/>
      <c r="H157" s="197"/>
    </row>
    <row r="158" spans="1:8">
      <c r="A158" s="280"/>
      <c r="B158" s="284"/>
      <c r="C158" s="197"/>
      <c r="D158" s="750"/>
      <c r="E158" s="750"/>
      <c r="F158" s="750"/>
      <c r="G158" s="197"/>
      <c r="H158" s="197"/>
    </row>
    <row r="159" spans="1:8" ht="17.25" customHeight="1">
      <c r="A159" s="280"/>
      <c r="B159" s="284"/>
      <c r="C159" s="197"/>
      <c r="D159" s="751"/>
      <c r="E159" s="751"/>
      <c r="F159" s="751"/>
      <c r="G159" s="197"/>
      <c r="H159" s="197"/>
    </row>
  </sheetData>
  <mergeCells count="155">
    <mergeCell ref="D118:F118"/>
    <mergeCell ref="D119:F119"/>
    <mergeCell ref="D120:F120"/>
    <mergeCell ref="A102:B102"/>
    <mergeCell ref="C102:F102"/>
    <mergeCell ref="A96:B96"/>
    <mergeCell ref="C96:F96"/>
    <mergeCell ref="G96:H96"/>
    <mergeCell ref="A97:B97"/>
    <mergeCell ref="C97:F97"/>
    <mergeCell ref="G97:H97"/>
    <mergeCell ref="G102:H102"/>
    <mergeCell ref="A103:B103"/>
    <mergeCell ref="C103:F103"/>
    <mergeCell ref="G103:H103"/>
    <mergeCell ref="A98:B98"/>
    <mergeCell ref="C98:F98"/>
    <mergeCell ref="G98:H98"/>
    <mergeCell ref="A99:B99"/>
    <mergeCell ref="C99:F99"/>
    <mergeCell ref="G99:H99"/>
    <mergeCell ref="A100:B100"/>
    <mergeCell ref="C100:F100"/>
    <mergeCell ref="G100:H100"/>
    <mergeCell ref="A101:B101"/>
    <mergeCell ref="C101:F101"/>
    <mergeCell ref="G101:H101"/>
    <mergeCell ref="A93:B93"/>
    <mergeCell ref="C93:F93"/>
    <mergeCell ref="G93:H93"/>
    <mergeCell ref="A94:B94"/>
    <mergeCell ref="C94:F94"/>
    <mergeCell ref="G94:H94"/>
    <mergeCell ref="A95:B95"/>
    <mergeCell ref="C95:F95"/>
    <mergeCell ref="G95:H95"/>
    <mergeCell ref="A63:B63"/>
    <mergeCell ref="C63:F63"/>
    <mergeCell ref="G63:H63"/>
    <mergeCell ref="D78:F78"/>
    <mergeCell ref="D79:F79"/>
    <mergeCell ref="D80:F80"/>
    <mergeCell ref="A81:H81"/>
    <mergeCell ref="D83:E83"/>
    <mergeCell ref="B88:H89"/>
    <mergeCell ref="A58:B58"/>
    <mergeCell ref="C58:F58"/>
    <mergeCell ref="G58:H58"/>
    <mergeCell ref="A59:B59"/>
    <mergeCell ref="C59:F59"/>
    <mergeCell ref="G59:H59"/>
    <mergeCell ref="A62:B62"/>
    <mergeCell ref="C62:F62"/>
    <mergeCell ref="G62:H62"/>
    <mergeCell ref="A60:B60"/>
    <mergeCell ref="C60:F60"/>
    <mergeCell ref="G60:H60"/>
    <mergeCell ref="A61:B61"/>
    <mergeCell ref="C61:F61"/>
    <mergeCell ref="G61:H61"/>
    <mergeCell ref="G21:H21"/>
    <mergeCell ref="A55:B55"/>
    <mergeCell ref="C55:F55"/>
    <mergeCell ref="G55:H55"/>
    <mergeCell ref="A56:B56"/>
    <mergeCell ref="C56:F56"/>
    <mergeCell ref="G56:H56"/>
    <mergeCell ref="A57:B57"/>
    <mergeCell ref="C57:F57"/>
    <mergeCell ref="G57:H57"/>
    <mergeCell ref="A54:B54"/>
    <mergeCell ref="C54:F54"/>
    <mergeCell ref="G54:H54"/>
    <mergeCell ref="C22:F22"/>
    <mergeCell ref="C23:F23"/>
    <mergeCell ref="A41:H41"/>
    <mergeCell ref="D43:E43"/>
    <mergeCell ref="D40:F40"/>
    <mergeCell ref="D39:F39"/>
    <mergeCell ref="D38:F38"/>
    <mergeCell ref="B48:H49"/>
    <mergeCell ref="A53:B53"/>
    <mergeCell ref="C53:F53"/>
    <mergeCell ref="G53:H53"/>
    <mergeCell ref="D3:E3"/>
    <mergeCell ref="A1:H1"/>
    <mergeCell ref="B8:H9"/>
    <mergeCell ref="G13:H13"/>
    <mergeCell ref="G14:H14"/>
    <mergeCell ref="C13:F13"/>
    <mergeCell ref="C14:F14"/>
    <mergeCell ref="A13:B13"/>
    <mergeCell ref="A14:B14"/>
    <mergeCell ref="G15:H15"/>
    <mergeCell ref="G16:H16"/>
    <mergeCell ref="G23:H23"/>
    <mergeCell ref="A19:B19"/>
    <mergeCell ref="A22:B22"/>
    <mergeCell ref="A23:B23"/>
    <mergeCell ref="C15:F15"/>
    <mergeCell ref="C16:F16"/>
    <mergeCell ref="C17:F17"/>
    <mergeCell ref="C18:F18"/>
    <mergeCell ref="C19:F19"/>
    <mergeCell ref="G19:H19"/>
    <mergeCell ref="G22:H22"/>
    <mergeCell ref="A15:B15"/>
    <mergeCell ref="A16:B16"/>
    <mergeCell ref="A17:B17"/>
    <mergeCell ref="A18:B18"/>
    <mergeCell ref="G17:H17"/>
    <mergeCell ref="G18:H18"/>
    <mergeCell ref="A20:B20"/>
    <mergeCell ref="C20:F20"/>
    <mergeCell ref="G20:H20"/>
    <mergeCell ref="A21:B21"/>
    <mergeCell ref="C21:F21"/>
    <mergeCell ref="A121:H121"/>
    <mergeCell ref="D123:E123"/>
    <mergeCell ref="B128:H129"/>
    <mergeCell ref="A133:B133"/>
    <mergeCell ref="C133:F133"/>
    <mergeCell ref="G133:H133"/>
    <mergeCell ref="A134:B134"/>
    <mergeCell ref="C134:F134"/>
    <mergeCell ref="G134:H134"/>
    <mergeCell ref="A135:B135"/>
    <mergeCell ref="C135:F135"/>
    <mergeCell ref="G135:H135"/>
    <mergeCell ref="A136:B136"/>
    <mergeCell ref="C136:F136"/>
    <mergeCell ref="G136:H136"/>
    <mergeCell ref="A137:B137"/>
    <mergeCell ref="C137:F137"/>
    <mergeCell ref="G137:H137"/>
    <mergeCell ref="A138:B138"/>
    <mergeCell ref="C138:F138"/>
    <mergeCell ref="G138:H138"/>
    <mergeCell ref="A139:B139"/>
    <mergeCell ref="C139:F139"/>
    <mergeCell ref="G139:H139"/>
    <mergeCell ref="A140:B140"/>
    <mergeCell ref="C140:F140"/>
    <mergeCell ref="G140:H140"/>
    <mergeCell ref="D158:F158"/>
    <mergeCell ref="D159:F159"/>
    <mergeCell ref="A141:B141"/>
    <mergeCell ref="C141:F141"/>
    <mergeCell ref="G141:H141"/>
    <mergeCell ref="A142:B142"/>
    <mergeCell ref="C142:F142"/>
    <mergeCell ref="G142:H142"/>
    <mergeCell ref="A143:B143"/>
    <mergeCell ref="C143:F143"/>
    <mergeCell ref="G143:H143"/>
  </mergeCells>
  <phoneticPr fontId="1" type="noConversion"/>
  <conditionalFormatting sqref="C10:G12 C24:G24 C13:C23 G13:G23">
    <cfRule type="cellIs" dxfId="15" priority="18" operator="equal">
      <formula>0</formula>
    </cfRule>
  </conditionalFormatting>
  <conditionalFormatting sqref="C50:G52 C64:G64 C53:C63 G53:G63">
    <cfRule type="cellIs" dxfId="14" priority="17" operator="equal">
      <formula>0</formula>
    </cfRule>
  </conditionalFormatting>
  <conditionalFormatting sqref="C90:G92 C104:G104 C93:C103 G93:G103">
    <cfRule type="cellIs" dxfId="13" priority="16" operator="equal">
      <formula>0</formula>
    </cfRule>
  </conditionalFormatting>
  <conditionalFormatting sqref="D25:G28">
    <cfRule type="cellIs" dxfId="12" priority="15" operator="equal">
      <formula>0</formula>
    </cfRule>
  </conditionalFormatting>
  <conditionalFormatting sqref="C25:C28">
    <cfRule type="cellIs" dxfId="11" priority="14" operator="equal">
      <formula>0</formula>
    </cfRule>
  </conditionalFormatting>
  <conditionalFormatting sqref="D65:G68">
    <cfRule type="cellIs" dxfId="10" priority="13" operator="equal">
      <formula>0</formula>
    </cfRule>
  </conditionalFormatting>
  <conditionalFormatting sqref="C65:C68">
    <cfRule type="cellIs" dxfId="9" priority="12" operator="equal">
      <formula>0</formula>
    </cfRule>
  </conditionalFormatting>
  <conditionalFormatting sqref="D105:G108">
    <cfRule type="cellIs" dxfId="8" priority="11" operator="equal">
      <formula>0</formula>
    </cfRule>
  </conditionalFormatting>
  <conditionalFormatting sqref="C105:C108">
    <cfRule type="cellIs" dxfId="7" priority="10" operator="equal">
      <formula>0</formula>
    </cfRule>
  </conditionalFormatting>
  <conditionalFormatting sqref="C130:G132 C144:G144 C133:C143 G133:G143">
    <cfRule type="cellIs" dxfId="6" priority="6" operator="equal">
      <formula>0</formula>
    </cfRule>
  </conditionalFormatting>
  <conditionalFormatting sqref="D145:G148">
    <cfRule type="cellIs" dxfId="5" priority="5" operator="equal">
      <formula>0</formula>
    </cfRule>
  </conditionalFormatting>
  <conditionalFormatting sqref="C145:C148">
    <cfRule type="cellIs" dxfId="4" priority="4" operator="equal">
      <formula>0</formula>
    </cfRule>
  </conditionalFormatting>
  <conditionalFormatting sqref="A121:XFD157">
    <cfRule type="expression" dxfId="3" priority="3">
      <formula>$A$134=""</formula>
    </cfRule>
  </conditionalFormatting>
  <conditionalFormatting sqref="A81:XFD120">
    <cfRule type="expression" dxfId="2" priority="2">
      <formula>$A$94=""</formula>
    </cfRule>
  </conditionalFormatting>
  <conditionalFormatting sqref="A41:XFD80">
    <cfRule type="expression" dxfId="1" priority="1">
      <formula>$A$54=""</formula>
    </cfRule>
  </conditionalFormatting>
  <pageMargins left="0.74803149606299213" right="0" top="0.78740157480314965" bottom="0" header="0.51181102362204722" footer="0.51181102362204722"/>
  <pageSetup paperSize="9" orientation="portrait" horizontalDpi="4294967295" verticalDpi="4294967295" r:id="rId1"/>
  <headerFooter alignWithMargins="0"/>
  <rowBreaks count="2" manualBreakCount="2">
    <brk id="40" max="16383" man="1"/>
    <brk id="80" max="16383" man="1"/>
  </rowBreaks>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8:O37"/>
  <sheetViews>
    <sheetView topLeftCell="A70" workbookViewId="0">
      <selection activeCell="M93" sqref="M93"/>
    </sheetView>
  </sheetViews>
  <sheetFormatPr defaultRowHeight="14.25"/>
  <cols>
    <col min="1" max="1" width="9.75" customWidth="1"/>
    <col min="2" max="2" width="10.375" customWidth="1"/>
    <col min="4" max="4" width="10.25" customWidth="1"/>
    <col min="5" max="5" width="22.75" customWidth="1"/>
    <col min="6" max="6" width="18" customWidth="1"/>
    <col min="7" max="7" width="7.125" customWidth="1"/>
  </cols>
  <sheetData>
    <row r="8" spans="1:15" ht="18">
      <c r="A8" s="767" t="s">
        <v>97</v>
      </c>
      <c r="B8" s="767"/>
      <c r="C8" s="767"/>
      <c r="D8" s="767"/>
      <c r="E8" s="767"/>
      <c r="F8" s="767"/>
      <c r="G8" s="767"/>
    </row>
    <row r="9" spans="1:15" ht="15">
      <c r="A9" s="2"/>
      <c r="B9" s="2"/>
      <c r="C9" s="2"/>
      <c r="D9" s="2"/>
      <c r="E9" s="2"/>
      <c r="F9" s="2"/>
      <c r="G9" s="2"/>
    </row>
    <row r="10" spans="1:15" s="9" customFormat="1" ht="19.5" customHeight="1">
      <c r="A10" s="8" t="s">
        <v>0</v>
      </c>
      <c r="B10" s="8"/>
      <c r="C10" s="8"/>
      <c r="D10" s="8"/>
      <c r="E10" s="8"/>
      <c r="F10" s="8"/>
      <c r="G10" s="8"/>
      <c r="J10" s="2"/>
      <c r="K10" s="2"/>
      <c r="L10" s="2"/>
      <c r="M10" s="2"/>
      <c r="N10" s="2"/>
      <c r="O10" s="2"/>
    </row>
    <row r="11" spans="1:15" s="9" customFormat="1" ht="19.5" customHeight="1">
      <c r="A11" s="8" t="s">
        <v>41</v>
      </c>
      <c r="B11" s="8"/>
      <c r="C11" s="8"/>
      <c r="D11" s="8"/>
      <c r="E11" s="33" t="str">
        <f>发货清单!F2</f>
        <v>2786337676</v>
      </c>
      <c r="F11" s="8" t="s">
        <v>35</v>
      </c>
      <c r="G11" s="8"/>
      <c r="J11" s="2"/>
      <c r="K11" s="2"/>
      <c r="L11" s="2"/>
      <c r="M11" s="2"/>
      <c r="N11" s="2"/>
      <c r="O11" s="2"/>
    </row>
    <row r="12" spans="1:15" s="9" customFormat="1" ht="19.5" customHeight="1">
      <c r="A12" s="8" t="s">
        <v>36</v>
      </c>
      <c r="B12" s="10"/>
      <c r="C12" s="10"/>
      <c r="D12" s="10"/>
      <c r="E12" s="10"/>
      <c r="F12" s="10"/>
      <c r="G12" s="10"/>
      <c r="J12" s="2"/>
      <c r="K12" s="2"/>
      <c r="L12" s="2"/>
      <c r="M12" s="2"/>
      <c r="N12" s="2"/>
      <c r="O12" s="2"/>
    </row>
    <row r="13" spans="1:15" s="11" customFormat="1" ht="14.25" customHeight="1">
      <c r="A13" s="10"/>
      <c r="B13" s="10"/>
      <c r="C13" s="10"/>
      <c r="D13" s="10"/>
      <c r="E13" s="10"/>
      <c r="F13" s="10"/>
      <c r="G13" s="10"/>
      <c r="J13" s="2"/>
      <c r="K13" s="2"/>
      <c r="L13" s="2"/>
      <c r="M13" s="2"/>
      <c r="N13" s="2"/>
      <c r="O13" s="2"/>
    </row>
    <row r="14" spans="1:15" s="9" customFormat="1" ht="17.25" customHeight="1">
      <c r="A14" s="8" t="s">
        <v>3</v>
      </c>
      <c r="B14" s="8"/>
      <c r="C14" s="8"/>
      <c r="D14" s="8"/>
      <c r="E14" s="8"/>
      <c r="F14" s="8"/>
      <c r="G14" s="8"/>
      <c r="J14" s="2"/>
      <c r="K14" s="2"/>
      <c r="L14" s="2"/>
      <c r="M14" s="2"/>
      <c r="N14" s="2"/>
      <c r="O14" s="2"/>
    </row>
    <row r="15" spans="1:15" s="9" customFormat="1" ht="17.25" customHeight="1">
      <c r="A15" s="8" t="s">
        <v>4</v>
      </c>
      <c r="B15" s="8"/>
      <c r="C15" s="8"/>
      <c r="D15" s="8"/>
      <c r="E15" s="8"/>
      <c r="F15" s="8"/>
      <c r="G15" s="8"/>
      <c r="J15" s="2"/>
      <c r="K15" s="2"/>
      <c r="L15" s="2"/>
      <c r="M15" s="2"/>
      <c r="N15" s="2"/>
      <c r="O15" s="2"/>
    </row>
    <row r="16" spans="1:15" s="9" customFormat="1" ht="17.25" customHeight="1">
      <c r="A16" s="768" t="s">
        <v>5</v>
      </c>
      <c r="B16" s="768"/>
      <c r="C16" s="768"/>
      <c r="D16" s="768"/>
      <c r="E16" s="768"/>
      <c r="F16" s="768"/>
      <c r="G16" s="768"/>
      <c r="J16" s="2"/>
      <c r="K16" s="2"/>
      <c r="L16" s="2"/>
      <c r="M16" s="2"/>
      <c r="N16" s="2"/>
      <c r="O16" s="2"/>
    </row>
    <row r="17" spans="1:7" s="9" customFormat="1" ht="17.25" customHeight="1">
      <c r="A17" s="768"/>
      <c r="B17" s="768"/>
      <c r="C17" s="768"/>
      <c r="D17" s="768"/>
      <c r="E17" s="768"/>
      <c r="F17" s="768"/>
      <c r="G17" s="768"/>
    </row>
    <row r="18" spans="1:7" s="9" customFormat="1" ht="17.25" customHeight="1">
      <c r="A18" s="768" t="s">
        <v>6</v>
      </c>
      <c r="B18" s="768"/>
      <c r="C18" s="768"/>
      <c r="D18" s="768"/>
      <c r="E18" s="768"/>
      <c r="F18" s="768"/>
      <c r="G18" s="768"/>
    </row>
    <row r="19" spans="1:7" s="9" customFormat="1" ht="17.25" customHeight="1">
      <c r="A19" s="768"/>
      <c r="B19" s="768"/>
      <c r="C19" s="768"/>
      <c r="D19" s="768"/>
      <c r="E19" s="768"/>
      <c r="F19" s="768"/>
      <c r="G19" s="768"/>
    </row>
    <row r="20" spans="1:7" s="9" customFormat="1" ht="17.25" customHeight="1">
      <c r="A20" s="768" t="s">
        <v>7</v>
      </c>
      <c r="B20" s="768"/>
      <c r="C20" s="768"/>
      <c r="D20" s="768"/>
      <c r="E20" s="768"/>
      <c r="F20" s="768"/>
      <c r="G20" s="768"/>
    </row>
    <row r="21" spans="1:7" s="9" customFormat="1" ht="17.25" customHeight="1">
      <c r="A21" s="768"/>
      <c r="B21" s="768"/>
      <c r="C21" s="768"/>
      <c r="D21" s="768"/>
      <c r="E21" s="768"/>
      <c r="F21" s="768"/>
      <c r="G21" s="768"/>
    </row>
    <row r="22" spans="1:7" s="9" customFormat="1" ht="17.25" customHeight="1">
      <c r="A22" s="768" t="s">
        <v>96</v>
      </c>
      <c r="B22" s="768"/>
      <c r="C22" s="768"/>
      <c r="D22" s="768"/>
      <c r="E22" s="768"/>
      <c r="F22" s="768"/>
      <c r="G22" s="768"/>
    </row>
    <row r="23" spans="1:7" s="9" customFormat="1" ht="17.25" customHeight="1">
      <c r="A23" s="768"/>
      <c r="B23" s="768"/>
      <c r="C23" s="768"/>
      <c r="D23" s="768"/>
      <c r="E23" s="768"/>
      <c r="F23" s="768"/>
      <c r="G23" s="768"/>
    </row>
    <row r="24" spans="1:7" s="9" customFormat="1" ht="17.25" customHeight="1">
      <c r="A24" s="8" t="s">
        <v>37</v>
      </c>
      <c r="B24" s="8"/>
      <c r="C24" s="8"/>
      <c r="D24" s="8"/>
      <c r="E24" s="8"/>
      <c r="F24" s="8"/>
      <c r="G24" s="8"/>
    </row>
    <row r="25" spans="1:7" s="9" customFormat="1" ht="17.25" customHeight="1">
      <c r="A25" s="768" t="s">
        <v>8</v>
      </c>
      <c r="B25" s="768"/>
      <c r="C25" s="768"/>
      <c r="D25" s="768"/>
      <c r="E25" s="768"/>
      <c r="F25" s="768"/>
      <c r="G25" s="768"/>
    </row>
    <row r="26" spans="1:7" s="9" customFormat="1" ht="17.25" customHeight="1">
      <c r="A26" s="768"/>
      <c r="B26" s="768"/>
      <c r="C26" s="768"/>
      <c r="D26" s="768"/>
      <c r="E26" s="768"/>
      <c r="F26" s="768"/>
      <c r="G26" s="768"/>
    </row>
    <row r="27" spans="1:7" s="9" customFormat="1" ht="17.25" customHeight="1">
      <c r="A27" s="12" t="s">
        <v>95</v>
      </c>
      <c r="B27" s="12"/>
      <c r="C27" s="12"/>
      <c r="D27" s="12"/>
      <c r="E27" s="12"/>
      <c r="F27" s="12"/>
      <c r="G27" s="12"/>
    </row>
    <row r="28" spans="1:7" s="11" customFormat="1" ht="36.75" customHeight="1">
      <c r="A28" s="766" t="s">
        <v>2</v>
      </c>
      <c r="B28" s="766"/>
      <c r="C28" s="766"/>
      <c r="D28" s="766"/>
      <c r="E28" s="766"/>
      <c r="F28" s="766"/>
      <c r="G28" s="766"/>
    </row>
    <row r="29" spans="1:7" s="9" customFormat="1" ht="18" customHeight="1">
      <c r="A29" s="8" t="s">
        <v>9</v>
      </c>
      <c r="B29" s="8"/>
      <c r="C29" s="8"/>
      <c r="D29" s="8"/>
      <c r="E29" s="8"/>
      <c r="F29" s="8"/>
      <c r="G29" s="8"/>
    </row>
    <row r="30" spans="1:7" s="9" customFormat="1" ht="18" customHeight="1">
      <c r="A30" s="8" t="s">
        <v>10</v>
      </c>
      <c r="B30" s="8"/>
      <c r="C30" s="8"/>
      <c r="D30" s="8"/>
      <c r="E30" s="8"/>
      <c r="F30" s="8"/>
      <c r="G30" s="8"/>
    </row>
    <row r="31" spans="1:7" s="9" customFormat="1" ht="18" customHeight="1">
      <c r="A31" s="8"/>
      <c r="B31" s="8"/>
      <c r="C31" s="8"/>
      <c r="D31" s="8"/>
      <c r="E31" s="8"/>
      <c r="F31" s="8"/>
      <c r="G31" s="8"/>
    </row>
    <row r="32" spans="1:7" s="9" customFormat="1" ht="18" customHeight="1">
      <c r="A32" s="8"/>
      <c r="B32" s="8"/>
      <c r="C32" s="8"/>
      <c r="D32" s="8"/>
      <c r="E32" s="8"/>
      <c r="F32" s="8"/>
      <c r="G32" s="8"/>
    </row>
    <row r="33" spans="1:7" s="9" customFormat="1" ht="18" customHeight="1">
      <c r="A33" s="8"/>
      <c r="B33" s="8"/>
      <c r="C33" s="8"/>
      <c r="D33" s="8"/>
      <c r="E33" s="8"/>
      <c r="F33" s="8"/>
      <c r="G33" s="8"/>
    </row>
    <row r="34" spans="1:7" s="9" customFormat="1" ht="18" customHeight="1">
      <c r="A34" s="8"/>
      <c r="B34" s="8"/>
      <c r="C34" s="8"/>
      <c r="D34" s="8"/>
      <c r="E34" s="8"/>
      <c r="F34" s="8"/>
      <c r="G34" s="8"/>
    </row>
    <row r="35" spans="1:7" s="11" customFormat="1" ht="16.5" thickBot="1">
      <c r="A35" s="20" t="s">
        <v>34</v>
      </c>
      <c r="B35" s="3"/>
      <c r="C35" s="3"/>
      <c r="D35" s="24"/>
      <c r="E35" s="25"/>
      <c r="F35" s="3"/>
    </row>
    <row r="36" spans="1:7" s="11" customFormat="1" ht="22.5" customHeight="1">
      <c r="A36" s="3"/>
      <c r="B36" s="3"/>
      <c r="C36" s="3"/>
      <c r="D36" s="3"/>
      <c r="E36" s="3"/>
      <c r="F36" s="3"/>
      <c r="G36" s="20"/>
    </row>
    <row r="37" spans="1:7" s="11" customFormat="1" ht="15.75">
      <c r="A37" s="4" t="s">
        <v>1</v>
      </c>
      <c r="B37" s="49">
        <f ca="1">TODAY()</f>
        <v>43839</v>
      </c>
      <c r="C37" s="1"/>
      <c r="D37" s="1"/>
      <c r="E37" s="1"/>
      <c r="F37" s="1"/>
      <c r="G37" s="4"/>
    </row>
  </sheetData>
  <mergeCells count="7">
    <mergeCell ref="A28:G28"/>
    <mergeCell ref="A8:G8"/>
    <mergeCell ref="A22:G23"/>
    <mergeCell ref="A25:G26"/>
    <mergeCell ref="A16:G17"/>
    <mergeCell ref="A18:G19"/>
    <mergeCell ref="A20:G21"/>
  </mergeCells>
  <phoneticPr fontId="1" type="noConversion"/>
  <printOptions horizontalCentered="1"/>
  <pageMargins left="0.15748031496062992" right="0.19685039370078741" top="1.1023622047244095" bottom="0.35433070866141736" header="0.51181102362204722" footer="0.15748031496062992"/>
  <pageSetup paperSize="9" orientation="portrait" horizontalDpi="4294967295" verticalDpi="4294967295"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6:F38"/>
  <sheetViews>
    <sheetView workbookViewId="0">
      <selection activeCell="M93" sqref="M93"/>
    </sheetView>
  </sheetViews>
  <sheetFormatPr defaultRowHeight="13.5" customHeight="1"/>
  <cols>
    <col min="1" max="1" width="14" customWidth="1"/>
    <col min="2" max="2" width="11.875" customWidth="1"/>
    <col min="3" max="3" width="14.875" customWidth="1"/>
    <col min="4" max="4" width="13" customWidth="1"/>
    <col min="5" max="5" width="13.375" customWidth="1"/>
    <col min="6" max="6" width="14.25" customWidth="1"/>
  </cols>
  <sheetData>
    <row r="6" spans="1:6" ht="13.5" customHeight="1">
      <c r="A6" s="2"/>
      <c r="B6" s="2"/>
      <c r="C6" s="2"/>
      <c r="D6" s="2"/>
      <c r="E6" s="2"/>
      <c r="F6" s="2"/>
    </row>
    <row r="7" spans="1:6" ht="13.5" customHeight="1">
      <c r="A7" s="767" t="s">
        <v>11</v>
      </c>
      <c r="B7" s="767"/>
      <c r="C7" s="767"/>
      <c r="D7" s="767"/>
      <c r="E7" s="767"/>
      <c r="F7" s="767"/>
    </row>
    <row r="8" spans="1:6" ht="13.5" customHeight="1">
      <c r="A8" s="13"/>
      <c r="B8" s="13"/>
      <c r="C8" s="13"/>
      <c r="D8" s="13"/>
      <c r="E8" s="13"/>
      <c r="F8" s="13"/>
    </row>
    <row r="9" spans="1:6" ht="17.25" customHeight="1" thickBot="1">
      <c r="A9" s="13" t="s">
        <v>40</v>
      </c>
      <c r="B9" s="770" t="str">
        <f>发货清单!F2</f>
        <v>2786337676</v>
      </c>
      <c r="C9" s="770"/>
      <c r="D9" s="13"/>
      <c r="E9" s="13"/>
      <c r="F9" s="13"/>
    </row>
    <row r="10" spans="1:6" ht="13.5" customHeight="1">
      <c r="A10" s="13"/>
      <c r="B10" s="13"/>
      <c r="C10" s="13"/>
      <c r="D10" s="13"/>
      <c r="E10" s="13"/>
      <c r="F10" s="13"/>
    </row>
    <row r="11" spans="1:6" ht="13.5" customHeight="1">
      <c r="A11" s="2" t="s">
        <v>12</v>
      </c>
      <c r="B11" s="2"/>
      <c r="C11" s="2"/>
      <c r="D11" s="2"/>
      <c r="E11" s="2"/>
      <c r="F11" s="2"/>
    </row>
    <row r="12" spans="1:6" ht="13.5" customHeight="1">
      <c r="A12" s="2" t="s">
        <v>13</v>
      </c>
      <c r="B12" s="2"/>
      <c r="C12" s="2"/>
      <c r="D12" s="2"/>
      <c r="E12" s="2"/>
      <c r="F12" s="2"/>
    </row>
    <row r="13" spans="1:6" ht="13.5" customHeight="1">
      <c r="A13" s="2"/>
      <c r="B13" s="2"/>
      <c r="C13" s="2"/>
      <c r="D13" s="2"/>
      <c r="E13" s="2"/>
      <c r="F13" s="2"/>
    </row>
    <row r="14" spans="1:6" ht="13.5" customHeight="1">
      <c r="A14" s="2" t="s">
        <v>14</v>
      </c>
      <c r="B14" s="2"/>
      <c r="C14" s="2"/>
      <c r="D14" s="2"/>
      <c r="E14" s="2"/>
      <c r="F14" s="2"/>
    </row>
    <row r="15" spans="1:6" ht="13.5" customHeight="1">
      <c r="A15" s="2"/>
      <c r="B15" s="2"/>
      <c r="C15" s="2"/>
      <c r="D15" s="2"/>
      <c r="E15" s="2"/>
      <c r="F15" s="2"/>
    </row>
    <row r="16" spans="1:6" ht="13.5" customHeight="1">
      <c r="A16" s="2"/>
      <c r="B16" s="2"/>
      <c r="C16" s="2"/>
      <c r="D16" s="2"/>
      <c r="E16" s="2"/>
      <c r="F16" s="2"/>
    </row>
    <row r="17" spans="1:6" ht="13.5" customHeight="1">
      <c r="A17" s="2"/>
      <c r="B17" s="2"/>
      <c r="C17" s="2"/>
      <c r="D17" s="2"/>
      <c r="E17" s="2"/>
      <c r="F17" s="2" t="s">
        <v>16</v>
      </c>
    </row>
    <row r="18" spans="1:6" ht="13.5" customHeight="1">
      <c r="A18" s="2"/>
      <c r="B18" s="2"/>
      <c r="C18" s="2"/>
      <c r="D18" s="2"/>
      <c r="E18" s="2"/>
      <c r="F18" s="2"/>
    </row>
    <row r="19" spans="1:6" ht="13.5" customHeight="1">
      <c r="A19" s="2"/>
      <c r="B19" s="2"/>
      <c r="C19" s="2"/>
      <c r="D19" s="2"/>
      <c r="E19" s="2"/>
      <c r="F19" s="2"/>
    </row>
    <row r="20" spans="1:6" ht="13.5" customHeight="1">
      <c r="A20" s="2" t="s">
        <v>32</v>
      </c>
      <c r="B20" s="769" t="s">
        <v>75</v>
      </c>
      <c r="C20" s="769"/>
      <c r="D20" s="2"/>
      <c r="E20" s="2"/>
      <c r="F20" s="2"/>
    </row>
    <row r="21" spans="1:6" ht="13.5" customHeight="1">
      <c r="A21" s="2" t="s">
        <v>33</v>
      </c>
      <c r="B21" s="7" t="str">
        <f>'Commercial Invoice3'!A7</f>
        <v>488 Taoqiao Road, Building 5 ，5F, HuiNan Town, Pud</v>
      </c>
      <c r="C21" s="2"/>
      <c r="D21" s="2"/>
      <c r="E21" s="2"/>
      <c r="F21" s="2"/>
    </row>
    <row r="22" spans="1:6" ht="13.5" customHeight="1">
      <c r="A22" s="2"/>
      <c r="B22" s="7" t="str">
        <f>'Commercial Invoice3'!A8</f>
        <v xml:space="preserve">HuiNan Town, Pud ong New Area, Shanghai </v>
      </c>
      <c r="C22" s="2"/>
      <c r="D22" s="2"/>
      <c r="E22" s="2" t="s">
        <v>15</v>
      </c>
      <c r="F22" s="2"/>
    </row>
    <row r="23" spans="1:6" ht="13.5" customHeight="1">
      <c r="A23" s="2"/>
      <c r="B23" s="23" t="str">
        <f>'Commercial Invoice3'!A9</f>
        <v>201203, China</v>
      </c>
      <c r="C23" s="2"/>
      <c r="D23" s="2"/>
      <c r="E23" s="2"/>
      <c r="F23" s="2"/>
    </row>
    <row r="24" spans="1:6" ht="13.5" customHeight="1">
      <c r="A24" s="2"/>
      <c r="B24" s="2" t="str">
        <f>'Commercial Invoice3'!A10</f>
        <v>TEL:021-58255690</v>
      </c>
      <c r="C24" s="2"/>
      <c r="D24" s="2"/>
      <c r="E24" s="2"/>
      <c r="F24" s="2"/>
    </row>
    <row r="25" spans="1:6" ht="13.5" customHeight="1">
      <c r="A25" s="2" t="s">
        <v>42</v>
      </c>
      <c r="B25" s="15" t="str">
        <f>'Commercial Invoice3'!F6</f>
        <v xml:space="preserve"> Fluorochem Limited</v>
      </c>
      <c r="C25" s="2"/>
      <c r="D25" s="2"/>
      <c r="E25" s="2"/>
      <c r="F25" s="2"/>
    </row>
    <row r="26" spans="1:6" ht="13.5" customHeight="1">
      <c r="A26" s="2"/>
      <c r="B26" s="7" t="str">
        <f>'Commercial Invoice3'!F7</f>
        <v>Unit 14 Graphite Way</v>
      </c>
      <c r="C26" s="2"/>
      <c r="D26" s="2"/>
      <c r="E26" s="2"/>
      <c r="F26" s="2"/>
    </row>
    <row r="27" spans="1:6" ht="13.5" customHeight="1">
      <c r="A27" s="2"/>
      <c r="B27" s="7" t="str">
        <f>'Commercial Invoice3'!F8</f>
        <v>Hadfield  Derbyshire</v>
      </c>
      <c r="C27" s="2"/>
      <c r="D27" s="2"/>
      <c r="E27" s="2"/>
      <c r="F27" s="2"/>
    </row>
    <row r="28" spans="1:6" ht="13.5" customHeight="1">
      <c r="A28" s="2"/>
      <c r="B28" s="7" t="str">
        <f>'Commercial Invoice3'!F9</f>
        <v>SK13 1QH UK</v>
      </c>
      <c r="C28" s="2"/>
      <c r="D28" s="2"/>
      <c r="E28" s="2"/>
      <c r="F28" s="2"/>
    </row>
    <row r="29" spans="1:6" ht="13.5" customHeight="1">
      <c r="A29" s="2"/>
      <c r="B29" s="53" t="str">
        <f>'Commercial Invoice3'!F10</f>
        <v>TEL:4401457860111</v>
      </c>
      <c r="C29" s="2"/>
      <c r="D29" s="2"/>
      <c r="E29" s="2"/>
      <c r="F29" s="2"/>
    </row>
    <row r="30" spans="1:6" ht="13.5" customHeight="1">
      <c r="A30" s="2"/>
      <c r="B30" s="2"/>
      <c r="C30" s="2"/>
      <c r="D30" s="2"/>
      <c r="E30" s="2"/>
      <c r="F30" s="2"/>
    </row>
    <row r="31" spans="1:6" ht="13.5" customHeight="1">
      <c r="A31" s="2"/>
      <c r="B31" s="2"/>
      <c r="C31" s="2"/>
      <c r="D31" s="2"/>
      <c r="E31" s="2"/>
      <c r="F31" s="2"/>
    </row>
    <row r="32" spans="1:6" ht="13.5" customHeight="1">
      <c r="A32" s="2"/>
      <c r="B32" s="2"/>
      <c r="C32" s="2"/>
      <c r="D32" s="2"/>
      <c r="E32" s="2"/>
      <c r="F32" s="2"/>
    </row>
    <row r="33" spans="1:6" ht="13.5" customHeight="1" thickBot="1">
      <c r="A33" s="20" t="s">
        <v>34</v>
      </c>
      <c r="B33" s="20"/>
      <c r="C33" s="21"/>
      <c r="D33" s="22"/>
      <c r="E33" s="2"/>
      <c r="F33" s="2"/>
    </row>
    <row r="34" spans="1:6" ht="13.5" customHeight="1">
      <c r="A34" s="20"/>
      <c r="B34" s="20"/>
      <c r="C34" s="20"/>
      <c r="D34" s="2"/>
      <c r="E34" s="2"/>
      <c r="F34" s="2"/>
    </row>
    <row r="35" spans="1:6" ht="13.5" customHeight="1">
      <c r="A35" s="4"/>
      <c r="B35" s="4"/>
      <c r="C35" s="4"/>
      <c r="D35" s="2"/>
      <c r="E35" s="2"/>
      <c r="F35" s="2"/>
    </row>
    <row r="36" spans="1:6" ht="13.5" customHeight="1">
      <c r="A36" s="4" t="s">
        <v>1</v>
      </c>
      <c r="B36" s="5">
        <f ca="1">TODAY()</f>
        <v>43839</v>
      </c>
      <c r="C36" s="4"/>
      <c r="D36" s="2"/>
      <c r="E36" s="2"/>
      <c r="F36" s="2"/>
    </row>
    <row r="38" spans="1:6" ht="12.75" customHeight="1"/>
  </sheetData>
  <mergeCells count="3">
    <mergeCell ref="A7:F7"/>
    <mergeCell ref="B20:C20"/>
    <mergeCell ref="B9:C9"/>
  </mergeCells>
  <phoneticPr fontId="15" type="noConversion"/>
  <conditionalFormatting sqref="B29">
    <cfRule type="cellIs" dxfId="0" priority="3" operator="equal">
      <formula>0</formula>
    </cfRule>
  </conditionalFormatting>
  <hyperlinks>
    <hyperlink ref="B23" r:id="rId1" display="TEL:86-21-61052180"/>
  </hyperlinks>
  <printOptions horizontalCentered="1"/>
  <pageMargins left="0.55118110236220474" right="0.55118110236220474" top="0.82677165354330717" bottom="0.98425196850393704" header="0.51181102362204722" footer="0.51181102362204722"/>
  <pageSetup paperSize="9" scale="95" orientation="portrait" r:id="rId2"/>
  <headerFooter alignWithMargins="0"/>
  <drawing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9:D23"/>
  <sheetViews>
    <sheetView workbookViewId="0">
      <selection activeCell="M93" sqref="M93"/>
    </sheetView>
  </sheetViews>
  <sheetFormatPr defaultRowHeight="15"/>
  <cols>
    <col min="1" max="1" width="14.25" style="94" customWidth="1"/>
    <col min="2" max="2" width="14.875" style="94" bestFit="1" customWidth="1"/>
    <col min="3" max="3" width="25.25" style="94" customWidth="1"/>
    <col min="4" max="4" width="15.25" style="94" customWidth="1"/>
    <col min="5" max="16384" width="9" style="94"/>
  </cols>
  <sheetData>
    <row r="9" spans="1:4" ht="23.25">
      <c r="A9" s="771" t="s">
        <v>221</v>
      </c>
      <c r="B9" s="771"/>
      <c r="C9" s="771"/>
      <c r="D9" s="771"/>
    </row>
    <row r="11" spans="1:4" s="95" customFormat="1" ht="15.75">
      <c r="A11" s="95" t="s">
        <v>222</v>
      </c>
    </row>
    <row r="12" spans="1:4" s="95" customFormat="1" ht="15.75">
      <c r="A12" s="95" t="s">
        <v>223</v>
      </c>
      <c r="C12" s="96" t="s">
        <v>224</v>
      </c>
    </row>
    <row r="13" spans="1:4" s="95" customFormat="1" ht="16.5" thickBot="1">
      <c r="A13" s="95" t="s">
        <v>225</v>
      </c>
      <c r="D13" s="97" t="str">
        <f>发货清单!F2</f>
        <v>2786337676</v>
      </c>
    </row>
    <row r="14" spans="1:4" s="95" customFormat="1" ht="15.75">
      <c r="A14" s="98"/>
    </row>
    <row r="15" spans="1:4" s="95" customFormat="1" ht="14.25" customHeight="1">
      <c r="A15" s="772"/>
      <c r="B15" s="772"/>
      <c r="C15" s="772"/>
      <c r="D15" s="772"/>
    </row>
    <row r="16" spans="1:4" s="95" customFormat="1" ht="14.25" customHeight="1">
      <c r="A16" s="772"/>
      <c r="B16" s="772"/>
      <c r="C16" s="772"/>
      <c r="D16" s="772"/>
    </row>
    <row r="17" spans="1:4" s="95" customFormat="1" ht="111" customHeight="1">
      <c r="A17" s="773" t="s">
        <v>226</v>
      </c>
      <c r="B17" s="773"/>
      <c r="C17" s="773"/>
      <c r="D17" s="773"/>
    </row>
    <row r="18" spans="1:4" s="95" customFormat="1" ht="15.75"/>
    <row r="19" spans="1:4" s="95" customFormat="1" ht="15.75">
      <c r="A19" s="99"/>
      <c r="B19" s="99"/>
      <c r="C19" s="99"/>
      <c r="D19" s="99"/>
    </row>
    <row r="20" spans="1:4" s="95" customFormat="1" ht="15.75">
      <c r="A20" s="99" t="s">
        <v>227</v>
      </c>
      <c r="B20" s="99"/>
      <c r="C20" s="100"/>
      <c r="D20" s="99"/>
    </row>
    <row r="21" spans="1:4" s="95" customFormat="1" ht="15.75">
      <c r="A21" s="99"/>
      <c r="B21" s="99"/>
      <c r="C21" s="99"/>
      <c r="D21" s="99"/>
    </row>
    <row r="22" spans="1:4" s="95" customFormat="1" ht="15.75"/>
    <row r="23" spans="1:4" s="95" customFormat="1" ht="15.75">
      <c r="A23" s="95" t="s">
        <v>228</v>
      </c>
      <c r="B23" s="101">
        <f ca="1">TODAY()</f>
        <v>43839</v>
      </c>
    </row>
  </sheetData>
  <mergeCells count="4">
    <mergeCell ref="A9:D9"/>
    <mergeCell ref="A15:D15"/>
    <mergeCell ref="A16:D16"/>
    <mergeCell ref="A17:D17"/>
  </mergeCells>
  <phoneticPr fontId="1" type="noConversion"/>
  <pageMargins left="0.7" right="0.7" top="0.75" bottom="0.75" header="0.3" footer="0.3"/>
  <pageSetup paperSize="9" orientation="portrait" horizontalDpi="4294967295" verticalDpi="4294967295"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3:H43"/>
  <sheetViews>
    <sheetView topLeftCell="A10" zoomScaleNormal="100" workbookViewId="0">
      <selection activeCell="E23" sqref="E23"/>
    </sheetView>
  </sheetViews>
  <sheetFormatPr defaultRowHeight="13.5"/>
  <cols>
    <col min="1" max="1" width="9" style="183"/>
    <col min="2" max="2" width="14.5" style="183" bestFit="1" customWidth="1"/>
    <col min="3" max="3" width="19.375" style="183" customWidth="1"/>
    <col min="4" max="4" width="14.625" style="183" customWidth="1"/>
    <col min="5" max="16384" width="9" style="183"/>
  </cols>
  <sheetData>
    <row r="3" spans="1:8">
      <c r="A3" s="224"/>
      <c r="B3" s="224"/>
      <c r="C3" s="224"/>
      <c r="D3" s="224"/>
      <c r="E3" s="224"/>
      <c r="F3" s="224"/>
      <c r="G3" s="224"/>
      <c r="H3" s="224"/>
    </row>
    <row r="4" spans="1:8" ht="20.25">
      <c r="A4" s="223" t="s">
        <v>479</v>
      </c>
      <c r="B4" s="222">
        <f ca="1">TODAY()</f>
        <v>43839</v>
      </c>
    </row>
    <row r="5" spans="1:8" ht="9.6" customHeight="1"/>
    <row r="6" spans="1:8" ht="25.5">
      <c r="A6" s="217" t="s">
        <v>478</v>
      </c>
    </row>
    <row r="7" spans="1:8" ht="10.15" customHeight="1"/>
    <row r="8" spans="1:8" ht="25.5">
      <c r="A8" s="217" t="s">
        <v>477</v>
      </c>
    </row>
    <row r="9" spans="1:8" ht="15.75">
      <c r="A9" s="221" t="s">
        <v>476</v>
      </c>
    </row>
    <row r="10" spans="1:8" ht="10.15" customHeight="1"/>
    <row r="11" spans="1:8" s="219" customFormat="1" ht="18.75">
      <c r="A11" s="220" t="s">
        <v>475</v>
      </c>
      <c r="C11" s="219" t="e">
        <f>#REF!</f>
        <v>#REF!</v>
      </c>
    </row>
    <row r="12" spans="1:8" s="219" customFormat="1" ht="18.75">
      <c r="A12" s="220" t="s">
        <v>474</v>
      </c>
    </row>
    <row r="13" spans="1:8" s="218" customFormat="1" ht="14.25">
      <c r="A13" s="774" t="s">
        <v>442</v>
      </c>
      <c r="B13" s="775"/>
      <c r="C13" s="775"/>
      <c r="D13" s="775"/>
    </row>
    <row r="14" spans="1:8">
      <c r="A14" s="774" t="s">
        <v>443</v>
      </c>
      <c r="B14" s="775"/>
      <c r="C14" s="775"/>
      <c r="D14" s="775"/>
    </row>
    <row r="15" spans="1:8" ht="14.25">
      <c r="A15" s="777" t="s">
        <v>446</v>
      </c>
      <c r="B15" s="778"/>
      <c r="C15" s="778"/>
      <c r="D15" s="778"/>
      <c r="F15" s="218"/>
    </row>
    <row r="16" spans="1:8">
      <c r="A16" s="774" t="s">
        <v>481</v>
      </c>
      <c r="B16" s="775"/>
      <c r="C16" s="775"/>
      <c r="D16" s="775"/>
    </row>
    <row r="17" spans="1:8" ht="14.25">
      <c r="A17" s="774" t="s">
        <v>437</v>
      </c>
      <c r="B17" s="775"/>
      <c r="C17" s="775"/>
      <c r="D17" s="775"/>
      <c r="F17" s="218"/>
    </row>
    <row r="18" spans="1:8">
      <c r="A18" s="774" t="s">
        <v>438</v>
      </c>
      <c r="B18" s="775"/>
      <c r="C18" s="775"/>
      <c r="D18" s="775"/>
    </row>
    <row r="19" spans="1:8" ht="14.25">
      <c r="A19" s="774" t="s">
        <v>483</v>
      </c>
      <c r="B19" s="775"/>
      <c r="C19" s="775"/>
      <c r="D19" s="775"/>
      <c r="F19" s="218"/>
    </row>
    <row r="20" spans="1:8">
      <c r="A20" s="774" t="s">
        <v>482</v>
      </c>
      <c r="B20" s="775"/>
      <c r="C20" s="775"/>
      <c r="D20" s="775"/>
    </row>
    <row r="21" spans="1:8" ht="14.25">
      <c r="A21" s="774" t="s">
        <v>484</v>
      </c>
      <c r="B21" s="775"/>
      <c r="C21" s="775"/>
      <c r="D21" s="775"/>
      <c r="F21" s="218"/>
    </row>
    <row r="22" spans="1:8" ht="14.25">
      <c r="A22" s="218"/>
    </row>
    <row r="23" spans="1:8" ht="14.25">
      <c r="A23" s="218"/>
      <c r="F23" s="218"/>
    </row>
    <row r="24" spans="1:8" ht="14.25">
      <c r="A24" s="218"/>
    </row>
    <row r="25" spans="1:8" ht="14.25">
      <c r="A25" s="218"/>
      <c r="F25" s="218"/>
    </row>
    <row r="26" spans="1:8" ht="14.25">
      <c r="A26" s="218"/>
    </row>
    <row r="27" spans="1:8" ht="14.25">
      <c r="A27" s="218"/>
      <c r="F27" s="218"/>
    </row>
    <row r="28" spans="1:8" ht="14.25">
      <c r="A28" s="218"/>
    </row>
    <row r="29" spans="1:8" ht="25.5">
      <c r="A29" s="217" t="s">
        <v>473</v>
      </c>
    </row>
    <row r="30" spans="1:8" ht="58.15" customHeight="1">
      <c r="A30" s="776" t="s">
        <v>472</v>
      </c>
      <c r="B30" s="776"/>
      <c r="C30" s="776"/>
      <c r="D30" s="776"/>
      <c r="E30" s="776"/>
      <c r="F30" s="776"/>
      <c r="G30" s="776"/>
      <c r="H30" s="776"/>
    </row>
    <row r="31" spans="1:8" ht="15">
      <c r="A31" s="216" t="s">
        <v>469</v>
      </c>
      <c r="B31" s="214" t="s">
        <v>471</v>
      </c>
    </row>
    <row r="32" spans="1:8" ht="15">
      <c r="A32" s="216" t="s">
        <v>469</v>
      </c>
      <c r="B32" s="214" t="s">
        <v>470</v>
      </c>
    </row>
    <row r="33" spans="1:2" ht="15">
      <c r="A33" s="216" t="s">
        <v>469</v>
      </c>
      <c r="B33" s="214" t="s">
        <v>468</v>
      </c>
    </row>
    <row r="35" spans="1:2" ht="15">
      <c r="A35" s="215" t="s">
        <v>467</v>
      </c>
      <c r="B35" s="214"/>
    </row>
    <row r="36" spans="1:2" ht="15">
      <c r="A36" s="215" t="s">
        <v>466</v>
      </c>
      <c r="B36" s="214"/>
    </row>
    <row r="37" spans="1:2" ht="15">
      <c r="A37" s="215" t="s">
        <v>465</v>
      </c>
      <c r="B37" s="214"/>
    </row>
    <row r="41" spans="1:2" ht="15">
      <c r="A41" s="183" t="s">
        <v>464</v>
      </c>
      <c r="B41" s="214"/>
    </row>
    <row r="42" spans="1:2" ht="15">
      <c r="A42" s="183" t="s">
        <v>463</v>
      </c>
      <c r="B42" s="214"/>
    </row>
    <row r="43" spans="1:2" ht="15">
      <c r="A43" s="183" t="s">
        <v>462</v>
      </c>
      <c r="B43" s="214"/>
    </row>
  </sheetData>
  <mergeCells count="10">
    <mergeCell ref="A20:D20"/>
    <mergeCell ref="A21:D21"/>
    <mergeCell ref="A30:H30"/>
    <mergeCell ref="A13:D13"/>
    <mergeCell ref="A14:D14"/>
    <mergeCell ref="A15:D15"/>
    <mergeCell ref="A16:D16"/>
    <mergeCell ref="A17:D17"/>
    <mergeCell ref="A18:D18"/>
    <mergeCell ref="A19:D19"/>
  </mergeCells>
  <phoneticPr fontId="1" type="noConversion"/>
  <pageMargins left="0.11811023622047245" right="0.11811023622047245" top="0.15748031496062992" bottom="0" header="0.31496062992125984" footer="0.31496062992125984"/>
  <pageSetup paperSize="9" scale="93" fitToWidth="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37</vt:i4>
      </vt:variant>
      <vt:variant>
        <vt:lpstr>命名范围</vt:lpstr>
      </vt:variant>
      <vt:variant>
        <vt:i4>7</vt:i4>
      </vt:variant>
    </vt:vector>
  </HeadingPairs>
  <TitlesOfParts>
    <vt:vector size="44" baseType="lpstr">
      <vt:lpstr>Commercial Invoice1 (2)</vt:lpstr>
      <vt:lpstr>PACKING  LIST1 (2)</vt:lpstr>
      <vt:lpstr>发货清单</vt:lpstr>
      <vt:lpstr>Sheet2</vt:lpstr>
      <vt:lpstr>辅助</vt:lpstr>
      <vt:lpstr>地址数据库</vt:lpstr>
      <vt:lpstr>数据库</vt:lpstr>
      <vt:lpstr>发货清单 (2)</vt:lpstr>
      <vt:lpstr>冰袋保函1</vt:lpstr>
      <vt:lpstr>冰袋保函2</vt:lpstr>
      <vt:lpstr>申报要素1</vt:lpstr>
      <vt:lpstr>Commercial Invoice1</vt:lpstr>
      <vt:lpstr>Commercial Invoice2</vt:lpstr>
      <vt:lpstr>Commercial Invoice3</vt:lpstr>
      <vt:lpstr>PACKING  LIST1</vt:lpstr>
      <vt:lpstr>PACKING  LIST2</vt:lpstr>
      <vt:lpstr>PACKING  LIST3</vt:lpstr>
      <vt:lpstr>委托书1</vt:lpstr>
      <vt:lpstr>委托书2</vt:lpstr>
      <vt:lpstr>委托书3</vt:lpstr>
      <vt:lpstr>委托书 (6)</vt:lpstr>
      <vt:lpstr>发票 (3)</vt:lpstr>
      <vt:lpstr>发票 (2)</vt:lpstr>
      <vt:lpstr>箱单 (2)</vt:lpstr>
      <vt:lpstr>箱单 (3)</vt:lpstr>
      <vt:lpstr>报关单新1</vt:lpstr>
      <vt:lpstr>运输保函1</vt:lpstr>
      <vt:lpstr>运输保函2</vt:lpstr>
      <vt:lpstr>保函 (2)</vt:lpstr>
      <vt:lpstr>情况说明1</vt:lpstr>
      <vt:lpstr>情况说明2</vt:lpstr>
      <vt:lpstr>情况说明 (2)</vt:lpstr>
      <vt:lpstr>TSCA</vt:lpstr>
      <vt:lpstr>Declaration</vt:lpstr>
      <vt:lpstr>End Use Letter</vt:lpstr>
      <vt:lpstr>USDA</vt:lpstr>
      <vt:lpstr>CBP</vt:lpstr>
      <vt:lpstr>CBP!Print_Area</vt:lpstr>
      <vt:lpstr>'End Use Letter'!Print_Area</vt:lpstr>
      <vt:lpstr>发货清单!Print_Area</vt:lpstr>
      <vt:lpstr>'委托书 (6)'!Print_Area</vt:lpstr>
      <vt:lpstr>委托书1!Print_Area</vt:lpstr>
      <vt:lpstr>委托书2!Print_Area</vt:lpstr>
      <vt:lpstr>委托书3!Print_Area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wuliu06</dc:creator>
  <cp:lastModifiedBy>wuliu16</cp:lastModifiedBy>
  <cp:lastPrinted>2020-01-09T07:28:55Z</cp:lastPrinted>
  <dcterms:created xsi:type="dcterms:W3CDTF">1996-12-17T01:32:42Z</dcterms:created>
  <dcterms:modified xsi:type="dcterms:W3CDTF">2020-01-09T09:04:53Z</dcterms:modified>
</cp:coreProperties>
</file>